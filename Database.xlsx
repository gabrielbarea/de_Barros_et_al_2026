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Google Drive Alumni\Drive 2\Paleo\Papers - Em Andamento\Sanduiche\Sup Mat\v2\Appendix C\"/>
    </mc:Choice>
  </mc:AlternateContent>
  <xr:revisionPtr revIDLastSave="0" documentId="13_ncr:1_{D1325CF7-7D2A-4ADC-8811-977A41CE8730}" xr6:coauthVersionLast="47" xr6:coauthVersionMax="47" xr10:uidLastSave="{00000000-0000-0000-0000-000000000000}"/>
  <bookViews>
    <workbookView xWindow="-120" yWindow="-120" windowWidth="29040" windowHeight="15990" tabRatio="709" xr2:uid="{00000000-000D-0000-FFFF-FFFF00000000}"/>
  </bookViews>
  <sheets>
    <sheet name="Diversity" sheetId="2" r:id="rId1"/>
    <sheet name="Measurements" sheetId="1" r:id="rId2"/>
    <sheet name="Ichnotaxa" sheetId="20" r:id="rId3"/>
    <sheet name="Deposits" sheetId="18" r:id="rId4"/>
    <sheet name="Summary 1" sheetId="24" r:id="rId5"/>
    <sheet name="Summary 2" sheetId="26" r:id="rId6"/>
    <sheet name="Lat" sheetId="16" r:id="rId7"/>
    <sheet name="References" sheetId="3" r:id="rId8"/>
    <sheet name="Legend" sheetId="4" r:id="rId9"/>
  </sheets>
  <definedNames>
    <definedName name="_xlnm._FilterDatabase" localSheetId="3" hidden="1">Deposits!$A$1:$DJ$137</definedName>
    <definedName name="_xlnm._FilterDatabase" localSheetId="0" hidden="1">Diversity!$A$1:$V$137</definedName>
    <definedName name="_xlnm._FilterDatabase" localSheetId="6" hidden="1">Lat!$A$1:$G$18</definedName>
    <definedName name="_xlnm._FilterDatabase" localSheetId="1" hidden="1">Measurements!$A$1:$Y$1177</definedName>
    <definedName name="_xlnm._FilterDatabase" localSheetId="4" hidden="1">'Summary 1'!$A$1:$M$83</definedName>
    <definedName name="_xlnm._FilterDatabase" localSheetId="5" hidden="1">'Summary 2'!$A$1:$G$1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84" i="1" l="1"/>
  <c r="R283" i="1"/>
  <c r="R282" i="1"/>
  <c r="R281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96" i="1"/>
  <c r="P128" i="2" l="1"/>
  <c r="P123" i="2" l="1"/>
  <c r="P129" i="2" l="1"/>
  <c r="P122" i="2" l="1"/>
  <c r="P1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Barros</author>
  </authors>
  <commentList>
    <comment ref="B129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1377
</t>
        </r>
      </text>
    </comment>
    <comment ref="B130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5015</t>
        </r>
      </text>
    </comment>
    <comment ref="B132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1094
</t>
        </r>
      </text>
    </comment>
    <comment ref="B133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1368
</t>
        </r>
      </text>
    </comment>
    <comment ref="B135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4049</t>
        </r>
      </text>
    </comment>
    <comment ref="B137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437</t>
        </r>
      </text>
    </comment>
    <comment ref="B138" authorId="0" shapeId="0" xr:uid="{00000000-0006-0000-0100-000007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5009</t>
        </r>
      </text>
    </comment>
    <comment ref="B140" authorId="0" shapeId="0" xr:uid="{00000000-0006-0000-0100-000008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1505</t>
        </r>
      </text>
    </comment>
    <comment ref="B141" authorId="0" shapeId="0" xr:uid="{00000000-0006-0000-0100-000009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544
</t>
        </r>
      </text>
    </comment>
    <comment ref="B143" authorId="0" shapeId="0" xr:uid="{00000000-0006-0000-0100-00000A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5157</t>
        </r>
      </text>
    </comment>
    <comment ref="B144" authorId="0" shapeId="0" xr:uid="{00000000-0006-0000-0100-00000B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5157</t>
        </r>
      </text>
    </comment>
    <comment ref="B145" authorId="0" shapeId="0" xr:uid="{00000000-0006-0000-0100-00000C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1070
</t>
        </r>
      </text>
    </comment>
    <comment ref="B148" authorId="0" shapeId="0" xr:uid="{00000000-0006-0000-0100-00000D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227</t>
        </r>
      </text>
    </comment>
    <comment ref="B149" authorId="0" shapeId="0" xr:uid="{00000000-0006-0000-0100-00000E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2242
</t>
        </r>
      </text>
    </comment>
    <comment ref="B150" authorId="0" shapeId="0" xr:uid="{00000000-0006-0000-0100-00000F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508
</t>
        </r>
      </text>
    </comment>
    <comment ref="B154" authorId="0" shapeId="0" xr:uid="{00000000-0006-0000-0100-000010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107
</t>
        </r>
      </text>
    </comment>
    <comment ref="B158" authorId="0" shapeId="0" xr:uid="{00000000-0006-0000-0100-000011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5000b
</t>
        </r>
      </text>
    </comment>
    <comment ref="B159" authorId="0" shapeId="0" xr:uid="{00000000-0006-0000-0100-000012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5000b
</t>
        </r>
      </text>
    </comment>
    <comment ref="B162" authorId="0" shapeId="0" xr:uid="{00000000-0006-0000-0100-000013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1740</t>
        </r>
      </text>
    </comment>
    <comment ref="B164" authorId="0" shapeId="0" xr:uid="{00000000-0006-0000-0100-000014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722</t>
        </r>
      </text>
    </comment>
    <comment ref="B165" authorId="0" shapeId="0" xr:uid="{00000000-0006-0000-0100-000015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1748</t>
        </r>
      </text>
    </comment>
    <comment ref="B166" authorId="0" shapeId="0" xr:uid="{00000000-0006-0000-0100-000016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1356</t>
        </r>
      </text>
    </comment>
    <comment ref="B168" authorId="0" shapeId="0" xr:uid="{00000000-0006-0000-0100-000017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1781</t>
        </r>
      </text>
    </comment>
    <comment ref="B282" authorId="0" shapeId="0" xr:uid="{00000000-0006-0000-0100-000018000000}">
      <text>
        <r>
          <rPr>
            <b/>
            <sz val="9"/>
            <color indexed="81"/>
            <rFont val="Segoe UI"/>
            <family val="2"/>
          </rPr>
          <t>Gabriel Barros:</t>
        </r>
        <r>
          <rPr>
            <sz val="9"/>
            <color indexed="81"/>
            <rFont val="Segoe UI"/>
            <family val="2"/>
          </rPr>
          <t xml:space="preserve">
UCM 1119</t>
        </r>
      </text>
    </comment>
  </commentList>
</comments>
</file>

<file path=xl/sharedStrings.xml><?xml version="1.0" encoding="utf-8"?>
<sst xmlns="http://schemas.openxmlformats.org/spreadsheetml/2006/main" count="19511" uniqueCount="1804">
  <si>
    <t>Reference</t>
  </si>
  <si>
    <t>Number</t>
  </si>
  <si>
    <t>Basin</t>
  </si>
  <si>
    <t>Age</t>
  </si>
  <si>
    <t>Period</t>
  </si>
  <si>
    <t>Epoch</t>
  </si>
  <si>
    <t>Zone</t>
  </si>
  <si>
    <t>Sample</t>
  </si>
  <si>
    <t>Ichnotaxa</t>
  </si>
  <si>
    <t>EW</t>
  </si>
  <si>
    <t>IW</t>
  </si>
  <si>
    <t>Country</t>
  </si>
  <si>
    <t>Unit</t>
  </si>
  <si>
    <t>Coastal</t>
  </si>
  <si>
    <t>Alluvial</t>
  </si>
  <si>
    <t>Lacustrine</t>
  </si>
  <si>
    <t>Subaqueous</t>
  </si>
  <si>
    <t>Transitional</t>
  </si>
  <si>
    <t>Subaerial</t>
  </si>
  <si>
    <t>Latitude</t>
  </si>
  <si>
    <t>Longitude</t>
  </si>
  <si>
    <t>Setting</t>
  </si>
  <si>
    <t>[1]</t>
  </si>
  <si>
    <t>Mississippian</t>
  </si>
  <si>
    <t>Carboniferous</t>
  </si>
  <si>
    <t>Strathclyde Group</t>
  </si>
  <si>
    <t>Scotland</t>
  </si>
  <si>
    <t>Midland Valley</t>
  </si>
  <si>
    <t>Diplichnites</t>
  </si>
  <si>
    <t>IS</t>
  </si>
  <si>
    <r>
      <rPr>
        <i/>
        <sz val="11"/>
        <color theme="1"/>
        <rFont val="Calibri"/>
        <family val="2"/>
        <scheme val="minor"/>
      </rPr>
      <t>In situ</t>
    </r>
    <r>
      <rPr>
        <sz val="11"/>
        <color theme="1"/>
        <rFont val="Calibri"/>
        <family val="2"/>
        <scheme val="minor"/>
      </rPr>
      <t xml:space="preserve"> photo</t>
    </r>
  </si>
  <si>
    <t>T1</t>
  </si>
  <si>
    <t>T2</t>
  </si>
  <si>
    <t>T3</t>
  </si>
  <si>
    <t>T4</t>
  </si>
  <si>
    <t>T5</t>
  </si>
  <si>
    <t>Planolites</t>
  </si>
  <si>
    <t>Lower Grindslow Shales</t>
  </si>
  <si>
    <t>Serpukhovian</t>
  </si>
  <si>
    <t>England</t>
  </si>
  <si>
    <t>Pennine Basin</t>
  </si>
  <si>
    <t>Upper Grindslow Shales</t>
  </si>
  <si>
    <t>Cochlichnus, Chondrites, Lockeia, Planolites</t>
  </si>
  <si>
    <t>[2]</t>
  </si>
  <si>
    <t>Intexalvichnus</t>
  </si>
  <si>
    <t>Ireland</t>
  </si>
  <si>
    <t>Upper Shalwy Beds</t>
  </si>
  <si>
    <t>[4]</t>
  </si>
  <si>
    <t>Donegal Bay</t>
  </si>
  <si>
    <t>NO DATA</t>
  </si>
  <si>
    <t>Lower Kinderscout Grit</t>
  </si>
  <si>
    <t>[5]</t>
  </si>
  <si>
    <t>Argentina</t>
  </si>
  <si>
    <t>Guandacol Formation</t>
  </si>
  <si>
    <t>Paganzo Basin</t>
  </si>
  <si>
    <t>PI-NA-1149</t>
  </si>
  <si>
    <t>INGEO</t>
  </si>
  <si>
    <t>Institution</t>
  </si>
  <si>
    <t>Instituto de Geología Dr. Emiliano P. Aparicio, Universidad Nacional de San Juan, San Juan, Argentina</t>
  </si>
  <si>
    <t>Diplopodichnus</t>
  </si>
  <si>
    <t>Cruziana</t>
  </si>
  <si>
    <t>PI-NA-1158</t>
  </si>
  <si>
    <t>PI-NA-1154</t>
  </si>
  <si>
    <t>PI-NA-1168</t>
  </si>
  <si>
    <t>Rusophycus</t>
  </si>
  <si>
    <t>PI-NA-1166</t>
  </si>
  <si>
    <t>[6]</t>
  </si>
  <si>
    <t>Maculichna</t>
  </si>
  <si>
    <t>Fig. 7E</t>
  </si>
  <si>
    <t>[7]</t>
  </si>
  <si>
    <t>PIL</t>
  </si>
  <si>
    <t>Colleción de Paleontología de Invertebrados Lillo, Instituto Superior de Correlación Geológica, San Miguel de Tucumán, Argentina</t>
  </si>
  <si>
    <t>Orchesteropus</t>
  </si>
  <si>
    <t>Umfolozia</t>
  </si>
  <si>
    <t>Designs</t>
  </si>
  <si>
    <t>Malanzán Formation</t>
  </si>
  <si>
    <t>[8]</t>
  </si>
  <si>
    <t>Gordia, Helminthoidichnites, Planolites</t>
  </si>
  <si>
    <t>San Rafael Basin</t>
  </si>
  <si>
    <t>El Imperial Formation</t>
  </si>
  <si>
    <t>[9]</t>
  </si>
  <si>
    <t>Fig. 3C</t>
  </si>
  <si>
    <t>Fig. 3D</t>
  </si>
  <si>
    <t>Fig. 3E</t>
  </si>
  <si>
    <t>Fig. 3F</t>
  </si>
  <si>
    <t>Fig. 3G</t>
  </si>
  <si>
    <t>Fig. 3K</t>
  </si>
  <si>
    <t>Fig. 3O</t>
  </si>
  <si>
    <t>Upper Limestone Group</t>
  </si>
  <si>
    <t>Northumberland Trough</t>
  </si>
  <si>
    <t>[10]</t>
  </si>
  <si>
    <t>[11]</t>
  </si>
  <si>
    <t>USA</t>
  </si>
  <si>
    <t>Shenango Sandstone Formation</t>
  </si>
  <si>
    <t>CM</t>
  </si>
  <si>
    <t>Carnegie Museum of Natural History, Pittsburgh, Pennsylvania, USA</t>
  </si>
  <si>
    <t>Palmichnium</t>
  </si>
  <si>
    <t>Appalachian Basin</t>
  </si>
  <si>
    <t>Diplichnites, Beaconites</t>
  </si>
  <si>
    <t>[12]</t>
  </si>
  <si>
    <t>HM</t>
  </si>
  <si>
    <t>Hunterian Museum, University of Glasgow, Glasgow, Scotland</t>
  </si>
  <si>
    <t>X.1041</t>
  </si>
  <si>
    <t>X.1042</t>
  </si>
  <si>
    <t>Beaconites</t>
  </si>
  <si>
    <t>Maam Formation</t>
  </si>
  <si>
    <t>[13]</t>
  </si>
  <si>
    <t>Grampian Terrane</t>
  </si>
  <si>
    <t>[14]</t>
  </si>
  <si>
    <t>MACN-LI</t>
  </si>
  <si>
    <t>Museo Argentino de Ciencias Naturales Bernardino Rivadavia, Ciudad Autónoma de Buenos Aires, Argentina</t>
  </si>
  <si>
    <t>Snowy Plains Formation</t>
  </si>
  <si>
    <t>Mansfield Basin</t>
  </si>
  <si>
    <t>Australia</t>
  </si>
  <si>
    <t>[15]</t>
  </si>
  <si>
    <t>Cruziana, Fuersichnus, Palaeophycus, Platicytes, Rusophycus, Lockeia</t>
  </si>
  <si>
    <t>NMV</t>
  </si>
  <si>
    <t>P311630</t>
  </si>
  <si>
    <t>Museum Victoria, Melbourne, Australia</t>
  </si>
  <si>
    <t>Mauch Chunk Formation</t>
  </si>
  <si>
    <t>[16]</t>
  </si>
  <si>
    <t>KU</t>
  </si>
  <si>
    <t>Kutztown University of Pennsylvania, Kutztown, Pennsylvania, USA</t>
  </si>
  <si>
    <t>06.07.06:1</t>
  </si>
  <si>
    <t>11.15.06:1</t>
  </si>
  <si>
    <t>05.12.06</t>
  </si>
  <si>
    <t>05.12.06:6</t>
  </si>
  <si>
    <t>09.30.07:1</t>
  </si>
  <si>
    <t>04.30.06:16</t>
  </si>
  <si>
    <t>04.30.06:17</t>
  </si>
  <si>
    <t>Kouphichnium</t>
  </si>
  <si>
    <t>09.21.06:2</t>
  </si>
  <si>
    <t>05.15.07:5</t>
  </si>
  <si>
    <t>05.05.07.8</t>
  </si>
  <si>
    <t>Stiallia</t>
  </si>
  <si>
    <t>10.25.07.01</t>
  </si>
  <si>
    <t>06.23.06:10</t>
  </si>
  <si>
    <t>Stiaria</t>
  </si>
  <si>
    <t>08.18.06:1.R287</t>
  </si>
  <si>
    <t>08.18.06:1.R067</t>
  </si>
  <si>
    <t>Canada</t>
  </si>
  <si>
    <t>Albert Formation</t>
  </si>
  <si>
    <t>Maritimes Basin</t>
  </si>
  <si>
    <t>[17]</t>
  </si>
  <si>
    <t>Fig. 2A</t>
  </si>
  <si>
    <t>Fig. 2B</t>
  </si>
  <si>
    <t>Fig. 2C</t>
  </si>
  <si>
    <t>Fig. 2D</t>
  </si>
  <si>
    <t>Fig. 2E</t>
  </si>
  <si>
    <t>Fig. 3A</t>
  </si>
  <si>
    <t>Pomquet Formation</t>
  </si>
  <si>
    <t>[18]</t>
  </si>
  <si>
    <t>Antigonish Basin</t>
  </si>
  <si>
    <t>Fig. 3B</t>
  </si>
  <si>
    <t>Fig. 7A</t>
  </si>
  <si>
    <t>Fig. 7B</t>
  </si>
  <si>
    <t>Crescentichnus</t>
  </si>
  <si>
    <t>Protichnites</t>
  </si>
  <si>
    <t>Fig. 7D</t>
  </si>
  <si>
    <t>Fig. 7C</t>
  </si>
  <si>
    <t>[19]</t>
  </si>
  <si>
    <t>Gluckstadtella</t>
  </si>
  <si>
    <t>Hexapodichnus</t>
  </si>
  <si>
    <t>Fig. 4A</t>
  </si>
  <si>
    <t>Fig. 5B</t>
  </si>
  <si>
    <t>Fig. 5E</t>
  </si>
  <si>
    <t>Agua Colorada Formation</t>
  </si>
  <si>
    <t>[21]</t>
  </si>
  <si>
    <t>Fig. 4B</t>
  </si>
  <si>
    <t>Itacuamí Formation</t>
  </si>
  <si>
    <t>Tarija Basin</t>
  </si>
  <si>
    <t>[23]</t>
  </si>
  <si>
    <t>[23][24]</t>
  </si>
  <si>
    <t>Fig. 5A</t>
  </si>
  <si>
    <t>Fig. 5D</t>
  </si>
  <si>
    <t>Seaham Formation</t>
  </si>
  <si>
    <t>Umfolozia, Cruziana</t>
  </si>
  <si>
    <t>Sydney Basin</t>
  </si>
  <si>
    <t>Fig. 11</t>
  </si>
  <si>
    <t>Fig. 12</t>
  </si>
  <si>
    <t>Fig. 13</t>
  </si>
  <si>
    <t>Fig. 14</t>
  </si>
  <si>
    <t>Fig. 15</t>
  </si>
  <si>
    <t>Fig. 16</t>
  </si>
  <si>
    <t>Dugger Formation</t>
  </si>
  <si>
    <t>Pennsylvanian</t>
  </si>
  <si>
    <t>Moscovian</t>
  </si>
  <si>
    <t>Illionois Basin</t>
  </si>
  <si>
    <t>[25]</t>
  </si>
  <si>
    <t>Chondrites, Rhizocorallium, Planolites, Diplocraterion</t>
  </si>
  <si>
    <t>Fentress Formation</t>
  </si>
  <si>
    <t>Limulicubichnus, Asteriacites, Rosselia, Gordia, Skolithos, Thalassinoides</t>
  </si>
  <si>
    <t>[26]</t>
  </si>
  <si>
    <t>Joggins Formation</t>
  </si>
  <si>
    <t>Cumberland Basin</t>
  </si>
  <si>
    <t>[28]</t>
  </si>
  <si>
    <t>Siskemia</t>
  </si>
  <si>
    <t>[29]</t>
  </si>
  <si>
    <t>008GF041.040</t>
  </si>
  <si>
    <t>NSM</t>
  </si>
  <si>
    <t>Nova Scotia Museum of Natural History, Halifax, Canada</t>
  </si>
  <si>
    <t>Pottsville Formation</t>
  </si>
  <si>
    <t>[31]</t>
  </si>
  <si>
    <t>Spain</t>
  </si>
  <si>
    <t>San Pedrin Formation</t>
  </si>
  <si>
    <t>Cantabarian Zone</t>
  </si>
  <si>
    <t>Z1016</t>
  </si>
  <si>
    <t>NHM</t>
  </si>
  <si>
    <t>Arborichnus</t>
  </si>
  <si>
    <t>Petalichnus</t>
  </si>
  <si>
    <t>Mansfield Formation</t>
  </si>
  <si>
    <t>Palaeophycus, Lockeia, Rhizocorallium</t>
  </si>
  <si>
    <t>Bashkirian</t>
  </si>
  <si>
    <t>Westphalian</t>
  </si>
  <si>
    <t>Agua Escondida Formation</t>
  </si>
  <si>
    <t>[33]</t>
  </si>
  <si>
    <t>GHUNLPam</t>
  </si>
  <si>
    <t>Facultad de Ciencias Exactas y Naturales, Universidad Nacional de La Pampa, Santa Rosa, Argentina</t>
  </si>
  <si>
    <t>Museo de Ciencias Naturales y Antropológicas "Juan Cornelio Moyano", Mendoza, Argentina</t>
  </si>
  <si>
    <t>Dendroidichnites</t>
  </si>
  <si>
    <t>Huilmuichnus</t>
  </si>
  <si>
    <t>Brazil</t>
  </si>
  <si>
    <t>[34]</t>
  </si>
  <si>
    <t>Paraná Basin</t>
  </si>
  <si>
    <t>Fig. 6B</t>
  </si>
  <si>
    <t>Fig. 6C</t>
  </si>
  <si>
    <t>Fig. 6E</t>
  </si>
  <si>
    <t>Fig. 6F</t>
  </si>
  <si>
    <t>Fig. 9C</t>
  </si>
  <si>
    <t>Fig. 8C</t>
  </si>
  <si>
    <t>Fig. 10A</t>
  </si>
  <si>
    <t>Fig. 10B</t>
  </si>
  <si>
    <t>[35]</t>
  </si>
  <si>
    <t>Glaciichnium</t>
  </si>
  <si>
    <t>Dwyka Group</t>
  </si>
  <si>
    <t>Karoo Basin</t>
  </si>
  <si>
    <t>South Africa</t>
  </si>
  <si>
    <t>N</t>
  </si>
  <si>
    <t>NUP</t>
  </si>
  <si>
    <t>University of Natal Palaeontology Collection, Department of Geology, University of Natal, Durban, South Africa</t>
  </si>
  <si>
    <t>[37]</t>
  </si>
  <si>
    <t>Kingella</t>
  </si>
  <si>
    <t>BPI</t>
  </si>
  <si>
    <t>Bernard Price Institute for Palaeontological Research, Johannesburg, South Africa</t>
  </si>
  <si>
    <t>Geological Survey, Pretoria, South Africa</t>
  </si>
  <si>
    <t>[40]</t>
  </si>
  <si>
    <t>SU/KD 44</t>
  </si>
  <si>
    <t>SU/KD 111</t>
  </si>
  <si>
    <t>SU/KD 69</t>
  </si>
  <si>
    <t>SU/KD 78</t>
  </si>
  <si>
    <t>SU/KD 102</t>
  </si>
  <si>
    <t>SU/KD 70</t>
  </si>
  <si>
    <t>SU/KD 67</t>
  </si>
  <si>
    <t>Kn/KD 9</t>
  </si>
  <si>
    <t>Kn/KD 8</t>
  </si>
  <si>
    <t>Br/KD 1</t>
  </si>
  <si>
    <t>RD.II/KD 5B</t>
  </si>
  <si>
    <t>RD.II/KD 3A</t>
  </si>
  <si>
    <t>Mo.II/KD 7</t>
  </si>
  <si>
    <t>Mo.II/KD 10</t>
  </si>
  <si>
    <t>Mo.II/KD 8</t>
  </si>
  <si>
    <t>Ef/KD 1</t>
  </si>
  <si>
    <t>ZR/KE 5</t>
  </si>
  <si>
    <t>Lb/KE 43B</t>
  </si>
  <si>
    <t>I 9</t>
  </si>
  <si>
    <t>GHG</t>
  </si>
  <si>
    <t>Permian</t>
  </si>
  <si>
    <t>Cisuralian</t>
  </si>
  <si>
    <t>[39]</t>
  </si>
  <si>
    <t>UC 743 3A</t>
  </si>
  <si>
    <t>Kb/KD 1</t>
  </si>
  <si>
    <t>Kn/KD 11</t>
  </si>
  <si>
    <t>Kn/KD 31</t>
  </si>
  <si>
    <t>Kn/KD 10</t>
  </si>
  <si>
    <t>Kn/KD 30</t>
  </si>
  <si>
    <t>Kn/KD 13</t>
  </si>
  <si>
    <t>Fig. 7G</t>
  </si>
  <si>
    <t>Tynemouth Creek Formation</t>
  </si>
  <si>
    <t>[41]</t>
  </si>
  <si>
    <t>Didymaulichnus</t>
  </si>
  <si>
    <t>NBMG</t>
  </si>
  <si>
    <t>New Brunswick Museum, Saint John, Canada</t>
  </si>
  <si>
    <t>[43]</t>
  </si>
  <si>
    <t>Pennine Formation</t>
  </si>
  <si>
    <t>Tupe Formation</t>
  </si>
  <si>
    <t>Helminthopsis, Treptichnus</t>
  </si>
  <si>
    <t>[44]</t>
  </si>
  <si>
    <t>IU</t>
  </si>
  <si>
    <t>16072-1</t>
  </si>
  <si>
    <t>Pterichnus</t>
  </si>
  <si>
    <t>16064-3</t>
  </si>
  <si>
    <t>Indiana University, Department of Geological Sciences, Bloomington, Indiana, USA</t>
  </si>
  <si>
    <t>INSM</t>
  </si>
  <si>
    <t>Indiana State Museum, Indianapolis, Indiana, USA</t>
  </si>
  <si>
    <t>[47]</t>
  </si>
  <si>
    <t>Tonganoxichnus</t>
  </si>
  <si>
    <t>Fig. 4C</t>
  </si>
  <si>
    <t>Fig. 4D</t>
  </si>
  <si>
    <t>UCM</t>
  </si>
  <si>
    <t>Union Chapel Mine Collection (Mostly Private Collections), Alabama</t>
  </si>
  <si>
    <t>[48]</t>
  </si>
  <si>
    <t>McAlester Formation</t>
  </si>
  <si>
    <t>Arkoma Basin</t>
  </si>
  <si>
    <t>[50]</t>
  </si>
  <si>
    <t>NMMNH</t>
  </si>
  <si>
    <t>P-31683</t>
  </si>
  <si>
    <t>P-31719</t>
  </si>
  <si>
    <t>P-31760</t>
  </si>
  <si>
    <t>Paleohelcura</t>
  </si>
  <si>
    <t>P-31694</t>
  </si>
  <si>
    <t>P-39451</t>
  </si>
  <si>
    <t>[51]</t>
  </si>
  <si>
    <t>Stranger Formation</t>
  </si>
  <si>
    <t>Gzhelian</t>
  </si>
  <si>
    <t>Forest City Basin</t>
  </si>
  <si>
    <t>Fig. 5F</t>
  </si>
  <si>
    <t>TB-1-95</t>
  </si>
  <si>
    <t>TB-4-95</t>
  </si>
  <si>
    <t>TB-142-93</t>
  </si>
  <si>
    <t>Mirandaichnium</t>
  </si>
  <si>
    <t>TB-7-95</t>
  </si>
  <si>
    <t>[52]</t>
  </si>
  <si>
    <t>TB-27-96</t>
  </si>
  <si>
    <t>TB-9-95</t>
  </si>
  <si>
    <t>TB-146-93</t>
  </si>
  <si>
    <t>KUMIP</t>
  </si>
  <si>
    <t>KU Natural History Museum, University of Kansas, Lawrence, Kansas, USA</t>
  </si>
  <si>
    <t>TB-8-95</t>
  </si>
  <si>
    <t>TB-109-93</t>
  </si>
  <si>
    <t>TB-11-93</t>
  </si>
  <si>
    <t>TB-149-93</t>
  </si>
  <si>
    <t>TB-118-93</t>
  </si>
  <si>
    <t>[55]</t>
  </si>
  <si>
    <t>Puertollano Basin</t>
  </si>
  <si>
    <t>Emma Quarry</t>
  </si>
  <si>
    <t>[56]</t>
  </si>
  <si>
    <t>Kouphichnium, Crescentichnus, Selenichnites, Lockeia</t>
  </si>
  <si>
    <t>Selenichnites</t>
  </si>
  <si>
    <t>DGMU</t>
  </si>
  <si>
    <t>SF3</t>
  </si>
  <si>
    <t>[57]</t>
  </si>
  <si>
    <t>BGS</t>
  </si>
  <si>
    <t>LZA 8874</t>
  </si>
  <si>
    <t>LZA 8875</t>
  </si>
  <si>
    <t>[58]</t>
  </si>
  <si>
    <t>MGSF</t>
  </si>
  <si>
    <t>Rough Rock Group</t>
  </si>
  <si>
    <t>Lockeia, Cochlichnus, Planolites, Palaeophycus, Didymaulichnus, Protovirgularia</t>
  </si>
  <si>
    <t>Diplichnites, Planolites</t>
  </si>
  <si>
    <t>[63]</t>
  </si>
  <si>
    <t>Text-Fig. 3</t>
  </si>
  <si>
    <t>Cumberland Group</t>
  </si>
  <si>
    <t>[65]</t>
  </si>
  <si>
    <t>Trail 4</t>
  </si>
  <si>
    <t>Trail 1</t>
  </si>
  <si>
    <t>Trail 2</t>
  </si>
  <si>
    <t>Trail 3</t>
  </si>
  <si>
    <t>Trail 5</t>
  </si>
  <si>
    <t>Trail 6</t>
  </si>
  <si>
    <t>Trail 7</t>
  </si>
  <si>
    <t>Trail 8</t>
  </si>
  <si>
    <t>Trail 9</t>
  </si>
  <si>
    <t>Trail 10</t>
  </si>
  <si>
    <t>Trail 11</t>
  </si>
  <si>
    <t>Trail 12</t>
  </si>
  <si>
    <t>Trail 13</t>
  </si>
  <si>
    <t>Trail 14</t>
  </si>
  <si>
    <t>Trail 15</t>
  </si>
  <si>
    <t>Trail 16</t>
  </si>
  <si>
    <t>Trail 17</t>
  </si>
  <si>
    <t>Trail 18</t>
  </si>
  <si>
    <t>Trail 19</t>
  </si>
  <si>
    <t>Wales</t>
  </si>
  <si>
    <t>[66]</t>
  </si>
  <si>
    <t>GSM 26037</t>
  </si>
  <si>
    <t>Port Hood Formation</t>
  </si>
  <si>
    <t>[18][20]</t>
  </si>
  <si>
    <t>[42]</t>
  </si>
  <si>
    <t>Fig. 6H</t>
  </si>
  <si>
    <t>Fig. 8B</t>
  </si>
  <si>
    <t>Salop Formation</t>
  </si>
  <si>
    <t>El Cobre Canyon Formation</t>
  </si>
  <si>
    <t>[68]</t>
  </si>
  <si>
    <t>Chama Basin</t>
  </si>
  <si>
    <t>P-45287</t>
  </si>
  <si>
    <t>[69]</t>
  </si>
  <si>
    <t>BRSMGCf</t>
  </si>
  <si>
    <t>BMNH</t>
  </si>
  <si>
    <t>DESESU</t>
  </si>
  <si>
    <t>[70]</t>
  </si>
  <si>
    <t>Wamsutta Formation</t>
  </si>
  <si>
    <t>Narragansett Basin</t>
  </si>
  <si>
    <t>[71]</t>
  </si>
  <si>
    <t>Insect resting trace</t>
  </si>
  <si>
    <t>SEMC</t>
  </si>
  <si>
    <t>F97</t>
  </si>
  <si>
    <t>Fossil Insect Collection, Division of Entomology, KU Natural History Museum, Lawrence, Kansas, USA</t>
  </si>
  <si>
    <t>Semily Formation</t>
  </si>
  <si>
    <t>Czech Republic</t>
  </si>
  <si>
    <t>[72]</t>
  </si>
  <si>
    <t>Planolites, Palaeophycus</t>
  </si>
  <si>
    <t>[73]</t>
  </si>
  <si>
    <t>Monongahela Group</t>
  </si>
  <si>
    <t>Thalassinoides</t>
  </si>
  <si>
    <t>Emery Brook Formation</t>
  </si>
  <si>
    <t>Planolites, Rusophycus</t>
  </si>
  <si>
    <t>Cochlichnus</t>
  </si>
  <si>
    <t>Parrsboro Formation</t>
  </si>
  <si>
    <t>1399/1</t>
  </si>
  <si>
    <t>[75]</t>
  </si>
  <si>
    <t>Bude Formation</t>
  </si>
  <si>
    <t>Kouphichnium, Planolites</t>
  </si>
  <si>
    <t>Culm Basin</t>
  </si>
  <si>
    <t>1399/4</t>
  </si>
  <si>
    <t>[76]</t>
  </si>
  <si>
    <t>Text-Fig. 4</t>
  </si>
  <si>
    <t>E.3837</t>
  </si>
  <si>
    <t>OUMNH</t>
  </si>
  <si>
    <t>Cochlichnus, Planolites</t>
  </si>
  <si>
    <t>[77]</t>
  </si>
  <si>
    <t>Fitzroy Tillite Formation</t>
  </si>
  <si>
    <t>Falkland Basin</t>
  </si>
  <si>
    <t>[78]</t>
  </si>
  <si>
    <t>Falkland Islands</t>
  </si>
  <si>
    <t>Pagoda Formation</t>
  </si>
  <si>
    <t>Antarctica</t>
  </si>
  <si>
    <t>Transantarctic Basin</t>
  </si>
  <si>
    <t>[79]</t>
  </si>
  <si>
    <t>Planolites, Cruziana</t>
  </si>
  <si>
    <t>Kladno Formation</t>
  </si>
  <si>
    <t>[80]</t>
  </si>
  <si>
    <t>Radnice Basin</t>
  </si>
  <si>
    <t>Národní Muzeum, Paleontology Department, Prague, Czech Republic</t>
  </si>
  <si>
    <t>M2081</t>
  </si>
  <si>
    <t>Arthropod Trackway</t>
  </si>
  <si>
    <t>Conichnus</t>
  </si>
  <si>
    <t>Anderson, A. (1975). Limulid trackways in the late Palaeozoic Ecca sediments and their palaeoenvironmental significance. South African Journal of Science, 71(August), 249–251.</t>
  </si>
  <si>
    <t>[82]</t>
  </si>
  <si>
    <t>K1124</t>
  </si>
  <si>
    <t>Iziko South African Museum, Cape Town, South Africa</t>
  </si>
  <si>
    <t>SAM</t>
  </si>
  <si>
    <t>Vryheid Formation</t>
  </si>
  <si>
    <t>Turner, B. R., Stanistreet, I. G., &amp; Whateley, M. K. G. (1981). Trace fossils and palaeoenvironments in the Ecca group of the Nongoma Graben, northern Zululand, South Africa. Palaeogeography, Palaeoclimatology, Palaeoecology, 36(1–2), 113–123. https://doi.org/10.1016/0031-0182(81)90053-5</t>
  </si>
  <si>
    <t>Stanistreet, I. G., Le Blanc Smith, G., &amp; Cadle, A. B. (1980). Trace fossils as sedimentological and palaeoenvironmental indices in the Ecca group (lower Permian) of the Transvaal. Transactions Geological Society of South Africa, 83(3), 33–344.</t>
  </si>
  <si>
    <t>Pearson, P. N. (1992). Walking traces of the giant myriapod Arthropleura from the Strathclyde Group (Lower Carboniferous) of Fife. Scottish Journal of Geology, 28, 127–133.</t>
  </si>
  <si>
    <t>Hampson, G. J. (1997). A sequence stratigraphic model for deposition of the Lower Kinderseout Delta, an Upper Carboniferous turbidite-fronted delta. Proceedings of the Yorkshire Geological Society, 51(4), 273–296. https://doi.org/10.1144/pygs.51.4.273</t>
  </si>
  <si>
    <t>Eagar, R. M. C., Baines, J. G., Collinson, J. D., Hardy, P. G., Okolo, S. A., &amp; Pollard, J. E. (1985). Trace fossil assemblages and the occurrence in Silesian (mid-Carboniferous) deltaic sediments of the Central Pennine Basin, England. In H. A. Curran (Ed.), Biogenic Structures: Their Use in Interpreting Depositional Environments (pp. 99–149). Society of Economic Paleontologists and Mineralogists.</t>
  </si>
  <si>
    <t>Buckman, J. O. (1997). An unusual new trace fossil from the lower carboniferous of Ireland: Intexalvichnus magnus. Journal of Paleontology, 71(2), 316–324. https://doi.org/10.1017/S0022336000039226</t>
  </si>
  <si>
    <t>Schatz, E. R., Mángano, M. G., Buatois, L. A., &amp; Limarino, C. O. (2011). Life in the Late Paleozoic ice age: trace fossils from glacially influenced deposits in a Late Carboniferous fjord of western Argentina. Journal of Paleontology, 85(3), 502–518. https://doi.org/10.1666/10-046.1</t>
  </si>
  <si>
    <t>Pazos, P. J. (2002). The Late Carboniferous Glacial to Postglacial Transition: Facies and Sequence Stratigraphy, Western Paganzo Basin, Argentina. Gondwana Research, 5(2), 467–487. https://doi.org/10.1016/S1342-937X(05)70736-X</t>
  </si>
  <si>
    <t>Buatois, L. A., &amp; Mángano, M. G. (2003). Caracterización icnológica y paleoambiental de la localidad tipo de Orchesteropus atavus Frenguelli, Huerta de Huachi, provincia de San Juan, Argentina. Ameghiniana, 40(1), 53–70.</t>
  </si>
  <si>
    <t>Buatois, L. A., &amp; Mángano, M. G. (1995). Post glacial lacustrine event sedimentation in an ancient mountain setting: Carboniferous Lake Malanzán (Western Argentina). Journal of Paleolimnology, 14(1), 1–22. https://doi.org/10.1007/BF00682591</t>
  </si>
  <si>
    <t>Pazos, P. J., Di Pasquo, M., &amp; Amenabar, C. R. (2007). Trace fossils of the glacial to postglacial transition in the el imperial formation (Upper Carboniferous), San Rafael Basin, Argentina. SEPM Special Publications, 88(88), 137–147. https://doi.org/10.2110/pec.07.88.0137</t>
  </si>
  <si>
    <t>Scarboro, D. D., &amp; Tucker, M. E. (1995). Amphibian footprints from the mid-Carboniferous of Northumberland, England: Sedimentological context, preservation and significance. Palaeogeography, Palaeoclimatology, Palaeoecology, 113, 335–349.</t>
  </si>
  <si>
    <t>Briggs, D. E. G., &amp; Rolfe, W. D. I. (1983). A Giant Arthropod Trackway from the Lower Mississippian of Pennsylvania. Journal of Paleontology, 57(2), 377–390.</t>
  </si>
  <si>
    <t>Briggs, D. E. G., Rolfe, W. D. I., &amp; Brannan, J. (1979). A Giant Myriapod Trail From the Namurian of Arran, Scotland. Palaeontology, 22(2), 273–291.</t>
  </si>
  <si>
    <t>Graham, J. R., &amp; Pollard, J. E. (1982). Occurrence of the Trace Fossil Beaconites antarcticus in the Lower Carboniferous Fluviatile Rocks of County Mayo, Ireland. Palaeogeography, Palaeoclimatology, Palaeoecology, 38, 257–268.</t>
  </si>
  <si>
    <t>Pazos, P. J. (2000). Trace fossils and facies in glacial to postglacial deposits from the Paganzo basin (Late Carboniferous) central Precordillera, Argentina. Ameghiniana, 37(1), 23–38.</t>
  </si>
  <si>
    <t>Garvey, J. M., &amp; Hasiotis, S. T. (2008). An ichnofossil assemblage from the Lower Carboniferous Snowy Plains Formation, Mansfield Basin, Australia. Palaeogeography, Palaeoclimatology, Palaeoecology, 258(4), 257–276. https://doi.org/10.1016/j.palaeo.2007.11.002</t>
  </si>
  <si>
    <t>Fillmore, D. L., Lucas, S. G., &amp; Simpson, E. L. (2010). Invertebrate trace fossils in semi-arid to arid braided-ephemeral-river deposits of the Mississippian middle member of the Mauch Chunk Formation, eastern Pennsylvania, USA. Palaeogeography, Palaeoclimatology, Palaeoecology, 292(1–2), 222–244. https://doi.org/10.1016/j.palaeo.2010.03.047</t>
  </si>
  <si>
    <t>Pickerill, R. K. (1992). Carboniferous nonmarine invertebrate ichnocoenoses from southern New Brunswick, eastern Canada. Ichnos, 2(1), 21–35. https://doi.org/10.1080/10420949209380072</t>
  </si>
  <si>
    <t>Keighley, D. G., &amp; Pickerill, R. K. (1997). Systematic ichnology of the Maboy and Cumberland groups (Carboniferous) of western Cape Breton Island, eastern Canada, 1: burrows, pits, trails, and coprolites. Atlantic Geology, 33, 181–215. https://journals.lib.unb.ca/index.php/ag/article/view/2041</t>
  </si>
  <si>
    <t>Keighley, D. G., &amp; Pickerill, R. K. (1998). Systematic ichnology of the Mabou and Cumberland groups (Carboniferous) of western Cape Breton Island, eastern Canada, 2: Surface markings. Atlantic Geology, 34(2), 83–112. https://doi.org/10.4138/2041</t>
  </si>
  <si>
    <t>Keighley, D. G., &amp; Pickerill, R. K. (2003). Ichnocoenoses from the Carboniferous of eastern Canáda and their implications for the recognition of ichnofacies in nonmarine strata. Atlantic Geology, 39(1), 1–22. https://doi.org/10.4138/1046</t>
  </si>
  <si>
    <t>Buatois, L. A., &amp; Mángano, M. G. (1993). Trace fossils from a Carboniferous turbiditic lake: Implications for the recognition of additional nonmarine ichnofacies. Ichnos, 2(3), 237–258. https://doi.org/10.1080/10420949309380098</t>
  </si>
  <si>
    <t>Buatois, L. A., &amp; Mángano, M. G. (1995). The paleoenvironmental and paleoecological significance of the lacustrine mermia ichnofacies: An archetypical subaqueous nonmarine trace fossil assemblage. Ichnos, 4(2), 151–161. https://doi.org/10.1080/10420949509380122</t>
  </si>
  <si>
    <t>Buatois, L. A., Netto, R. G., &amp; Mángano, M. G. (2010). Ichnology of late Paleozoic postglacial transgressive deposits in Gondwana: Reconstructing salinity condi- tions in coastal ecosystems affected by strong meltwater discharge. In O. R. López-Gamundí &amp; L. A. Buatois (Eds.), Late Paleozoic Glacial Events and Postglacial Transgressions in Gondwana (Vol. 468, Issue 07, pp. 149–173). The Geological Society of America. https://doi.org/10.1130/2010.2468(07)</t>
  </si>
  <si>
    <t>Buatois, L. A., &amp; Del Papa, C. E. (2003). Trazas fósiles de la cuenca Tarija, Carbonífero Superior del norte argentino: aspectos icnológicos de la glaciación gondwánica. Asociación Paleontológica Argentina, 9, 119–130.</t>
  </si>
  <si>
    <t>Archer, A. W., &amp; Maples, C. G. (1984). Trace-Fossil Distribution across a Marine-to-Nonmarine Gradient in the Pennsylvanian of Southwestern Indiana. Journal of Paleontology, 58(2), 448–466.</t>
  </si>
  <si>
    <t>Miller, M. F. (1982). Limulicubichnus: A New Ichnogenus of Limulid Resting Traces. Journal of Paleontology, 56(2), 429–433.</t>
  </si>
  <si>
    <t>Falcon-Lang, H. J., Benton, M. J., Braddy, S. J., &amp; Davies, S. J. (2006). The Pennsylvanian tropical biome reconstructed from the Joggins Formation of Nova Scotia, Canada. Journal of the Geological Society, 163(3), 561–576. https://doi.org/10.1144/0016-764905-063</t>
  </si>
  <si>
    <t>Archer, A. W., Calder, J. H., Gibling, M. R., Naylor, R. D., Reid, D. R., &amp; Wightman, W. G. (1995). Invertebrate trace fossils and agglutinated foraminifera as indicators of marine influence within the classic Carboniferous section at Joggins, Nova Scotia, Canada. Canadian Journal of Earth Sciences, 32(12), 2027–2039. https://doi.org/10.1139/e95-156</t>
  </si>
  <si>
    <t>Prescott, Z. M., Stimson, M. R., Dafoe, L. T., Gibling, M. R., Macrae, R. A., Calder, J. H., &amp; Hebert, B. L. (2014). MICROBIAL MATS AND ICHNOFAUNA OF A FLUVIAL-TIDAL CHANNEL IN THE LOWER PENNSYLVANIAN JOGGINS FORMATION, CANADA. PALAIOS, 29(12), 624–645. https://doi.org/10.2110/palo.2013.073</t>
  </si>
  <si>
    <t>Pashin, J. C. (2005). POTTSVILLE STRATIGRAPHY AND THE UNION CHAPEL LAGERSTÄTTE. In R. J. Buta, A. K. Rindsberg, &amp; D. C. Kopaska-Merkel (Eds.), Pennsylvanian Footprints in the Black Warrior Basin of Alabama (Vol. 1, Issue 1, pp. 39–58). Alabama Paleontological Society Monograph.</t>
  </si>
  <si>
    <t>Romano, M., &amp; Meléndez, B. (1985). An Arthropod (Merostome) Ichnocoenosis from the Carboniferous of Northwest Spain. In J. T. Dutro &amp; H. W. Pfefferkorn (Eds.), Neuvième Congrès International de Stratigraphique et de Géologie du Carbonifère (pp. 317–325). Southern Illinois University Press, Carbondale &amp; Edwardsville.</t>
  </si>
  <si>
    <t>Gastaldo, R. A., &amp; Degges, C. W. (2007). Sedimentology and paleontology of a Carboniferous log jam. International Journal of Coal Geology, 69(1–2), 103–118. https://doi.org/10.1016/j.coal.2006.02.011</t>
  </si>
  <si>
    <t>Melchor, R. N., &amp; Cardonatto, M. C. (2014). Insights on the Behavior of Late Paleozoic Aquatic Crustaceans (Pygocephalomorpha?): Compound Trace Fossils from Western Argentina. Ichnos, 21(2), 76–99. https://doi.org/10.1080/10420940.2013.879868</t>
  </si>
  <si>
    <t>Netto, R. G., Balistieri, P. R. M. N., Lavina, E. L. C., &amp; Silveira, D. M. (2009). Ichnological signatures of shallow freshwater lakes in the glacial Itararé Group (Mafra Formation, Upper Carboniferous-Lower Permian of Paraná Basin, S Brazil). Palaeogeography, Palaeoclimatology, Palaeoecology, 272(3–4), 240–255. https://doi.org/10.1016/j.palaeo.2008.10.028</t>
  </si>
  <si>
    <t>Lima, J. H. D., Netto, R. G., Corrêa, C. G., &amp; Lavina, E. L. C. (2015). Ichnology of deglaciation deposits from the Upper Carboniferous Rio do Sul Formation (Itararé Group, Paraná Basin) at central-east Santa Catarina State (southern Brazil). Journal of South American Earth Sciences, 63(August), 137–148. https://doi.org/10.1016/j.jsames.2015.07.008</t>
  </si>
  <si>
    <t>Savage, N. M. (1970). A Preliminary Note on Arthropod Trace Fossils from the Dwyka Series in Natal. Proceedings and Papers of the Second Gondwana Symposium, 627–635.</t>
  </si>
  <si>
    <t>Savage, N. M. (1971). A Varvite Ichnocoenosis From the Dwyka Series of Natal. Lethaia, 4(2), 217–233. https://doi.org/10.1111/j.1502-3931.1971.tb01290.x</t>
  </si>
  <si>
    <t>Anderson, A. M. (1970). An analysis of supposed fish trails from interglacial sediments in the Dwyka Series, near Vryheid, Natal. Proceedings Papers of the Second Gondwana Symposium, 637–647.</t>
  </si>
  <si>
    <t>Anderson, A. M. (1975). Turbidites and arthropod trackways in the Dwyka glacial deposits (early Permian) of southern Africa. Transactions of the Geological Society of South Africa, 78(2), 265–273.</t>
  </si>
  <si>
    <t>Anderson, A. M. (1981). The Umfolozia Arthropod Trackways in the Permian Dwyka and Ecca Series of South Africa. Journal of Paleontology, 55, 84–108.</t>
  </si>
  <si>
    <t>Falcon-Lang, H. J., Pufahl, P. K., Bashforth, A. R., Gibling, M. R., Miller, R. F., &amp; Minter, N. J. (2015). A Marine Incursion In the Lower Pennsylvanian Tynemouth Creek Formation, Canada: Implications For Paleogeography, Stratigraphy and Paleoecology. PALAIOS, 30(11), 779–791. https://doi.org/10.2110/palo.2015.031</t>
  </si>
  <si>
    <t>Falcon-Lang, H. J., Minter, N. J., Bashforth, A. R., Gibling, M. R., &amp; Miller, R. F. (2015). Mid-Carboniferous diversification of continental ecosystems inferred from trace fossil suites in the Tynemouth Creek Formation of New Brunswick, Canada. Palaeogeography, Palaeoclimatology, Palaeoecology, 440, 142–160. https://doi.org/10.1016/j.palaeo.2015.09.002</t>
  </si>
  <si>
    <t>Chisholm, J. I. (1985). Xiphosurid Burrows From the Lower Coal Measures (Westphalian A) of West Yorkshire. Palaeontology, 28(4), 619–628.</t>
  </si>
  <si>
    <t>Desjardins, P. R., Buatois, L. A., Mángano, M. G., &amp; Limarino, C. O. (2010). Ichnology of the latest Carboniferous-earliest Permian transgression in the Paganzo Basin of western Argentina: The interplay of ecology, sea-level rise, and paleogeography during postglacial times in Gondwana. In O. R. López-Gamundí &amp; L. A. Buatois (Eds.), Late Paleozoic Glacial Events and Postglacial Transgressions in Gondwana (Vol. 468, pp. 175–192). The Geological Society of America. https://doi.org/10.1130/2010.2468(08)</t>
  </si>
  <si>
    <t>Maples, C. G., &amp; Archer, A. W. (1987). Redescription of Early Pennsylvanian Trace-Fossil Holotypes from the Nonmarine Hindostan Whetstone Beds of Indiana. Journal of Paleontology, 61(5), 890–897.</t>
  </si>
  <si>
    <t>Kvale, E. P., Archer, A. W., &amp; Johnson, H. R. (1989). Daily, monthly, and yearly tidal cycles within laminated siltstones of the Mansfield Formation (Pennsylvanian) of Indiana. Geology, 17(4), 365. https://doi.org/10.1130/0091-7613(1989)017&lt;0365:DMAYTC&gt;2.3.CO;2</t>
  </si>
  <si>
    <t>Mángano, M. G., Labandeira, C. C., Kvale, E. P., &amp; Buatois, L. A. (2001). The insect trace fossil Tonganoxichnus from the middle Pennsylvanian of Indiana: Paleobiologic and paleoenvironmental implications. Ichnos, 8(3–4), 165–175. https://doi.org/10.1080/10420940109380184</t>
  </si>
  <si>
    <t>Lucas, S. G., &amp; Lerner, A. J. (2005). LOWER PENNSYLVANIAN INVERTEBRATE ICHNOFOSSILS FROM THE UNION CHAPEL MINE, ALABAMA: A PRELIMINARY ASSESSMENT. In R. J. Buta, A. K. Rindsberg, &amp; D. C. Kopaska-Merkel (Eds.), Pennsylvanian Footprints in the Black Warrior Basin of Alabama (pp. 147–152). Alabama Paleontological Society Monograph.</t>
  </si>
  <si>
    <t>Rindsberg, A. K., &amp; Kopaska-Merkel, D. C. (2005). Treptichnus and Arenicolites from the Steven C . Minkin Paleozoic footprint Site. In R. J. Buta, A. K. Rindsberg, &amp; D. C. Kopaska-Merkel (Eds.), Pennsylvanian Footprints in the Black Warrior Basin of Alabama (Issue September 2016, pp. 121–141). Alabama Paleontological Society Monograph.</t>
  </si>
  <si>
    <t>Lucas, S. G., Lerner, A. J., Bruner, M., &amp; Shipman, P. (2004). Middle Pennsylvanian ichnofauna from Eastern Oklahoma, USA. Ichnos, 11(1–2), 45–55. https://doi.org/10.1080/10420940490442322</t>
  </si>
  <si>
    <t>Buatois, L. A., Mángano, M. G., &amp; Maples, C. G. (1997). The paradox of nonmarine ichnofaunas in tidal rhythmites: integrating sedimentologic and ichnologic data from the Late Carboniferous of eastern Kansas, USA. PALAIOS, 12, 467–481.</t>
  </si>
  <si>
    <t>Buatois, L. A., Mángano, M. G., Maples, C. G., &amp; Lanier, W. P. (1998). ICHNOLOGY OF AN UPPER CARBONIFEROUS FLUVIO-ESTUARINE PALEOVALLEY: THE TONGANOXIE SANDSTONE, BUILDEX QUARRY, EASTERN KANSAS, USA. Journal of Paleontology, 72(1), 152–180.</t>
  </si>
  <si>
    <t>Mángano, M. G., Buatois, L. A., Maples, C. G., &amp; Lanier, W. P. (1997). Tonganoxichnus a new insect trace from the Upper Carboniferous of eastern Kansas. Lethaia, 30(2), 113–125. https://doi.org/10.1111/j.1502-3931.1997.tb00451.x</t>
  </si>
  <si>
    <t>Buatois, L. A., Màngano, M. G., Maples, C. G., &amp; Lanier, W. P. (1998). Taxonomic reassessment of the ichnogenus Beaconichnus and additional examples from the Carboniferous of Kansas, U.S.A. Ichnos, 5(4), 287–302. https://doi.org/10.1080/10420949809386427</t>
  </si>
  <si>
    <t>Soler-Gijón, R., &amp; Moratalla, J. J. (2001). Fish and tetrapod trace fossils from the Upper Carboniferous of Puertollano, Spain. Palaeogeography, Palaeoclimatology, Palaeoecology, 171(1–2), 1–28. https://doi.org/10.1016/S0031-0182(01)00257-7</t>
  </si>
  <si>
    <t>Chisholm, J. I. (1983). Xiphosurid traces, Kouphichnium aff. variabilis (Linck) from the Namurian Upper Haslingden Flags of Whiworth, Lancashire. Institute of Geological Sciences Report, 83(10), 37–44.</t>
  </si>
  <si>
    <t>Hardy, P. G. (1970). New xiphosurid trails from the Upper Carboniferous of Northern England. Palaeontology, 13, 188–190.</t>
  </si>
  <si>
    <t>Miller, G. D. (1986). The sediments and trace fossils of the Rough Rock Group on Cracken Edge, Derbyshire. Mercian Geologist, 10(3), 189–202.</t>
  </si>
  <si>
    <t>Kane, I. A. (2010). Turbulence, displacement, death and worms: a day in the life of a fluvial Carboniferous bivalve. Lethaia, 43(3), 381–395. https://doi.org/10.1111/j.1502-3931.2009.00202.x</t>
  </si>
  <si>
    <t>Ferguson, L. (1966). The Recovery of Some Large Track-Bearing Slabs from Joggins, Nova Scotia. Maritime Sediment, 2, 128–130.</t>
  </si>
  <si>
    <t>Ferguson, L. (1975). The Joggins Section. Atlantic Geology, 11(2), 69–76. https://doi.org/10.4138/1820</t>
  </si>
  <si>
    <t>Briggs, D. E. G., Plint, A. G., &amp; Pickerill, R. K. (1984). Arthropleura trails from the Westphalian of eastern Canada. Palaeontology, 27(4), 843–855.</t>
  </si>
  <si>
    <t>Falcon-Lang, H. J., Gibling, M. R., Benton, M. J., Miller, R. F., &amp; Bashforth, A. R. (2010). Diverse tetrapod trackways in the Lower Pennsylvanian Tynemouth Creek Formation, near St. Martins, southern New Brunswick, Canada. Palaeogeography, Palaeoclimatology, Palaeoecology, 296(1–2), 1–13. https://doi.org/10.1016/j.palaeo.2010.06.020</t>
  </si>
  <si>
    <t>Ryan, R. J. (1986). Fossil myriapod trials in the Permo-Carboniferous strata of northern Nova Scotia, Canada. Maritime Sediments &amp; Atlantic Geology, 22(2), 156–161. https://doi.org/10.4138/1604</t>
  </si>
  <si>
    <t>Braddy, S. J., &amp; Anderson, L. I. (1996). An Upper Carboniferous eurypterid trackway from Mostyn, Wales. Proceedings of the Geologists’ Association, 107(1), 51–56. https://doi.org/10.1016/S0016-7878(96)80067-8</t>
  </si>
  <si>
    <t>Tucker, L., &amp; Smith, M. P. (2004). A multivariate taxonomic analysis of the Late Carboniferous vertebrate ichnofauna of Alveley, southern Shropshire, England. Palaeontology, 47(3), 679–710. https://doi.org/10.1111/j.0031-0239.2004.00377.x</t>
  </si>
  <si>
    <t>Lucas, S. G., Lerner, A. J., Hannibal, J. T., Hunt, A. P., &amp; Schneider, J. W. (2005). Trackway of Giant Arthopleura From El Cobre Canyon, New Mexico. In S. G. Lucas, K. E. Zeigler, V. W. Leuth, &amp; D. E. Owen (Eds.), Geology of the Chama Basin, vol 56, New Mexico Geological Society Guidebook, Fall Field Conference Guidebook (pp. 279–282). New Mexico Geological Society. https://www.researchgate.net/publication/238748663</t>
  </si>
  <si>
    <t>Pollard, J. E., &amp; Hardy, P. G. (1991). Trace fossils from the Westphalian D of Writhlington Geological Nature Reserve, nr. Radstock, Avon. Proceedings of the Geologists’ Association, 102(3), 169–178. https://doi.org/10.1016/S0016-7878(08)80214-3</t>
  </si>
  <si>
    <t>Buatois, L. A., &amp; Mángano, M. G. (2002). Trace fossils from Carboniferous floodplain deposits in western Argentina: Implications for ichnofacies models of continental environments. Palaeogeography, Palaeoclimatology, Palaeoecology, 183(1–2), 71–86. https://doi.org/10.1016/S0031-0182(01)00459-X</t>
  </si>
  <si>
    <t>Knecht, R. J., Engel, M. S., &amp; Benner, J. S. (2011). Late Carboniferous paleoichnology reveals the oldest full-body impression of a flying insect. Proceedings of the National Academy of Sciences, 108(16), 6515–6519. https://doi.org/10.1073/pnas.1015948108</t>
  </si>
  <si>
    <t>Mikuláš, R. (1999). APRESENT-DAY STATE OF ICHNOLOGICAL RESEARCH OF THE LATE PALAEOZOIC COAL-BEARING BASINS OF THE BOHEMIAN MASSIF (CZECH REPUBLIC). Acta Universitatis Palackianae Olomucensis Facultas Rerum Naturalum, GEOLOGICA, 36, 39–49.</t>
  </si>
  <si>
    <t>Hembree, D. I., Nadon, G. C., &amp; King, M. R. (2011). Large, complex burrow systems from freshwater deposits of the Monongahela Group (Virgilian), Southeast Ohio, USA. Palaeogeography, Palaeoclimatology, Palaeoecology, 300(1–4), 128–137. https://doi.org/10.1016/j.palaeo.2010.12.016</t>
  </si>
  <si>
    <t>Mossman, D. J., &amp; Grantham, R. G. (2000). Vertebrate trackways in the Parrsboro Formation (upper Carboniferous) at Rams Head, Cumberland County, Nova Scotia. Atlantic Geology, 35(3), 186–196. https://doi.org/10.4138/2032</t>
  </si>
  <si>
    <t>Goldring, R., &amp; Seilacher, A. (1971). Limulid undertracks and their sedimentological implications. Neues Jahrbuch Für Geologie Und Paläontologie, 137(3), 422–442.</t>
  </si>
  <si>
    <t>Higgs, R. (1988). Fish trails in the Upper Carboniferous of south-west England. Palaeontology, 31(2), 255–272.</t>
  </si>
  <si>
    <t>Elliott, R. E. (1985). An interpretation of the trace fossil Cochlichnus kochi (Ludwig) from the East Pennine Coalfield of Britain. Proceedings of the Yorkshire Geological Society, 45(3), 183–187. https://doi.org/10.1144/pygs.45.3.183</t>
  </si>
  <si>
    <t>Trewin, N. H., MacDonald, D. I. M., &amp; Thomas, C. G. C. (2002). Stratigraphy and sedimentology of the Permian of the Falkland Islands: Lithostratigraphic and palaeoenvironmental links with South Africa. Journal of the Geological Society, 159(1), 5–19. https://doi.org/10.1144/0016-764900-089</t>
  </si>
  <si>
    <t>Isbell, J. L., Miller, M. F., Babcock, L. E., &amp; Hasiotis, S. T. (2001). Ice‐marginal environment and ecosystem prior to initial advance of the late Palaeozoic ice sheet in the Mount Butters area of the central Transantarctic Mountains, Antarctica. Sedimentology, 48(5), 953–970. https://doi.org/10.1046/j.1365-3091.2001.00403.x</t>
  </si>
  <si>
    <t>Turek, V. (1989). Fish and amphibian trace fossils from Westphalian sediments of Bohemia. Palaeontology, 32(3), 623–643.</t>
  </si>
  <si>
    <t>Walter, H. (1982). Neue Arthropodenfährten aus den Oberhöfer Schichten (Rotliegendes, Thüringer Wald) mit Bemerkungen über Ichnia limnisch-terrestrischer Tuffite innerhalb der varistischen Molasse. Freiberger Forschungsheft C, 375, 87–100.</t>
  </si>
  <si>
    <t>Palaeophycus, Protovirgularia</t>
  </si>
  <si>
    <t>Abo Formation</t>
  </si>
  <si>
    <t>[85]</t>
  </si>
  <si>
    <t>Lucas, S. G., &amp; Lerner, A. J. (2004). Extensive ichnofossil assemblage at the base of the Permian Abo Formation, Carrizo Arroyo, New Mexico. In S. G. Lucas &amp; K. E. Zeigler (Eds.), Carboniferous-Permian transition (Issue 25, pp. 285–290). New Mexico Museum of Natural History and Science Bulletin.</t>
  </si>
  <si>
    <t>Robledo Mountains Formation</t>
  </si>
  <si>
    <t>Minter, N. J., Lucas, S. G., Lerner, A. J., &amp; Braddy, S. J. (2008). Augerinoichnus helicoidalis, a new helical trace fossil from the nonmarine Permian of New Mexico. Journal of Paleontology, 82(6), 1201–1206.</t>
  </si>
  <si>
    <t>Minter, N. J., &amp; Braddy, S. J. (2009). Ichnology of an Early Permian intertidal flat: The Robledo Mountains Formation of southern New Mexico, USA. Special Papers in Palaeontology, 82, 1–107. https://doi.org/10.1111/j.1475-4983.2009.00911.x</t>
  </si>
  <si>
    <t>P-24023</t>
  </si>
  <si>
    <t>[87]</t>
  </si>
  <si>
    <t>Voigt, S., Lucas, S. G., &amp; Krainer, K. (2013). Coastal-plain origin of trace-fossil bearing red beds in the Early Permian of Southern New Mexico, U.S.A. Palaeogeography, Palaeoclimatology, Palaeoecology, 369(November 2010), 323–334. https://doi.org/10.1016/j.palaeo.2012.10.041</t>
  </si>
  <si>
    <t>Lithographus</t>
  </si>
  <si>
    <t>P-23067</t>
  </si>
  <si>
    <t>P-24297</t>
  </si>
  <si>
    <t>P-62410</t>
  </si>
  <si>
    <t>P-62506</t>
  </si>
  <si>
    <t>P-62592</t>
  </si>
  <si>
    <t>P-62507</t>
  </si>
  <si>
    <t>P-24018</t>
  </si>
  <si>
    <t>[88]</t>
  </si>
  <si>
    <t>Braddy, S. J. (1995). A new arthropod trackway and associated invertebrate ichnofauna from the Lower Permian Hueco Formation of the Robledo Mountains, southern New Mexico. In S. G. Lucas &amp; A. B. Heckert (Eds.), Early Permian footprints and facies (pp. 101–105). New Mexico Museum of Natural History and Science Bulletin.</t>
  </si>
  <si>
    <t>P-23404</t>
  </si>
  <si>
    <t>P-23201</t>
  </si>
  <si>
    <t>Braddy, S. J., &amp; Briggs, D. E. G. (2002). New lower Permian nonmarine arthropod trace fossils from New Mexico and South Africa. Journal of Paleontology, 76(3), 546–557. https://doi.org/10.1017/s0022336000037367</t>
  </si>
  <si>
    <t>P-24020</t>
  </si>
  <si>
    <t>[90]</t>
  </si>
  <si>
    <t>Minter, N. J., &amp; Braddy, S. J. (2006). Walking and jumping with Palaeozoic apterygote insects. Palaeontology, 49(4), 827–835. https://doi.org/10.1111/j.1475-4983.2006.00571.x</t>
  </si>
  <si>
    <t>P-24242</t>
  </si>
  <si>
    <t>P-24019</t>
  </si>
  <si>
    <t>P-24292</t>
  </si>
  <si>
    <t>Minter, N. J., Buatois, L. A., Lucas, S. G., Braddy, S. J., &amp; Smith, J. A. (2006). Spiral-shaped graphoglyptids from an Early Permian intertidal flat. Geology, 34(12), 1057. https://doi.org/10.1130/G22722A.1</t>
  </si>
  <si>
    <t>Lerner, A. J., &amp; Lucas, S. G. (2015). A Selenichnites ichnoassociation from the early Permian tidal flats of the Prehistoric Trackways National Monument of south-central New Mexico. In S. G. Lucas &amp; W. A. DiMichele (Eds.), Carboniferous-Permian Transition in the Robledo Mountains, Southern New Mexico (Vol. 65, pp. 141–152). New Mexico Museum of Natural History and Science Bulletin.</t>
  </si>
  <si>
    <t>[92]</t>
  </si>
  <si>
    <t>P-64510</t>
  </si>
  <si>
    <t>P-68490</t>
  </si>
  <si>
    <t>Faciemichnus</t>
  </si>
  <si>
    <t>P-64548</t>
  </si>
  <si>
    <t>P-64554</t>
  </si>
  <si>
    <t>P-68489</t>
  </si>
  <si>
    <t>P-64544</t>
  </si>
  <si>
    <t>P-64546</t>
  </si>
  <si>
    <t>P-64549</t>
  </si>
  <si>
    <t>P-66532</t>
  </si>
  <si>
    <t>P-64551</t>
  </si>
  <si>
    <t>Citation</t>
  </si>
  <si>
    <t>P-37474</t>
  </si>
  <si>
    <t>Diplichnites, Treptichnus, Sphaerapus</t>
  </si>
  <si>
    <t>Lucas, S. G., Voigt, S., Lerner, A. J., &amp; Nelson, W. J. (2011). Late Early Permian continental ichnofauna from Lake Kemp, north-central Texas, USA. Palaeogeography, Palaeoclimatology, Palaeoecology, 308(3–4), 395–404. https://doi.org/10.1016/j.palaeo.2011.05.047</t>
  </si>
  <si>
    <t>[94]</t>
  </si>
  <si>
    <t>Clear Fork Formation</t>
  </si>
  <si>
    <t>Earp Formation</t>
  </si>
  <si>
    <t>Lucas, S. G., &amp; Hunt, A. P. (1995). Stratigraphy and paleontology of the Lower Permian Earp Formation, Big Hatchet Mountains, Hidalgo County, New Mexico. In S. G. Lucas &amp; A. B. Heckert (Eds.), Early Permian footprints and facies (pp. 287–301). New Mexico Museum of Natural History and Science Bulletin.</t>
  </si>
  <si>
    <t>Planolites, Skolithos, Taenidium</t>
  </si>
  <si>
    <t>Abbreviation</t>
  </si>
  <si>
    <t>Ridgway, J. M. (1974). A Problematical Trace Fossil from the New Red Sandstone of South Devon. Proceedings of the Geologists’ Association, 85(4), 511–517. https://doi.org/10.1016/S0016-7878(74)80072-6</t>
  </si>
  <si>
    <t>Ridgway, J. M. (1976). Reply: a problematical trace fossil from the New Red Sandstone of south Devon. Proceedings of the Geologists’ Association, 87(1), 108–109. https://doi.org/10.1016/S0016-7878(76)80042-9</t>
  </si>
  <si>
    <t>Pollard, J. E. (1976). A problematic trace fossil from the Tor Bay Breccias of south Devon. Proceedings of the Geologists’ Association, 87(1), 105–108. https://doi.org/10.1016/S0016-7878(76)80041-7</t>
  </si>
  <si>
    <t>Wessex Basin</t>
  </si>
  <si>
    <t>Cochlichnus, Helmintoidichnites, Helminthopsis, Ctenopholeus</t>
  </si>
  <si>
    <t>Buatois, L. A., Jalfin, G., &amp; Aceñolaza, F. G. (1997). Permian Nonmarine Invertebrate Trace Fossils from Southern Patagonia, Argentina: Ichnologic Signatures of Substrate Consolidation and Colonization Sequences. Journal of Paleontology, 71(2), 324–336. https://doi.org/10.1017/S0022336000039238</t>
  </si>
  <si>
    <t>La Golondrina Formation</t>
  </si>
  <si>
    <t>[99]</t>
  </si>
  <si>
    <t>Tambach Formation</t>
  </si>
  <si>
    <t>Eberth, D. A., Berman, D. S., Sumida, S. S., &amp; Hopf, H. (2000). Lower Permian Terrestrial Paleoenvironmentsand Vertebrate Paleoecology of the Tambach Basin (Thuringia, Central Germany): The Upland Holy Grail. Palaios, 15(4), 293–313. https://doi.org/10.1669/0883-1351(2000)015&lt;0293:LPTPAV&gt;2.0.CO;2</t>
  </si>
  <si>
    <t>[100]</t>
  </si>
  <si>
    <t>Germany</t>
  </si>
  <si>
    <t>Tambach Basin</t>
  </si>
  <si>
    <t>Patquía Formation</t>
  </si>
  <si>
    <t>Acenolaza, F. G., &amp; Buatois, L. A. (1993). Nonmarine perigondwanic trace fossils from the late Paleozoic of Argentina. Ichnos, 2(3), 183–201. https://doi.org/10.1080/10420949309380092</t>
  </si>
  <si>
    <t>Krapovickas, V., Mancuso, A. C., Arcucci, A., &amp; Caselli, A. (2010). Fluvial and eolian ichnofaunas from the Lower Permian of South America (Patquía Formation, Paganzo Basin). Geologica Acta, 8(4), 449–462. https://doi.org/10.1344/105.000001582</t>
  </si>
  <si>
    <t>[102]</t>
  </si>
  <si>
    <t>CRILAR</t>
  </si>
  <si>
    <t>Centro Regional de Investigaciones Científicas y Transferencia Tecnológica, Anillaco, Argentina</t>
  </si>
  <si>
    <t>Ic-2</t>
  </si>
  <si>
    <t>Ic-3</t>
  </si>
  <si>
    <t>Ic-4</t>
  </si>
  <si>
    <t>[101]</t>
  </si>
  <si>
    <t>Lucas, S. G., Minter, N. J., Spielmann, J. A., Hunt, A. P., &amp; Braddy, S. J. (2005). EARLY PERMIAN ICHNOFOSSIL ASSEMBLAGE FROM THE FRA CRISTOBAL MOUNTAINS, SOUTHERN NEW MEXICO. In S. G. Lucas, K. E. Zeigler, &amp; J. A. Spielmann (Eds.), The Permian of Central New Mexico (Vol. 31, pp. 140–150). New Mexico Museum of Natural History and Science Bulletin.</t>
  </si>
  <si>
    <t>[103]</t>
  </si>
  <si>
    <t>P-42583</t>
  </si>
  <si>
    <t>P-42581</t>
  </si>
  <si>
    <t>P-42176</t>
  </si>
  <si>
    <t>P-42593</t>
  </si>
  <si>
    <t>P-42595</t>
  </si>
  <si>
    <t>P-42602</t>
  </si>
  <si>
    <t>P-42603</t>
  </si>
  <si>
    <t>P-45838</t>
  </si>
  <si>
    <t>P-45839</t>
  </si>
  <si>
    <t>P-40869</t>
  </si>
  <si>
    <t>Lucas, S. G., Minter, N. J., Spielmann, J. A., Smith, J. A., &amp; Braddy, S. J. (2005). Early Permian ichnofossils from the northern Caballo Mountains, Sierra County, New Mexico. In S. G. Lucas, K. E. Zeigler, &amp; J. A. Spielmann (Eds.), The Permian of Central New Mexico (Vol. 31, Issue 31, pp. 151–162). Bulletin of the New Mexico Museum of Natural History and Science.</t>
  </si>
  <si>
    <t>P-40896</t>
  </si>
  <si>
    <t>[104]</t>
  </si>
  <si>
    <t>P-45801</t>
  </si>
  <si>
    <t>P-45756</t>
  </si>
  <si>
    <t>P-45778</t>
  </si>
  <si>
    <t>P-45803</t>
  </si>
  <si>
    <t>P-45797</t>
  </si>
  <si>
    <t>P-45782</t>
  </si>
  <si>
    <t>P-45779</t>
  </si>
  <si>
    <t>P-45764</t>
  </si>
  <si>
    <t>P-45761</t>
  </si>
  <si>
    <t>P-45773</t>
  </si>
  <si>
    <t>P-45770</t>
  </si>
  <si>
    <t>P-45818</t>
  </si>
  <si>
    <t>P-45821</t>
  </si>
  <si>
    <t>P-45757</t>
  </si>
  <si>
    <t>Gand, G., Kerp, H., Parsons, C., &amp; Martínez-García, E. (1997). Palaeoenvironmental and stratigraphic aspects of animal traces and plant remains in Spanish Permian red beds (Peña Sagra, Cantabrian Mountains, Spain). Geobios, 30, 295–318.</t>
  </si>
  <si>
    <t>La Cuesta Formation</t>
  </si>
  <si>
    <t>[105]</t>
  </si>
  <si>
    <t>Scoyenia, Skolithos</t>
  </si>
  <si>
    <t>Santander Basin</t>
  </si>
  <si>
    <t>Tasch, P. (1968). A Permian Trace Fossil from the Antarctic Ohio Range. Transactions of the Kansas Academy of Science, 71(1), 33–37.</t>
  </si>
  <si>
    <t>[106]</t>
  </si>
  <si>
    <t>Mount Glossopteris Formation</t>
  </si>
  <si>
    <t>[107]</t>
  </si>
  <si>
    <t>Tasch, P. (1968). Trace Fossils from the Permian Polarstar Formation Sentinel Mountains, Antarctica. Transactions of the Kansas Academy of Science, 71(2), 184–194.</t>
  </si>
  <si>
    <t>Gordia</t>
  </si>
  <si>
    <t>Scoyenia</t>
  </si>
  <si>
    <t>France</t>
  </si>
  <si>
    <t>DPC</t>
  </si>
  <si>
    <t>Danstairia</t>
  </si>
  <si>
    <t>Tiddas Basin</t>
  </si>
  <si>
    <t>Early Permian Red-Beds</t>
  </si>
  <si>
    <t>[109]</t>
  </si>
  <si>
    <t>Morocco</t>
  </si>
  <si>
    <t>[110]</t>
  </si>
  <si>
    <t>Voigt, S., Lagnaoui, A., Hminna, A., Saber, H., &amp; Schneider, J. W. (2011). Revisional notes on the Permian tetrapod ichnofauna from the Tiddas Basin, central Morocco. Palaeogeography, Palaeoclimatology, Palaeoecology, 302(3–4), 474–483. https://doi.org/10.1016/j.palaeo.2011.02.010</t>
  </si>
  <si>
    <t>Hunt, A. P., Lucas, S. G., &amp; Huber, P. (1990). Early Permian footprint fauna from the Sangre de Cristo Formation of northeastern New Mexico. In A. P. Hunt, S. G. Lucas, &amp; P. Huber (Eds.), Tectonic Development of the Southern Sangre de Cristo Mountains, New Mexico (pp. 291–303). New Mexico Geological Society. https://doi.org/10.56577/ffc-41.291</t>
  </si>
  <si>
    <t>Sangre de Cristo Formation</t>
  </si>
  <si>
    <t>P-14141</t>
  </si>
  <si>
    <t>Minter, N. J., &amp; Lucas, S. G. (2009). The arthropod trace fossil Cruziana and associated ichnotaxa from the lower Permian Abo Formation, Socorro County, New Mexico. New Mexico Geological Society Guidebook, 60, 291–298. https://doi.org/10.56577/ffc-60.291</t>
  </si>
  <si>
    <t>[111]</t>
  </si>
  <si>
    <t>P-50101</t>
  </si>
  <si>
    <t>P-51568</t>
  </si>
  <si>
    <t>P-51572</t>
  </si>
  <si>
    <t>P-51566</t>
  </si>
  <si>
    <t>P-51588</t>
  </si>
  <si>
    <t>P-51560</t>
  </si>
  <si>
    <t>P-51567</t>
  </si>
  <si>
    <t>P-51559</t>
  </si>
  <si>
    <t>Standenbühl Formation</t>
  </si>
  <si>
    <t>Saar-Nahe Basin</t>
  </si>
  <si>
    <t>[112]</t>
  </si>
  <si>
    <t>Schmidtgen, O. (1927). Tierfährten im oberen Rotliegenden bei Mainz. Palaeontologische Zeitschrift, 9, 101–109.</t>
  </si>
  <si>
    <t>Boy, J. A. (1976). Überblick über die Fauna des saarpfälzischen Rotliegenden (Unter-Perm). Mainzer Geowissenschaftliche Mitteilungen, 5(November), 13–85.</t>
  </si>
  <si>
    <t>Minter, N. J., Braddy, S. J., &amp; Voigt, S. (2007). Klein aber fein Die Arthropodenfährten aus dem Permokarbon des Saar-Nahe-Beckens. POLLICHIA, 10, 198–205.</t>
  </si>
  <si>
    <t>11 N123</t>
  </si>
  <si>
    <t>SSN</t>
  </si>
  <si>
    <t>Arnulf and Harald Stapf Collection, Paläontologisches Musuem, Nierstein, Germany</t>
  </si>
  <si>
    <t>Demathieu Private Collection, France</t>
  </si>
  <si>
    <t>NHMM</t>
  </si>
  <si>
    <t>Mainz Naturhistorisches Museum, Mainz, Germany</t>
  </si>
  <si>
    <t>[114]</t>
  </si>
  <si>
    <t>PWL 2005/85</t>
  </si>
  <si>
    <t>PWL 2005/86</t>
  </si>
  <si>
    <t>PWL 2005/87</t>
  </si>
  <si>
    <t>PWL 2005/88</t>
  </si>
  <si>
    <t>11 N97</t>
  </si>
  <si>
    <t>PWL 2005/94</t>
  </si>
  <si>
    <t>11 N99</t>
  </si>
  <si>
    <t>11 N173</t>
  </si>
  <si>
    <t>11 N139</t>
  </si>
  <si>
    <t>PWL 2005/89</t>
  </si>
  <si>
    <t>11 N95</t>
  </si>
  <si>
    <t>11 N85</t>
  </si>
  <si>
    <t>Tambia</t>
  </si>
  <si>
    <t>[113]</t>
  </si>
  <si>
    <t>1957/346</t>
  </si>
  <si>
    <t>1945/1255</t>
  </si>
  <si>
    <t>Abb. 4</t>
  </si>
  <si>
    <t>Abb. 6</t>
  </si>
  <si>
    <t>Sagra Formation</t>
  </si>
  <si>
    <t>Cruziana, Scoyenia, Skolithos, Spongeliomorpha</t>
  </si>
  <si>
    <t>DGOU</t>
  </si>
  <si>
    <t>G. Es. 9</t>
  </si>
  <si>
    <t>Michelbach Formation</t>
  </si>
  <si>
    <t>[115]</t>
  </si>
  <si>
    <t>Kozur, H., Löffler, M., &amp; Sittig, E. (1994). First evidence of Paleohelcura (arthropod trackway) in the Rotliegend of Europe. Neues Jahrb Geol Paläont Monatsh, 10, 618–632.</t>
  </si>
  <si>
    <t>Baden-Baden Basin</t>
  </si>
  <si>
    <t>MNA</t>
  </si>
  <si>
    <t>Museum of Northern Arizona, Flagstaff, Arizona, USA</t>
  </si>
  <si>
    <t>539/130</t>
  </si>
  <si>
    <t>539/170</t>
  </si>
  <si>
    <t>Debriette, P., &amp; Gand, G. (1990). Conséquences stratigraphiques et paléoenvironnementales de nouvelles observations paléontologiques dans le Permien de la partie occidentale du bassin de Lodève (sud du Massif central). Géologie de La France, 1, 19–32.</t>
  </si>
  <si>
    <t>[116]</t>
  </si>
  <si>
    <t>Saint-Xist Formation</t>
  </si>
  <si>
    <t>Lodève Basin</t>
  </si>
  <si>
    <t>Cruziana, Rusophycus, Diplichnites, Scoyenia</t>
  </si>
  <si>
    <t>Fig. 4H</t>
  </si>
  <si>
    <t>Fig. 4F</t>
  </si>
  <si>
    <t>Fig. 4G</t>
  </si>
  <si>
    <t>Fig. 4E</t>
  </si>
  <si>
    <t>Coconino Sandstone</t>
  </si>
  <si>
    <t>Diplopodichnus, Lithographus, Octopodichnus, Paleohelcura, Oniscoidichnus, Taenidium, Scolecocoprus</t>
  </si>
  <si>
    <t>NMNH</t>
  </si>
  <si>
    <t>Smithsonian National Museum of Natural History, Washington DC, USA</t>
  </si>
  <si>
    <t>Gilmore, C. W. (1926). Fossil footprints from the Grand Canyon (Vol. 77, Issue 9). Smithsonian Miscellaneous Collections.</t>
  </si>
  <si>
    <t>[117]</t>
  </si>
  <si>
    <t>Octopodichnus</t>
  </si>
  <si>
    <t>[118]</t>
  </si>
  <si>
    <t>Gilmore, C. W. (1927). Fossil Footprints from the Grand Canyon: Second Contribution (Vol. 80, Issue 3). Smithsonian Miscellaneous Collections.</t>
  </si>
  <si>
    <t>G2.2688</t>
  </si>
  <si>
    <t>[119]</t>
  </si>
  <si>
    <t>Brady, L. F. (1947). Invertebrate tracks from the Coconino Sandstone of northern Arizona. Journal of Paleontology, 21(5), 466–472.</t>
  </si>
  <si>
    <t>G2.2082</t>
  </si>
  <si>
    <t>G2.2087</t>
  </si>
  <si>
    <t>G2.235</t>
  </si>
  <si>
    <t>G2.1450</t>
  </si>
  <si>
    <t>G2.236</t>
  </si>
  <si>
    <t>G2.2089</t>
  </si>
  <si>
    <t>G2.228</t>
  </si>
  <si>
    <t>G2.229</t>
  </si>
  <si>
    <t>G2.3295</t>
  </si>
  <si>
    <t>[120]</t>
  </si>
  <si>
    <t>Brady, L. F. (1961). A New Species of Palaeohelcura Gilmore from the Permian of Northern Arizona. Journal of Paleontology, 35(1), 201–202.</t>
  </si>
  <si>
    <t>G.27089</t>
  </si>
  <si>
    <t>G2.7089</t>
  </si>
  <si>
    <t>Alf, R. M. (1968). A SPIDER TRACKWAY FROM THE COCONINO FORMATION, SELIGMAN, ARIZONA. Bulletin of the Southern California Academy of Sciences, 67(2), 125–128.</t>
  </si>
  <si>
    <t>Fig. 1</t>
  </si>
  <si>
    <t>Fig. 2</t>
  </si>
  <si>
    <t>[121]</t>
  </si>
  <si>
    <t>Keighley, D. G., &amp; Pickerill, R. K. (1994). The ichnogenus Beaconites and its distinction from Ancorichnus and Taenidium. In Palaeontology (Vol. 37, Issue 2, pp. 305–337).</t>
  </si>
  <si>
    <t>Braddy, S. J. (1995). The ichnotaxonomy of the invertebrate trackways of the Coconino Sandstone (Lower Permian), northern Arizona. In S. G. Lucas &amp; A. B. Heckert (Eds.), Early Permian footprints and facies (pp. 219–224). New Mexico Museum of Natural History and Science Bulletin.</t>
  </si>
  <si>
    <t>[124]</t>
  </si>
  <si>
    <t>Kramer, J. M., Erickson, B. R., &amp; Lockley, M. G. (1995). Pelycosaur predation in the Permian: Evidence from Laoporus trackways from the Coconino Sandstone with description of a new species of Permichnium. In S. G. Lucas &amp; A. B. Heckert (Eds.), Early Permian footprints and facies (pp. 245–249). New Mexico Museum of Natural History and Science Bulletin.</t>
  </si>
  <si>
    <t>Fig. 3</t>
  </si>
  <si>
    <t>SMM</t>
  </si>
  <si>
    <t>P92.3.1</t>
  </si>
  <si>
    <t>[101-102]</t>
  </si>
  <si>
    <t>[103-104]</t>
  </si>
  <si>
    <t>[2-3]</t>
  </si>
  <si>
    <t>[18-20]</t>
  </si>
  <si>
    <t>[21-22]</t>
  </si>
  <si>
    <t>[23][36-40]</t>
  </si>
  <si>
    <t>[41-42]</t>
  </si>
  <si>
    <t>[25][45-47]</t>
  </si>
  <si>
    <t>[56-58]</t>
  </si>
  <si>
    <t>[59-60]</t>
  </si>
  <si>
    <t>[27][61-62]</t>
  </si>
  <si>
    <t>[41][63-64]</t>
  </si>
  <si>
    <t>[18][20-21]</t>
  </si>
  <si>
    <t>[74-75]</t>
  </si>
  <si>
    <t>[75-76]</t>
  </si>
  <si>
    <t>[72][80-81]</t>
  </si>
  <si>
    <t>[40][82-83]</t>
  </si>
  <si>
    <t>[83-84]</t>
  </si>
  <si>
    <t>[93-95]</t>
  </si>
  <si>
    <t>[96-98]</t>
  </si>
  <si>
    <t>[112-114]</t>
  </si>
  <si>
    <t>Lithographus, Octopodichnus, Paleohelcura</t>
  </si>
  <si>
    <t>N3872</t>
  </si>
  <si>
    <t>N3694</t>
  </si>
  <si>
    <t>Sadler, C. J. (1993). Arthropod Trace Fossils from the Permian De Chelly Sandstone, Northeastern Arizona. Journal of Paleontology, 67(2), 240–249. https://doi.org/10.1017/S0022336000032169</t>
  </si>
  <si>
    <t>[125]</t>
  </si>
  <si>
    <t>N3691</t>
  </si>
  <si>
    <t>N3654</t>
  </si>
  <si>
    <t>N3873</t>
  </si>
  <si>
    <t>N3806</t>
  </si>
  <si>
    <t>RAM</t>
  </si>
  <si>
    <t>JF 5905</t>
  </si>
  <si>
    <t>Science Museum of Minnesota, St. Paul, Minnesota, USA</t>
  </si>
  <si>
    <t>Raymond M. Alf Museum of Paleontology, Claremont, California, USA</t>
  </si>
  <si>
    <t>Lockley, M. G., Hunt, A. P., Haubold, H., &amp; Lucas, S. G. (1995). Fossil footprints in the DeChelly Sandstone of Arizona: with paleoecological observations of the ichnology of dune facies. In S. G. Lucas &amp; A. B. Heckert (Eds.), Early Permian footprints and facies (Vol. 6, pp. 225–233). New Mexico Museum of Natural History and Science Bulletin.</t>
  </si>
  <si>
    <t>[126]</t>
  </si>
  <si>
    <t>Fig. 6</t>
  </si>
  <si>
    <t>CU-MWC</t>
  </si>
  <si>
    <t>Museum of Western Colorado, University of Colorado, Denver, Colorado, USA</t>
  </si>
  <si>
    <t>Lyons Sandstone Formation</t>
  </si>
  <si>
    <t>[127]</t>
  </si>
  <si>
    <t>Dorr, J. A. (1955). More Scorpionid Trackways from the Permian Lyons Sandstone, Colorado. Journal of Paleontology, 29(3), 546–547.</t>
  </si>
  <si>
    <t>Toepelman, W. C., &amp; Rodeck, H. G. (1936). Footprints in Late Paleozoic red beds near Boulder, Colorado. Journal of Paleontology, 10(7), 660–662.</t>
  </si>
  <si>
    <t>[128]</t>
  </si>
  <si>
    <t>UMMP</t>
  </si>
  <si>
    <t>Museum of Paleontology of the University of Michigan, Ann Arbor, Michigan, USA</t>
  </si>
  <si>
    <t>Lockley, M., &amp; Hunt, A. P. (1995). DINOSAUR TRACKS AND OTHER FOSSIL FOOTPRINTS OF THE WESTERN UNITED STATES. Columbia University Press.</t>
  </si>
  <si>
    <t>[129]</t>
  </si>
  <si>
    <t>Fig. 2.7</t>
  </si>
  <si>
    <t>[127-129]</t>
  </si>
  <si>
    <t>Loope, D. B. (1984). Eolian origin of Upper Paleozoic sandstones, southeastern Utah. Journal of Sedimentary Petrology, 54(2), 563–580. https://doi.org/10.1306/212F846D-2B24-11D7-8648000102C1865D</t>
  </si>
  <si>
    <t>Lockley, M. G., Hunt, A. P., Meyer, C., Rainforth, E. C., &amp; Schultz, R. J. (1998). A survey of fossil footprint sites at glen canyon national recreation area (western USA): A case study in documentation of trace fossil resources at a national preserve. Ichnos, 5(3), 177–211. https://doi.org/10.1080/10420949809386417</t>
  </si>
  <si>
    <t>[130-131]</t>
  </si>
  <si>
    <t>Casper Sandstone Formation</t>
  </si>
  <si>
    <t>[132]</t>
  </si>
  <si>
    <t>Hanley, J. H., Steidtmann, J. R., &amp; Toots, H. (1971). TRACE FOSSILS FROM THE CASPER SANDSTONE (PERMIAN) SOUTHERN LARAMIE BASIN, WYOMING AND COLORADO. Journal of Sedimentary Petrology, 41(4), 1065–1068.</t>
  </si>
  <si>
    <t>Palaeophycus</t>
  </si>
  <si>
    <t>Palaeophycus, Skolithos, Octopodichnus</t>
  </si>
  <si>
    <t>Mackellar Formation</t>
  </si>
  <si>
    <t>Miller, M. F., &amp; Isbell, J. L. (2010). Reconstruction of a high-latitude, postglacial lake: Mackellar Formation (Permian), Transantarctic Mountains. In O. R. López-Gamundí &amp; L. A. Buatois (Eds.), Late Paleozoic Glacial Events and Postglacial Transgressions in Gondwana (Vol. 468, Issue February, pp. 193–207). Geological Society of America Special Paper. https://doi.org/10.1130/2010.2468(09)</t>
  </si>
  <si>
    <t>[133]</t>
  </si>
  <si>
    <t>Vrchlabí Formation</t>
  </si>
  <si>
    <t>Planolites, Cochlichnus</t>
  </si>
  <si>
    <t>Krkonoše Piedmont Basin</t>
  </si>
  <si>
    <t>Briggs, D. E. G., Miller, M. F., Isbell, J. L., &amp; Sidor, C. A. (2010). Permo-Triassic arthropod trace fossils from the Beardmore Glacier area, central Transantarctic Mountains, Antarctica. Antarctic Science, 22(2), 185–192. https://doi.org/10.1017/S0954102009990708</t>
  </si>
  <si>
    <t>[134]</t>
  </si>
  <si>
    <t>Diplichnites, Diplopodichnus, Orbiculichnus</t>
  </si>
  <si>
    <t>UWBM</t>
  </si>
  <si>
    <t>Museum of the University of Washington, Seattle, Washington, USA</t>
  </si>
  <si>
    <t>Minter, N. J., Krainer, K., Lucas, S. G., Braddy, S. J., &amp; Hunt, A. P. (2007). Palaeoecology of an Early Permian playa lake trace fossil assemblage from Castle Peak, Texas, USA. Palaeogeography, Palaeoclimatology, Palaeoecology, 246(2–4), 390–423. https://doi.org/10.1016/j.palaeo.2006.10.009</t>
  </si>
  <si>
    <t>[135]</t>
  </si>
  <si>
    <t>P-46695</t>
  </si>
  <si>
    <t>P-46706</t>
  </si>
  <si>
    <t>P-46710</t>
  </si>
  <si>
    <t>P-46916</t>
  </si>
  <si>
    <t>P-46934</t>
  </si>
  <si>
    <t>P-46921</t>
  </si>
  <si>
    <t>P-46931</t>
  </si>
  <si>
    <t>P-45747</t>
  </si>
  <si>
    <t>P-45750</t>
  </si>
  <si>
    <t>P-46794</t>
  </si>
  <si>
    <t>P-46693</t>
  </si>
  <si>
    <t>P-46913</t>
  </si>
  <si>
    <t>P-47753</t>
  </si>
  <si>
    <t>P-46877</t>
  </si>
  <si>
    <t>P-32409</t>
  </si>
  <si>
    <t>P-32408</t>
  </si>
  <si>
    <t>P-32401</t>
  </si>
  <si>
    <t>P-46848</t>
  </si>
  <si>
    <t>P-37470</t>
  </si>
  <si>
    <t>P-32481</t>
  </si>
  <si>
    <t>P-46886</t>
  </si>
  <si>
    <t>P-46725</t>
  </si>
  <si>
    <t>P-47766</t>
  </si>
  <si>
    <t>P-37469</t>
  </si>
  <si>
    <t>P-46983</t>
  </si>
  <si>
    <t>P-46965</t>
  </si>
  <si>
    <t>Aceñolaza, F. G. (1978). Trazas Fosiles de la Formacion Patquia en el Bordo Atravesado, Sierra de Famatina, la Rioja. Acta Geologica Lilloana, XV(1), 19–29.</t>
  </si>
  <si>
    <t>[136]</t>
  </si>
  <si>
    <t>Merostomichnites</t>
  </si>
  <si>
    <t>Zhang, G., Buatois, L. A., Mángano, M. G., &amp; Aceñolaza, F. G. (1998). Sedimentary facies and environmental ichnology of a ?Permian playa-lake complex in western Argentina. Palaeogeography, Palaeoclimatology, Palaeoecology, 138(1–4), 221–243. https://doi.org/10.1016/S0031-0182(97)00116-8</t>
  </si>
  <si>
    <t>[136-138]</t>
  </si>
  <si>
    <t>[139]</t>
  </si>
  <si>
    <t>Gand, G. (1994). Ichnocoenoses à Isopodichnus furcosus nov. ichnosp. Dans le Permien du Bassin de Lodève (Massif Central, France). Geobios, 27, 73–86.</t>
  </si>
  <si>
    <t>Rabejac Formation</t>
  </si>
  <si>
    <t>Centre des Sciences de la Terre, Université de Bourgogne, Dijon, France</t>
  </si>
  <si>
    <t>UB</t>
  </si>
  <si>
    <t>Ldg 130</t>
  </si>
  <si>
    <t>Collio Formation</t>
  </si>
  <si>
    <t>Collio Basin</t>
  </si>
  <si>
    <t>Italy</t>
  </si>
  <si>
    <t>[140]</t>
  </si>
  <si>
    <t>Ronchi, A., &amp; Santi, G. (2003). Non-marine biota from the Lower Permian of the central Southern Alps (Orobic and Collio basins, N Italy): A key to the paleoenvironment. Geobios, 36(6), 749–760. https://doi.org/10.1016/j.geobios.2003.01.004</t>
  </si>
  <si>
    <t>Santi, G. (2005). LOWER PERMIAN PALAEOICHNOLOGY FROM THE OROBIC BASIN (NORTHERN ITALY). Geo.Alp, 2, 77–90.</t>
  </si>
  <si>
    <t>Avanzini, M., Contardi, P., Ronchi, A., &amp; Santi, G. (2011). Ichnosystematics of the lower permian invertebrate traces from the Collio and Mt. Luco Basins (North Italy). Ichnos, 18(2), 95–113. https://doi.org/10.1080/10420940.2011.573604</t>
  </si>
  <si>
    <t>[140-142]</t>
  </si>
  <si>
    <t>Museo Civico di Scienze Naturali di Bergamo "Enrico Caffi", Bergamo, Italy</t>
  </si>
  <si>
    <t>Museo Geologico-Paleontologico, Università di Pavia, Pavia, Italy</t>
  </si>
  <si>
    <t>MGP</t>
  </si>
  <si>
    <t>CAS2/de</t>
  </si>
  <si>
    <t>BRE 1</t>
  </si>
  <si>
    <t>[142]</t>
  </si>
  <si>
    <t>CF-Rb</t>
  </si>
  <si>
    <t>DSTAPU</t>
  </si>
  <si>
    <t>LD26</t>
  </si>
  <si>
    <t>CF-Ra</t>
  </si>
  <si>
    <t>Dipartimento di Scienze della Terra e dell’ Ambiente, Università di Pavia, Pavia, Italy</t>
  </si>
  <si>
    <t>LD24</t>
  </si>
  <si>
    <t>LD14</t>
  </si>
  <si>
    <t>MTSNT</t>
  </si>
  <si>
    <t>ML6</t>
  </si>
  <si>
    <t>Museo Tridentino di Scienze Naturali of Trento, Università di Pavia, Pavia, Italy</t>
  </si>
  <si>
    <t>[143]</t>
  </si>
  <si>
    <t>Marchetti, L., Forte, G., Bernardi, M., Wappler, T., Hartkopf-Fröder, C., Krainer, K., &amp; Kustatscher, E. (2015). Reconstruction of a Late Cisuralian (Early Permian) floodplain lake environment: Palaeontology and sedimentology of the Tregiovo Basin (Trentino-Alto Adige, Northern Italy). Palaeogeography, Palaeoclimatology, Palaeoecology, 440, 180–200. https://doi.org/10.1016/j.palaeo.2015.08.021</t>
  </si>
  <si>
    <t>Tregiovo Formation</t>
  </si>
  <si>
    <t>Tregiovo Basin</t>
  </si>
  <si>
    <t>Gordia, Helminthoidichnites, Octopodichnus</t>
  </si>
  <si>
    <t>MUSE</t>
  </si>
  <si>
    <t>PAI 22</t>
  </si>
  <si>
    <t>Museo delle Scienze, Trento, Italy</t>
  </si>
  <si>
    <t>[144]</t>
  </si>
  <si>
    <t>Flaig, P. P., Hasiotis, S. T., &amp; Jackson, A. M. (2016). An Early Permian, paleopolar, postglacial, river-dominated deltaic succession in the Mackellar–Fairchild formations at Turnabout Ridge, Central Transantarctic Mountains, Antarctica. Palaeogeography, Palaeoclimatology, Palaeoecology, 441, 241–265. https://doi.org/10.1016/j.palaeo.2015.08.004</t>
  </si>
  <si>
    <t>[145]</t>
  </si>
  <si>
    <t>Buatois, L. A., &amp; Aceñolaza, F. G. (1991). Trazas Fósiles del Paleozoico Superior Continental Argentino. Ameghiniana, 28(1–2), 89–108.</t>
  </si>
  <si>
    <t>[21-22][145-146]</t>
  </si>
  <si>
    <t>Paredes, M. A. (2007). Distinguiendo entre ambientes estuarinos y lacustres mediante el uso de trazas fósiles: un ejemplo del Carbonífero Tardío de la Cuenca de San Rafael, Argentina. Universidad Nacional de La Pampa.</t>
  </si>
  <si>
    <t>[147]</t>
  </si>
  <si>
    <t>MCNAM</t>
  </si>
  <si>
    <t>PI 24269</t>
  </si>
  <si>
    <t>Alonso-Muruaga, P. J., Buatois, L. A., Mángano, M. G., &amp; Limarino, C. O. (2012). Ichnology of the Late Paleozoic Paganzo and Calingasta-Uspallata Basins of Western Argentina. Ichnology of Latin America-Selected Papers. Monografias Da Sociedade Brasileira de Paleontologiachnology of Latin America., 2(June), 69–81.</t>
  </si>
  <si>
    <t>Hoyada Verde Formation</t>
  </si>
  <si>
    <t>[148]</t>
  </si>
  <si>
    <t>Calingasta-Uspallata Basin</t>
  </si>
  <si>
    <t>Mángano, M. G., Buatois, L. A., Limarino, C. O., Tripaldi, A., &amp; Caselli, A. (2003). El icnogénero Psammichnites Torell, 1870 en la Formación Hoyada Verde, Carbonífero Superior de la cuenca Calingasta-Uspallata. Ameghiniana, 40(4), 601–608.</t>
  </si>
  <si>
    <t>Alonso-Muruaga, P. J., Buatois, L. A., &amp; Limarino, C. O. (2013). Ichnology of the Late Carboniferous Hoyada Verde Formation of western Argentina: Exploring postglacial shallow-marine ecosystems of Gondwana. Palaeogeography, Palaeoclimatology, Palaeoecology, 369(January), 228–238. https://doi.org/10.1016/j.palaeo.2012.10.027</t>
  </si>
  <si>
    <t>Peralta, S. H., Contreras, V. H., &amp; Milana, J. P. (1997). Trazas fósiles del tramo superior de la Formación Hoyada Verde (Carbonífero Medio), Precordillera occidental de San Juan, Barreal, Argentina. II Jornadas de Geologia de Precordillera, San Juan, January, 146–151.</t>
  </si>
  <si>
    <t>[148-151]</t>
  </si>
  <si>
    <t>[151]</t>
  </si>
  <si>
    <t>Resting Trace</t>
  </si>
  <si>
    <t>Lamina 1. B</t>
  </si>
  <si>
    <t>Lamina 1. D</t>
  </si>
  <si>
    <t>[51-54]</t>
  </si>
  <si>
    <t>[86-93]</t>
  </si>
  <si>
    <t>[152]</t>
  </si>
  <si>
    <t>PI 24268</t>
  </si>
  <si>
    <t>Moxness, L. D. (2016). Sedimentology of the Mid-Carboniferous Basal Fill of the Olta Paleovalley, Eastern Paganzo Basin, Argentina. The University of Winsconsin-Milwaukee.</t>
  </si>
  <si>
    <t>[153]</t>
  </si>
  <si>
    <t>Diplopodichnus, Gordia</t>
  </si>
  <si>
    <t>[154]</t>
  </si>
  <si>
    <t>Alonso-muruaga, P. J., Limarino, C. O., Buatois, L. A., &amp; Pirrone, C. A. (2020). Sedimentología e icnología del intervalo medio de la Formación Agua del Jagüe, Carbonífero de la Precordillera de Mendoza: implicancias paleoambientales de la transgresión postglacial. Revista de La Asociación Geológica Argentina, 77(3), 427–446.</t>
  </si>
  <si>
    <t>Agua del Jagüel Formation</t>
  </si>
  <si>
    <t>Cochlichnus, Gordia, Helminthoidichnites, Helminthopsis, Mermia, Treptichnus</t>
  </si>
  <si>
    <t>San Gregorio Formation</t>
  </si>
  <si>
    <t>Uruguay</t>
  </si>
  <si>
    <t>Verde, M., Netto, R. G., Azurica, D., Lavina, E. L., &amp; Di Pasquo, M. (2022). Revisiting the supposed oldest bilaterian trace fossils from Uruguay: Late Paleozoic, not Ediacaran. Palaeogeography, Palaeoclimatology, Palaeoecology, 602(February). https://doi.org/10.1016/j.palaeo.2022.111158</t>
  </si>
  <si>
    <t>[155]</t>
  </si>
  <si>
    <t>Norte Basin</t>
  </si>
  <si>
    <t>Fig. 5C</t>
  </si>
  <si>
    <t>Fig. 6A</t>
  </si>
  <si>
    <t>Fig. 6D</t>
  </si>
  <si>
    <t>IC</t>
  </si>
  <si>
    <t>Dias-Fabrício, M. E., &amp; Sommer, M. G. (1989). Síntese dos Estudos Icnológicos do Grupo Itararé no Rio Grande do Sul. Pesquisas Em Geociências, 22, 71–88.</t>
  </si>
  <si>
    <t>[156]</t>
  </si>
  <si>
    <t>Lermen, R. E. (2006). Assinaturas icnológicas em depósitos glacigênicos do Grupo Itararé no RS. Universidade do Vale do Rio dos Sinos.</t>
  </si>
  <si>
    <t>[156-157]</t>
  </si>
  <si>
    <t>[157]</t>
  </si>
  <si>
    <t>016I</t>
  </si>
  <si>
    <t>016II</t>
  </si>
  <si>
    <t>022I</t>
  </si>
  <si>
    <t>Fig. 16A</t>
  </si>
  <si>
    <t>Fig. 16B</t>
  </si>
  <si>
    <t>Fig. 17A</t>
  </si>
  <si>
    <t>Fig. 17B</t>
  </si>
  <si>
    <t>19B</t>
  </si>
  <si>
    <t>16A</t>
  </si>
  <si>
    <t>16B</t>
  </si>
  <si>
    <t>[158]</t>
  </si>
  <si>
    <t>Nogueira, M. dos S., &amp; Netto, R. G. (2001). ICNOFAUNA DA FORMAÇÃO RIO DO SUL (GRUPO ITARARÉ, PERMIANO DA BACIA DO PARANÁ) NA PEDREIRA ITAÚ-ITAUNA, SANTA CATARINA, BRASIL. Acta Geologica Leopoldensia, 24(52/53), 397–406.</t>
  </si>
  <si>
    <t>Nogueira, M. S., &amp; Netto, R. G. (2001). A PRESENÇA DE CRUZIANA NOS SEDIMENTOS DA FORMAÇÃO RIO DO SUL (GRUPO ITARARÉ, PERMO-CARBONÍFERO DA BACIA DO PARANÁ) NA PEDREIRA ITAÚ-ITAUNA, SANTA CATARINA, BRASIL. Acta Geologica Leopoldensia, XXIV(52/53), 387–396.</t>
  </si>
  <si>
    <t>[159]</t>
  </si>
  <si>
    <t>Gandini, R., Netto, R. G., &amp; Souza, P. A. de. (2007). Paleoicnologia e a palinologia dos ritmitos do Grupo Itararé na pedreira de Águas Claras (Santa Catarina, Brasil). Gaea, 3(2), 47–59. https://www.researchgate.net/publication/256186437</t>
  </si>
  <si>
    <t>[160]</t>
  </si>
  <si>
    <t>[161]</t>
  </si>
  <si>
    <t>da Silva, D. C. (2018). NOVO ICNOFÓSSIL DE LOCOMOÇÃO POR SALTOS EM DEPÓSITOS RÍTMICOS DO PERMO-CARBONÍFERO DA BACIA DO PARANÁ E SUAS IMPLICAÇÕES PALEOAMBIENTAIS. Universidade Federal do Paraná.</t>
  </si>
  <si>
    <t>UFPR</t>
  </si>
  <si>
    <t>Laboratório de Paleontologia, Universidade Federal do Paraná, Curitiba, Brazil</t>
  </si>
  <si>
    <t>45IC</t>
  </si>
  <si>
    <t>Netto, R. G., Corrêa, C. G., Lima, J. H. D., Sedorko, D., &amp; Villegas-Martín, J. (2021). Deciphering myriapoda population dynamics during Gondwana deglaciation cycles through neoichnology. Journal of South American Earth Sciences, 109(February). https://doi.org/10.1016/j.jsames.2021.103247</t>
  </si>
  <si>
    <t>[35][161-162]</t>
  </si>
  <si>
    <t>[162]</t>
  </si>
  <si>
    <t>[169]</t>
  </si>
  <si>
    <t>[165]</t>
  </si>
  <si>
    <t>[163]</t>
  </si>
  <si>
    <t>[166]</t>
  </si>
  <si>
    <t>[167]</t>
  </si>
  <si>
    <t>[164]</t>
  </si>
  <si>
    <t>de Barros, G. E. B., Becker-Kerber, B., Sedorko, D., Lima, J. H. D., &amp; Pacheco, M. L. A. F. (2021). Ichnological aspects of the Aquidauana Formation (Upper Carboniferous, Itararé Group, Brazil): An arthropod-colonized glacial setting. Palaeogeography, Palaeoclimatology, Palaeoecology, 578(July). https://doi.org/10.1016/j.palaeo.2021.110575</t>
  </si>
  <si>
    <t>Aquidauana Formation</t>
  </si>
  <si>
    <t>de Barros, G. E. B., Peixoto, B. de C. P. e M., Lima, J. H. D., Minter, N. J., &amp; Sedorko, D. (2023). A review of the glacial environment arthropod trace fossils Umfolozia and Warvichnium with the description of new ichnotaxa. Papers in Palaeontology, 9(5), 1–35. https://doi.org/10.1002/spp2.1526</t>
  </si>
  <si>
    <t>CAP</t>
  </si>
  <si>
    <t>1D-32</t>
  </si>
  <si>
    <t>1D-42</t>
  </si>
  <si>
    <t>1D-49</t>
  </si>
  <si>
    <t>1D-59</t>
  </si>
  <si>
    <t>1D-107</t>
  </si>
  <si>
    <t>1D-123</t>
  </si>
  <si>
    <t>1D-151</t>
  </si>
  <si>
    <t>1D-153</t>
  </si>
  <si>
    <t>1D-175</t>
  </si>
  <si>
    <t>1D-178</t>
  </si>
  <si>
    <t>1D-183</t>
  </si>
  <si>
    <t>1D-202</t>
  </si>
  <si>
    <t>1D-2</t>
  </si>
  <si>
    <t>1D-3</t>
  </si>
  <si>
    <t>1D-5</t>
  </si>
  <si>
    <t>1D-7</t>
  </si>
  <si>
    <t>1D-23</t>
  </si>
  <si>
    <t>1D-29</t>
  </si>
  <si>
    <t>1D-31</t>
  </si>
  <si>
    <t>1D-43</t>
  </si>
  <si>
    <t>1D-48</t>
  </si>
  <si>
    <t>1D-50</t>
  </si>
  <si>
    <t>1D-57</t>
  </si>
  <si>
    <t>1D-60</t>
  </si>
  <si>
    <t>1D-63</t>
  </si>
  <si>
    <t>1D-77</t>
  </si>
  <si>
    <t>1D-101</t>
  </si>
  <si>
    <t>1D-117</t>
  </si>
  <si>
    <t>1D-121</t>
  </si>
  <si>
    <t>1D-137</t>
  </si>
  <si>
    <t>1D-149</t>
  </si>
  <si>
    <t>1D-179</t>
  </si>
  <si>
    <t>1D-190</t>
  </si>
  <si>
    <t>1D-223</t>
  </si>
  <si>
    <t>1D-10</t>
  </si>
  <si>
    <t>1D-46</t>
  </si>
  <si>
    <t>1D-15</t>
  </si>
  <si>
    <t>1D-19</t>
  </si>
  <si>
    <t>1D-28</t>
  </si>
  <si>
    <t>1D-35</t>
  </si>
  <si>
    <t>1D-54</t>
  </si>
  <si>
    <t>1D-55</t>
  </si>
  <si>
    <t>1D-69</t>
  </si>
  <si>
    <t>1D-109</t>
  </si>
  <si>
    <t>1D-110</t>
  </si>
  <si>
    <t>1D-113</t>
  </si>
  <si>
    <t>1D-159</t>
  </si>
  <si>
    <t>1D-164</t>
  </si>
  <si>
    <t>1D-05</t>
  </si>
  <si>
    <t>1D-33</t>
  </si>
  <si>
    <t>1D-34</t>
  </si>
  <si>
    <t>1D-47</t>
  </si>
  <si>
    <t>1D-51</t>
  </si>
  <si>
    <t>1D-134</t>
  </si>
  <si>
    <t>1D-201</t>
  </si>
  <si>
    <t>1D-45</t>
  </si>
  <si>
    <t>1D-65</t>
  </si>
  <si>
    <t>1D-135</t>
  </si>
  <si>
    <t>1D-139</t>
  </si>
  <si>
    <t>1D-152</t>
  </si>
  <si>
    <t>1D-162</t>
  </si>
  <si>
    <t>1D-165</t>
  </si>
  <si>
    <t>1D-177</t>
  </si>
  <si>
    <t>1D-251</t>
  </si>
  <si>
    <t>1D-1</t>
  </si>
  <si>
    <t>1D-4</t>
  </si>
  <si>
    <t>1D-9</t>
  </si>
  <si>
    <t>1D-27</t>
  </si>
  <si>
    <t>1D-144</t>
  </si>
  <si>
    <t>1D-145</t>
  </si>
  <si>
    <t>1D-168</t>
  </si>
  <si>
    <t>1D-171</t>
  </si>
  <si>
    <t>1D-239</t>
  </si>
  <si>
    <t>1D-398</t>
  </si>
  <si>
    <t>1D-6</t>
  </si>
  <si>
    <t>Irichnus</t>
  </si>
  <si>
    <t>[163-165]</t>
  </si>
  <si>
    <t>da Rosa, E. M., Isbell, J. L., Vesely, F., Sedorko, D., Garcia, A., &amp; McNall, N. (2024). Reassessing the late Paleozoic glacial sedimentation in western Paraná Basin, Brazil: A record of a slope and glaciated outer shelf setting in the Aquidauana Formation. Sedimentary Geology, 466, 106640. https://doi.org/10.1016/j.sedgeo.2024.106640</t>
  </si>
  <si>
    <t>Fig. 8F</t>
  </si>
  <si>
    <t>Fig. 8G</t>
  </si>
  <si>
    <t>Fig. 8H</t>
  </si>
  <si>
    <t>Taciba Formation</t>
  </si>
  <si>
    <t>Campo Mourão Formation</t>
  </si>
  <si>
    <t>Velásquez, G., Silva, D., Mottin, T. E., de Filippis Alfaro, L., &amp; Vesely, F. F. (2024). Paleoenvironmental insights from a middle Pennsylvanian trace-fossil assemblage during the late Paleozoic ice age in southern Brazil. Journal of South American Earth Sciences, 146(June). https://doi.org/10.1016/j.jsames.2024.105102</t>
  </si>
  <si>
    <t>57-IC</t>
  </si>
  <si>
    <t>Dimorphichnus</t>
  </si>
  <si>
    <t>de Barros, G. E. B. (2022). Ichnotaxonomy of the sedimentary sequence of the Itararé Group in the Itu region (Upper Carboniferous, São Paulo, Brazil): unraveling colonization patterns and paleoenvironmental implications. Universidade de São Paulo.</t>
  </si>
  <si>
    <t>Clavifasulcus</t>
  </si>
  <si>
    <t>Sup. Mat.</t>
  </si>
  <si>
    <t>Springhill Mines Formation</t>
  </si>
  <si>
    <t>[168]</t>
  </si>
  <si>
    <t>Rygel, M. C., Sheldon, E. P., Stimson, M. R., Calder, J. H., Ashley, K. T., &amp; Salg, J. L. (2014). The Pennsylvanian Springhill Mines Formation: sedimentological framework for a portion of the Joggins Fossil Cliffs UNESCO World Heritage Site. Atlantic Geology, 50, 249. https://doi.org/10.4138/atlgeol.2014.013</t>
  </si>
  <si>
    <t>Fig. 10C</t>
  </si>
  <si>
    <t>Fig. 10D</t>
  </si>
  <si>
    <t>Fig. 10E</t>
  </si>
  <si>
    <t>Graissessac Basin</t>
  </si>
  <si>
    <t>Padène Quarry</t>
  </si>
  <si>
    <t>Musée de Lodève, Hérault Department, Lodève, France</t>
  </si>
  <si>
    <t>GR1</t>
  </si>
  <si>
    <t>GR2</t>
  </si>
  <si>
    <t>GR3</t>
  </si>
  <si>
    <t>GR4</t>
  </si>
  <si>
    <t>GR5</t>
  </si>
  <si>
    <t>GR7</t>
  </si>
  <si>
    <t>Moreau, J.-D., Gand, G., Fara, E., Galtier, J., Aubert, N., &amp; Fouché, S. (2021). Trackways of Arthropleura from the Late Pennsylvanian of Graissessac (Hérault, southern France). Historical Biology, 33(7), 996–1007. https://doi.org/10.1080/08912963.2019.1675055</t>
  </si>
  <si>
    <t>Halgaito Formation</t>
  </si>
  <si>
    <t>[170]</t>
  </si>
  <si>
    <t>Chaney, D. S., Lucas, S. G., &amp; Elrick, S. (2013). New occurrence of an arthropleurid trackway from the Lower Permian of Utah. In S. G. Lucas, W. A. DiMichele, J. E. Barrick, J. W. Schneider, &amp; J. A. Spielmann (Eds.), The Carboniferous-Permian transition (Vol. 60, pp. 64–65). New Mexico Museum of Natural History and Science Bulletin.</t>
  </si>
  <si>
    <t>Little River Formation</t>
  </si>
  <si>
    <t>[171]</t>
  </si>
  <si>
    <t>Calder, J. H., Rygel, M. C., Ryan, R. J., Falcon-Lang, J., &amp; Herbert, B. L. (2006). Stratigraphy and sedimentology of early Pennsylvanian red beds at Lower Cove, Nova Scotia, Canada: the Little River Formation with redefinition of the Joggins Formation. Atlantic Geology, 41(2/3), 143–167. https://doi.org/10.4138/183</t>
  </si>
  <si>
    <t>Moreau, J.-D., Michelin, A., Fara, E., Gand, G., Galtier, J., Puech, G., &amp; Fouché, S. (2024). Ichnofossils and body fossils from the Permian of the Sorgue Valley (Saint-Affrique Basin, southern France): palaeoenvironmental implications. Historical Biology, 36(1), 82–95. https://doi.org/10.1080/08912963.2022.2148205</t>
  </si>
  <si>
    <t>[172]</t>
  </si>
  <si>
    <t>Saint-Affrique Basin</t>
  </si>
  <si>
    <t>Sorgue Valley</t>
  </si>
  <si>
    <t>2021.8.6</t>
  </si>
  <si>
    <t>Prosečné Formation</t>
  </si>
  <si>
    <t>Krknose Piedmont Basin</t>
  </si>
  <si>
    <t>Martínkovice Formation</t>
  </si>
  <si>
    <t>Intra-Sudetic Basin</t>
  </si>
  <si>
    <t>[173]</t>
  </si>
  <si>
    <t>Holub, V., &amp; Kozur, H. (1981). Arthropodenfährten aus dem Rotliegenden der CSSR. Geologisch Paläontologische Mitteilungen, Innsbruck, 11, 95–148.</t>
  </si>
  <si>
    <t>Bifurcatichnus</t>
  </si>
  <si>
    <t>Hamipes</t>
  </si>
  <si>
    <t>NMP</t>
  </si>
  <si>
    <t>NMP (NM)</t>
  </si>
  <si>
    <t>HK 1981/40</t>
  </si>
  <si>
    <t>HK 1981 11-59</t>
  </si>
  <si>
    <t>HK 1981/38</t>
  </si>
  <si>
    <t>HK 1981/56</t>
  </si>
  <si>
    <t>HK 1981 11-74</t>
  </si>
  <si>
    <t>HK 1981 11-67</t>
  </si>
  <si>
    <t>HK 1981 11-76</t>
  </si>
  <si>
    <t>HK 1981 11-18</t>
  </si>
  <si>
    <t>Chotěvice Formation</t>
  </si>
  <si>
    <t>Kalnaichnus</t>
  </si>
  <si>
    <t>HK 1981/32a</t>
  </si>
  <si>
    <t>HK 1981/11</t>
  </si>
  <si>
    <t>Kivanichnus</t>
  </si>
  <si>
    <t>HK 1981/16</t>
  </si>
  <si>
    <t>HK 1981/14</t>
  </si>
  <si>
    <t>HK 1981 11-6</t>
  </si>
  <si>
    <t>HK 1981 11-4</t>
  </si>
  <si>
    <t>HK 1981/2a</t>
  </si>
  <si>
    <t>HK 1981 11-54</t>
  </si>
  <si>
    <t>HK 1981 11-48</t>
  </si>
  <si>
    <t>HK 1981/25</t>
  </si>
  <si>
    <t>HK 1981/3</t>
  </si>
  <si>
    <t>HK 1981/48</t>
  </si>
  <si>
    <t>HK 1981 11-56</t>
  </si>
  <si>
    <t>Tarichnus</t>
  </si>
  <si>
    <t>HK 1981 11-20</t>
  </si>
  <si>
    <t>Taslerlella</t>
  </si>
  <si>
    <t>HK 1981/22</t>
  </si>
  <si>
    <t>HK 1981-53</t>
  </si>
  <si>
    <t>HK 1981 11-5</t>
  </si>
  <si>
    <t>Parahamipes</t>
  </si>
  <si>
    <t>HK 1981 11-52</t>
  </si>
  <si>
    <t>HK 1981 11-64</t>
  </si>
  <si>
    <t>HK 1981 11-53</t>
  </si>
  <si>
    <t>HK 1981 11-47</t>
  </si>
  <si>
    <t>Salagou Formation</t>
  </si>
  <si>
    <t>[174]</t>
  </si>
  <si>
    <t>Gand, G., Garric, J., Schneider, J., Walter, H., Lapeyrie, J., Martin, C., &amp; Thiery, A. (2008). Notostraca trackways in Permian playa environments of the Lodève basin (France). Journal of Iberian Geology, 34(1), 73–108.</t>
  </si>
  <si>
    <t>UB (CST-UB)</t>
  </si>
  <si>
    <t>Palaeontological Laboratory, Université Montpellier II, Montpellier, France</t>
  </si>
  <si>
    <t>PLUM</t>
  </si>
  <si>
    <t>MFL</t>
  </si>
  <si>
    <t>Lap 229</t>
  </si>
  <si>
    <t>Acripes</t>
  </si>
  <si>
    <t>Lap 242</t>
  </si>
  <si>
    <t>Lap 222</t>
  </si>
  <si>
    <t>Lap 241</t>
  </si>
  <si>
    <t>Lap 202</t>
  </si>
  <si>
    <t>Lap 302</t>
  </si>
  <si>
    <t>Lap 282</t>
  </si>
  <si>
    <t>Lap 08</t>
  </si>
  <si>
    <t>Lap 226</t>
  </si>
  <si>
    <t>Ldg 141</t>
  </si>
  <si>
    <t>Gar B 1</t>
  </si>
  <si>
    <t>Lap 05</t>
  </si>
  <si>
    <t>Gar 15 B 2</t>
  </si>
  <si>
    <t>Lap 212</t>
  </si>
  <si>
    <t>Lap 236</t>
  </si>
  <si>
    <t>Lap 225</t>
  </si>
  <si>
    <t>Lap 09</t>
  </si>
  <si>
    <t>Lap 273</t>
  </si>
  <si>
    <t>Gar 14 B 1</t>
  </si>
  <si>
    <t>Lap 177</t>
  </si>
  <si>
    <t>Gar 7 H 2</t>
  </si>
  <si>
    <t>Gar X</t>
  </si>
  <si>
    <t xml:space="preserve"> Gar 12 A</t>
  </si>
  <si>
    <t>Lap 265</t>
  </si>
  <si>
    <t>Lap 280</t>
  </si>
  <si>
    <t>Lap 270</t>
  </si>
  <si>
    <t>Gar 05</t>
  </si>
  <si>
    <t>Gar 5C</t>
  </si>
  <si>
    <t>Gar B 10</t>
  </si>
  <si>
    <t>Lap X</t>
  </si>
  <si>
    <t>Gar B 11-2</t>
  </si>
  <si>
    <t>Gar 14 B 7-3</t>
  </si>
  <si>
    <t>Lap 648</t>
  </si>
  <si>
    <t>Orobic Basin</t>
  </si>
  <si>
    <t>[175]</t>
  </si>
  <si>
    <t>Bif. 1</t>
  </si>
  <si>
    <t>Sec. 1</t>
  </si>
  <si>
    <t>Giuseppe, S., Federico, C., Chiara, K., Matteo, M., &amp; Ausonio, R. (2008). Nuovi dati paleontologici e stratigrafici sul Permiano inferiore dell’alta Valle Brembana (Bacino Orobico, Lombardia): confronti e correlazioni. Atti Del Museo Civico Di Storia Naturale Di Trieste, November, 157–176.</t>
  </si>
  <si>
    <t>Dendroidichnites, Lithographus</t>
  </si>
  <si>
    <t>Measurement (mm)</t>
  </si>
  <si>
    <t>Marchetti, L., Petti, F. M., Zoboli, D., &amp; Pillola, G. L. (2018). Vertebrate and Invertebrate Trace Fossils in the Late Pennsylvanian (Carboniferous) Fluvio-Lacustrine San Giorgio Basin (South-West Sardinia): Remarks on the Oldest Continental Ichnoassociation of Italy. Ichnos, 25(2–3), 94–105. https://doi.org/10.1080/10420940.2017.1337572</t>
  </si>
  <si>
    <t>Cochlichnus, Diplichnites, Treptichnus</t>
  </si>
  <si>
    <t>[176]</t>
  </si>
  <si>
    <t>San Giorgio Basin</t>
  </si>
  <si>
    <t>Rio San Giorgio Formation</t>
  </si>
  <si>
    <t>N 3</t>
  </si>
  <si>
    <t>MDLCA</t>
  </si>
  <si>
    <t>Museo Sardo di Geologia e Paleontologia “Domenico Lovisato”, Dipartimento di Scienze Chimiche e Geologiche, Universita di Cagliari, Cagliari, Italy</t>
  </si>
  <si>
    <t>Bernardi, M., Marchetti, L., &amp; Gobbi, M. (2018). Walk ’n Jump: Associated Insect Walking and Landing Trace Fossils from the Early Permian of the Southern Alps. Ichnos, 25(2–3), 128–137. https://doi.org/10.1080/10420940.2017.1386185</t>
  </si>
  <si>
    <t>Stiaria, Avolatichnium</t>
  </si>
  <si>
    <t>Pizzo del Diavolo Formation</t>
  </si>
  <si>
    <t>[177]</t>
  </si>
  <si>
    <t>MBG</t>
  </si>
  <si>
    <t>Avolatichnium</t>
  </si>
  <si>
    <t>Baucon, A., Morelli, C., Neto de Carvalho, C., &amp; Kustascher, E. (2024). Life in an Artinskian (Cisuralian) Permian megacaldera: Benthic palaeoecology in the shadow of the Bolzano Supervolcano (Athesian Volcanic District, Italy). Palaeogeography, Palaeoclimatology, Palaeoecology, 638(January), 112027. https://doi.org/10.1016/j.palaeo.2024.112027</t>
  </si>
  <si>
    <t>[178]</t>
  </si>
  <si>
    <t>Planolites, Palaeophycus, Arenicolites, Cylindrichnus</t>
  </si>
  <si>
    <t>Athesian Volcanic Group</t>
  </si>
  <si>
    <t>Ixtaltepec Formation</t>
  </si>
  <si>
    <t>Mexico</t>
  </si>
  <si>
    <t>[179]</t>
  </si>
  <si>
    <t>Hernández-Ocaña, M. I., &amp; Quiroz-Barroso, S. A. (2018). Implicaciones ambientales de las trazas fósiles de la Formación Ixtaltepec, Carbonífero de Oaxaca, México. Boletín de La Sociedad Geológica Mexicana, 70(2), 325–350. https://doi.org/10.18268/BSGM2018v70n2a4</t>
  </si>
  <si>
    <t>Helminthoidichnites, Scoyenia, Sphaerapus, Spongeliomorpha</t>
  </si>
  <si>
    <t>Jebilet Massif</t>
  </si>
  <si>
    <t>Koudiat El Hamra Basin</t>
  </si>
  <si>
    <t>Zouicha, A., Voigt, S., Saber, H., Marchetti, L., Hminna, A., El Attari, A., Ronchi, A., &amp; Schneider, J. W. (2021). First record of permian continental trace fossils in the jebilet massif, Morocco. Journal of African Earth Sciences, 173(August 2020), 104015. https://doi.org/10.1016/j.jafrearsci.2020.104015</t>
  </si>
  <si>
    <t>[180]</t>
  </si>
  <si>
    <t>[31][181]</t>
  </si>
  <si>
    <t>[181]</t>
  </si>
  <si>
    <t>Z 1017</t>
  </si>
  <si>
    <t>[182]</t>
  </si>
  <si>
    <t>Whyte, M. A. (2018). Mating trackways of a fossil giant millipede. Scottish Journal of Geology, 54(1), 63–68. https://doi.org/10.1144/sjg2017-013</t>
  </si>
  <si>
    <t>Pittenweem Formation</t>
  </si>
  <si>
    <t>Taenidium, Diplichnites</t>
  </si>
  <si>
    <t>Limestone Coal Formation</t>
  </si>
  <si>
    <t>Pearson, P. N., &amp; Gooday, R. J. (2019). A large Taenidium burrow from the Upper Carboniferous of Corrie, Isle of Arran, and remarks on the association of Taenidium burrows and Diplichnites trails. Scottish Journal of Geology, 55(2), 135–140. https://doi.org/10.1144/sjg2019-011</t>
  </si>
  <si>
    <t>[184]</t>
  </si>
  <si>
    <t>Hedge, J., Shillito, A. P., Davies, N. S., Butler, R. J., &amp; Sansom, I. J. (2019). Invertebrate trace fossils from the Alveley Member, Salop Formation (Pennsylvanian, Carboniferous), Shropshire, UK. Proceedings of the Geologists’ Association, 130(1), 103–111. https://doi.org/10.1016/j.pgeola.2018.10.002</t>
  </si>
  <si>
    <t>BIRUG</t>
  </si>
  <si>
    <t>Lapworth Museum of Geology, University of Birmingham, Birmingham, UK</t>
  </si>
  <si>
    <t>BU 5341</t>
  </si>
  <si>
    <t>BU 3727</t>
  </si>
  <si>
    <t>BU 5342</t>
  </si>
  <si>
    <t>BU 5344</t>
  </si>
  <si>
    <t>BU 5345</t>
  </si>
  <si>
    <t>BU 5346</t>
  </si>
  <si>
    <t>Bennett, C. E., Kearsey, T. I., Davies, S. J., Leng, M. J., Millward, D., Smithson, T. R., Brand, P. J., Browne, M. A. E., Carpenter, D. K., Marshall, J. E. A., Dulson, H., &amp; Curry, L. (2021). Palaeoecology and palaeoenvironment of Mississippian coastal lakes and marshes during the early terrestrialisation of tetrapods. Palaeogeography, Palaeoclimatology, Palaeoecology, 564(December 2020), 110194. https://doi.org/10.1016/j.palaeo.2020.110194</t>
  </si>
  <si>
    <t>Chondrites</t>
  </si>
  <si>
    <t>[185]</t>
  </si>
  <si>
    <t>Ballagan Formation</t>
  </si>
  <si>
    <t>Tweed Basin</t>
  </si>
  <si>
    <t>Buckman, J. O., Cuthbert, S. J., &amp; Polson, P. G. (2024). Arthropleura trackway (Diplichnites cuithensis) from the Carboniferous, Serpukhovian, Limestone Coal Formation, Clackmannan Group, Linn Park, Glasgow. Scottish Journal of Geology, 60(1), 2021–019. https://doi.org/10.1144/sjg2021-019</t>
  </si>
  <si>
    <t>Diplichnites, Planolites, Arenicolites, Taenidium</t>
  </si>
  <si>
    <t>[186]</t>
  </si>
  <si>
    <t>Fig. 5</t>
  </si>
  <si>
    <t>Flechtingen Formation</t>
  </si>
  <si>
    <t>[187]</t>
  </si>
  <si>
    <t>Schneider, J. W., &amp; Werneburg, R. (2010). Arthropleura, der grösste landlebende Arthropode der Erdgeschichte - neue Funde und neue Ideen. Semana, 25, 61–86.</t>
  </si>
  <si>
    <t>FG</t>
  </si>
  <si>
    <t>Naturhistorisches Museum Schloss Bert holdsburg, Schleusingen, Thüringen, Germany</t>
  </si>
  <si>
    <t>P-14136</t>
  </si>
  <si>
    <t>TB-8-96</t>
  </si>
  <si>
    <t>[54]</t>
  </si>
  <si>
    <t>TB-3-96</t>
  </si>
  <si>
    <t>TB-5-96</t>
  </si>
  <si>
    <t>TB-191-93</t>
  </si>
  <si>
    <t>[188]</t>
  </si>
  <si>
    <t>Minkin, S. C. (2005). PALEOENVIRONMENT OF THE CINCOSAURUS BEDS, WALKER COUNTY, ALABAMA. In R. J. Buta, A. K. Rindsberg, &amp; D. C. Kopaska-Merkel (Eds.), Pennsylvanian Footprints in the Black Warrior Basin of Alabama (Issue 1, pp. 31–38). Alabama Paleontological Society Monograph.</t>
  </si>
  <si>
    <t>Martino, R. L., &amp; Greb, S. F. (2009). Walking trails of the giant terrestrial arthropod Arthropleura from the Upper Carboniferous of Kentucky. Journal of Paleontology, 83(1), 140–146. https://doi.org/10.1666/08-093r.1</t>
  </si>
  <si>
    <t>[189]</t>
  </si>
  <si>
    <t>Conemaugh Formation</t>
  </si>
  <si>
    <t>Diplcihnites</t>
  </si>
  <si>
    <t>MUMC</t>
  </si>
  <si>
    <t>10016-PC-5</t>
  </si>
  <si>
    <t>10017-PC-6</t>
  </si>
  <si>
    <t>10018-PC-7</t>
  </si>
  <si>
    <t>Lucas, S. G., &amp; Lerner, A. J. (2010). Pennsylvanian lake-margin ichnoassemblage from Cañon del Cobre, Rio Arriba county, New Mexico. In S. G. Lucas, J. W. Schneider, &amp; J. A. Spielmann (Eds.), Carboniferous-Permian transition in Canon del Cobre, northern New Mexico (Vol. 49, pp. 37–48). New Mexico Museum of Natural History and Science Bulletin.</t>
  </si>
  <si>
    <t>[190]</t>
  </si>
  <si>
    <t>P-56252</t>
  </si>
  <si>
    <t>P-56250</t>
  </si>
  <si>
    <t>P-56248</t>
  </si>
  <si>
    <t>Schneider, J. W., Lucas, S. G., Werneburg, R., &amp; Rößler, R. (2010). EURAMERICAN LATE PENNSYLVANIAN / EARLY PERMIAN ARTHROPLEURID/TETRAPOD ASSOCIATIONS – IMPLICATIONS FOR THE HABITAT AND PALEOBIOLOGY OF THE LARGEST TERRESTRIAL ARTHROPOD. In S. G. Lucas, J. W. Schneider, &amp; J. A. Spielmann (Eds.), Carboniferous-Permian transition in Canon del Cobre (Vol. 49, pp. 49–70). New Mexico Museum of Natural History and Science Bulletin.</t>
  </si>
  <si>
    <t>[191]</t>
  </si>
  <si>
    <t>[16][192]</t>
  </si>
  <si>
    <t>[187][191]</t>
  </si>
  <si>
    <t>Smith, C. J., Simpson, E. L., Fillmore, D. L., Lucas, S. G., &amp; Szajna, M. J. (2012). High-density bioturbated sandstones in the Mississippian Mauch Chunk Formation, eastern Pennsylvania, USA: Implications for continental ecospace exploitation. Palaeogeography, Palaeoclimatology, Palaeoecology, 365–366, 294–301. https://doi.org/10.1016/j.palaeo.2012.09.034</t>
  </si>
  <si>
    <t>Getty, P. R., Sproule, R., Wagner, D. L., &amp; Bush, A. M. (2013). Variation in wingless insect trace fossils: Insights from neoichnology and the pennsylvanian of massachussetts. Palaios, 28(4), 243–258. https://doi.org/10.2110/palo.2012.p12-108r</t>
  </si>
  <si>
    <t>Rhode Island Formation</t>
  </si>
  <si>
    <t>[193]</t>
  </si>
  <si>
    <t>YPM</t>
  </si>
  <si>
    <t>SSM</t>
  </si>
  <si>
    <t>Springfield Science Museum,  Springfield, USA</t>
  </si>
  <si>
    <t>Mitchellichnus</t>
  </si>
  <si>
    <t>Hembree, D. I., &amp; Blair, M. G. (2016). A paleopedological and ichnological approach to interpreting spatial and temporal variability in Early Permian fluvial deposits of the lower Dunkard Group, West Virginia, U.S.A. Palaeogeography, Palaeoclimatology, Palaeoecology, 454, 246–266. https://doi.org/10.1016/j.palaeo.2016.04.022</t>
  </si>
  <si>
    <t>[194]</t>
  </si>
  <si>
    <t>Washington Formation</t>
  </si>
  <si>
    <t>Asselian</t>
  </si>
  <si>
    <t>Dunkard Basin</t>
  </si>
  <si>
    <t>[193][195]</t>
  </si>
  <si>
    <t>Getty, P. R., Sproule, R., Stimson, M. R., &amp; Lyons, P. C. (2017). Invertebrate trace fossils from the Pennsylvanian Rhode Island formation of Massachusetts, USA. Atlantic Geology, 53(April), 185–206. https://doi.org/10.4138/atlgeol.2017.007</t>
  </si>
  <si>
    <t>[195]</t>
  </si>
  <si>
    <t>2015/3-3</t>
  </si>
  <si>
    <t>2015/3-4</t>
  </si>
  <si>
    <t>2015/3-8</t>
  </si>
  <si>
    <t>2015/3-16</t>
  </si>
  <si>
    <t>2015/3-13</t>
  </si>
  <si>
    <t>2015/3-11</t>
  </si>
  <si>
    <t>2015/3-10</t>
  </si>
  <si>
    <t>2015/3-20</t>
  </si>
  <si>
    <t>2015/3-21</t>
  </si>
  <si>
    <t>2015/3-22</t>
  </si>
  <si>
    <t>Narragansettichnus</t>
  </si>
  <si>
    <t>King, O. A., Stimson, M. R., &amp; Lucas, S. G. (2019). The Ichnogenus Kouphichnium and Related Xiphosuran Traces from the Steven C. Minkin Paleozoic Footprint Site (Union Chapel Mine), Alabama, USA: Ichnotaxonomic and Paleoenvironmental Implications. Ichnos, 26(4), 266–302. https://doi.org/10.1080/10420940.2018.1561447</t>
  </si>
  <si>
    <t>[196]</t>
  </si>
  <si>
    <t>MSC</t>
  </si>
  <si>
    <t>McWane Science Centre, Birmingham, Alabama, USA</t>
  </si>
  <si>
    <t>ANNMNH</t>
  </si>
  <si>
    <t>Anniston Museum of Natural History, Anniston, Alabama, USA</t>
  </si>
  <si>
    <t>AMNH</t>
  </si>
  <si>
    <t>Alabama Museum of Natural History, Tuscaloosa, Alabama, USA</t>
  </si>
  <si>
    <t>P-79691</t>
  </si>
  <si>
    <t>2003.2.23</t>
  </si>
  <si>
    <t>P-78227</t>
  </si>
  <si>
    <t>P-78266</t>
  </si>
  <si>
    <t>P-69055</t>
  </si>
  <si>
    <t>2003.2.76/74</t>
  </si>
  <si>
    <t>P-79689</t>
  </si>
  <si>
    <t>P-68994</t>
  </si>
  <si>
    <t>UCM 2517</t>
  </si>
  <si>
    <t>UCM 2902</t>
  </si>
  <si>
    <t>UCM 662</t>
  </si>
  <si>
    <t>2003.5.24</t>
  </si>
  <si>
    <t>2003.20.10</t>
  </si>
  <si>
    <t>P-69078</t>
  </si>
  <si>
    <t>P- 69048</t>
  </si>
  <si>
    <t>UCM 3790</t>
  </si>
  <si>
    <t>P-78237</t>
  </si>
  <si>
    <t>Jump trace</t>
  </si>
  <si>
    <t>Xiphosurid trackway</t>
  </si>
  <si>
    <t>UCM 1738</t>
  </si>
  <si>
    <t>UCM 1414</t>
  </si>
  <si>
    <t>[197]</t>
  </si>
  <si>
    <t>Voigt, S., Lucas, S. G., Raisch, M., &amp; Schindler, T. (2022). First record of the Permian nonmarine helical trace fossil Augerinoichnus from outside of New Mexico. Ichnos, 29(1), 40–45. https://doi.org/10.1080/10420940.2021.2017923</t>
  </si>
  <si>
    <t>Meisenheim Formation</t>
  </si>
  <si>
    <t>NHMM (NHMMZ)</t>
  </si>
  <si>
    <t>Augerinoichnus</t>
  </si>
  <si>
    <t>[198]</t>
  </si>
  <si>
    <t>Inmontibusichnus</t>
  </si>
  <si>
    <t>Knecht, R. J., Benner, J. S., Dunlop, J. A., &amp; Renczkowski, M. D. (2024). The largest Palaeozoic whip scorpion and the smallest (Arachnida: Uropygi: Thelyphonida); a new species and a new ichnospecies from the Carboniferous of New England, USA. Zoological Journal of the Linnean Society, 200(3), 690–704. https://doi.org/10.1093/zoolinnean/zlad088</t>
  </si>
  <si>
    <t>MCZ</t>
  </si>
  <si>
    <t>IP 198045</t>
  </si>
  <si>
    <t>Museum of Comparative Zoology, Department of Invertebrate Paleontology, Harvard University, Cambridge, Massachusetts, USA</t>
  </si>
  <si>
    <t>Ichnogenus</t>
  </si>
  <si>
    <t>Coleção Arqueólogica Paleontológica, Laboratório de Paleobiologia e Astrobiologia, Universidade Federal de São Carlos, Sorocaba, São Paulo, Brazil</t>
  </si>
  <si>
    <t>British Geological Survey, Nottingham, UK</t>
  </si>
  <si>
    <t>Booth Museum of Natural History, Brighton, UK</t>
  </si>
  <si>
    <t>Bristol Museum &amp; Art Gallery, Bristol, UK</t>
  </si>
  <si>
    <t>Department of Earth Sciences, Emporia State University, Emporia, Kansas, USA</t>
  </si>
  <si>
    <t>Department of Earth and Environmental Sciences, Manchester University, Manchester, UK</t>
  </si>
  <si>
    <t>Department of Geology, Oviedo University, Asturias, Spain</t>
  </si>
  <si>
    <t>Instituto de Geociências, Universidade Federal do Rio Grande do Sul, Porto Alegre, Rio Grande do Sul, Brazil</t>
  </si>
  <si>
    <t>Geology Department Special Collections, Manchester University, Manchester, UK</t>
  </si>
  <si>
    <t>Marshall University Museum Collection, Department of Geology, Huntington, West Virginia, USA</t>
  </si>
  <si>
    <t>Natural History Museum, London, UK</t>
  </si>
  <si>
    <t>New Mexico Museum of Natural History, Albuquerque, New Mexico, USA</t>
  </si>
  <si>
    <t>Oxford University Museum of Natural History, Oxford, UK</t>
  </si>
  <si>
    <t>Museu da História da Vida e da Terra, Universidade do Vale do Rio dos Sinos, São Leopoldo, Rio Grande do Sul,  Brazil</t>
  </si>
  <si>
    <t>Yale Peabody Museum of Natural History, Invertebrate Paleontology Division, New Haven, Connecticut, USA</t>
  </si>
  <si>
    <t>Knecht, R. J., Benner, J. S., Swain, A., Azevedo-Schmidt, L., Cleal, C. J., Labandeira, C. C., Engel, M. S., Dunlop, J. A., Selden, P. A., Eble, C. F., Renczkowski, M. D., Wheeler, D. A., Funderburk, M. M., Emma, S. L., Knoll, A. H., &amp; Pierce, N. E. (2024). Early Pennsylvanian Lagerstätte reveals a diverse ecosystem on a subhumid, alluvial fan. Nature Communications, 15(1), 7876. https://doi.org/10.1038/s41467-024-52181-0</t>
  </si>
  <si>
    <t>GRI</t>
  </si>
  <si>
    <t>Geoscience Research Institute, Loma Linda University, Loma Linda, California, USA</t>
  </si>
  <si>
    <t>Earth and Biological Sciences Department, Loma Linda University, Loma Linda, California, USA</t>
  </si>
  <si>
    <t>LLU</t>
  </si>
  <si>
    <t>LB-A26-18</t>
  </si>
  <si>
    <t>[115][117-124][200]</t>
  </si>
  <si>
    <t>[123][125-126][200]</t>
  </si>
  <si>
    <t>Clendenon, C. (2024). Reanalysis of Coconino Sandstone Invertebrate Ichnites based on Neoichnology. Loma Linda University.</t>
  </si>
  <si>
    <t>[200]</t>
  </si>
  <si>
    <t>N3689</t>
  </si>
  <si>
    <t>N3677</t>
  </si>
  <si>
    <t>A100_2</t>
  </si>
  <si>
    <t>A101_2</t>
  </si>
  <si>
    <t>A102_2</t>
  </si>
  <si>
    <t>A102_3</t>
  </si>
  <si>
    <t>ASF-17-19</t>
  </si>
  <si>
    <t>FC 441</t>
  </si>
  <si>
    <t>N9392</t>
  </si>
  <si>
    <t>[201]</t>
  </si>
  <si>
    <t>Buta, R. J., Kopaska-Merkel, D. C., Rindsberg, A. K., &amp; Martin, A. J. (2005). ATLAS OF UNION CHAPEL MINE INVERTEBRATE TRACKWAYS AND OTHER TRACES. In R. J. Buta, A. K. Rindsberg, &amp; D. C. Kopaska-Merkel (Eds.), Pennsylvanian Footprints in the Black Warrior Basin of Alabama (pp. 277–337). Alabama Paleontological Society Monograph.</t>
  </si>
  <si>
    <t>MBG (MCSNB)</t>
  </si>
  <si>
    <t>MFL (ML)</t>
  </si>
  <si>
    <t>NMNH (USNM, USAM)</t>
  </si>
  <si>
    <t>MHGeo</t>
  </si>
  <si>
    <t>ULVG 11564</t>
  </si>
  <si>
    <t>ULVG 11571</t>
  </si>
  <si>
    <t>ULVG 11559</t>
  </si>
  <si>
    <t>ULVG 10717</t>
  </si>
  <si>
    <t>ULVG 11569</t>
  </si>
  <si>
    <t>ULVG 11562D</t>
  </si>
  <si>
    <t>ULVG 11576</t>
  </si>
  <si>
    <t>ULVG 11577</t>
  </si>
  <si>
    <t>ULVG 11575</t>
  </si>
  <si>
    <t>ULVG 11560</t>
  </si>
  <si>
    <t>ULVG 11585</t>
  </si>
  <si>
    <t>ULVG 11592a</t>
  </si>
  <si>
    <t>ULVG 11559b</t>
  </si>
  <si>
    <t>ULVG 11552b</t>
  </si>
  <si>
    <t>ULVG 11592e</t>
  </si>
  <si>
    <t>ULVG 11558b</t>
  </si>
  <si>
    <t>ULVG 11592g</t>
  </si>
  <si>
    <t>ULVG 11551a</t>
  </si>
  <si>
    <t>ULVG 11551b</t>
  </si>
  <si>
    <t>ULVG 5558a</t>
  </si>
  <si>
    <t>ULVG 5558b</t>
  </si>
  <si>
    <t>ULVG 11587</t>
  </si>
  <si>
    <t>ULVG 11558a</t>
  </si>
  <si>
    <t>ULVG 11570b</t>
  </si>
  <si>
    <t>ULVG 11592b</t>
  </si>
  <si>
    <t>ULVG 11592c</t>
  </si>
  <si>
    <t>ULVG 11557a</t>
  </si>
  <si>
    <t>ULVG 11559a</t>
  </si>
  <si>
    <t>ULVG 11559c</t>
  </si>
  <si>
    <t>ULVG 11559d</t>
  </si>
  <si>
    <t>ULVG 11559e</t>
  </si>
  <si>
    <t>ULVG 11592d</t>
  </si>
  <si>
    <t>ULVG 11561</t>
  </si>
  <si>
    <t>ULVG 11552a</t>
  </si>
  <si>
    <t>ULVG 11550a</t>
  </si>
  <si>
    <t>ULVG 11550b</t>
  </si>
  <si>
    <t>ULVG 11570a</t>
  </si>
  <si>
    <t>ULVG 11590</t>
  </si>
  <si>
    <t>ULVG 11555</t>
  </si>
  <si>
    <t>ULVG 11582</t>
  </si>
  <si>
    <t>ULVG 11593b</t>
  </si>
  <si>
    <t>ULVG 11593c</t>
  </si>
  <si>
    <t>ULVG 11563</t>
  </si>
  <si>
    <t>ULVG 11565</t>
  </si>
  <si>
    <t>ULVG 11592</t>
  </si>
  <si>
    <t>ULVG 13009</t>
  </si>
  <si>
    <t>UMVT 5558</t>
  </si>
  <si>
    <t>UMVT 5549</t>
  </si>
  <si>
    <t>UMVT 5554</t>
  </si>
  <si>
    <t>UMVT 10711b</t>
  </si>
  <si>
    <t>UMVT 10711c</t>
  </si>
  <si>
    <t>UMVT 10707</t>
  </si>
  <si>
    <t>UMVT 10717</t>
  </si>
  <si>
    <t>UMVT 10716a</t>
  </si>
  <si>
    <t>UMVT 10716b</t>
  </si>
  <si>
    <t>UMVT 10721c</t>
  </si>
  <si>
    <t>UMVT 10718</t>
  </si>
  <si>
    <t>UMVT 10715</t>
  </si>
  <si>
    <t>UMVT 10712</t>
  </si>
  <si>
    <t>Artinskian</t>
  </si>
  <si>
    <t>Tournaisian</t>
  </si>
  <si>
    <t>Kungurian</t>
  </si>
  <si>
    <t>Southern Permian Basin</t>
  </si>
  <si>
    <t>Southern Laramie Basin</t>
  </si>
  <si>
    <t>Cedar Mesa Sandstone Formation</t>
  </si>
  <si>
    <t>Padadox Basin</t>
  </si>
  <si>
    <t>Permian Basin</t>
  </si>
  <si>
    <t>Midland Basin</t>
  </si>
  <si>
    <t>DeChelly Sandstone Formation</t>
  </si>
  <si>
    <t>Central Basin</t>
  </si>
  <si>
    <t>Ecca Group</t>
  </si>
  <si>
    <t>Kasimovian</t>
  </si>
  <si>
    <t>La Golondrina Basin</t>
  </si>
  <si>
    <t>La Antigua Formation</t>
  </si>
  <si>
    <t>Campo do Tenente Formation</t>
  </si>
  <si>
    <t>Tor Bay Breccias</t>
  </si>
  <si>
    <t>Late Pennsylvanian</t>
  </si>
  <si>
    <t>Visean</t>
  </si>
  <si>
    <t>Polestar Formation</t>
  </si>
  <si>
    <t>Early Cisuralian</t>
  </si>
  <si>
    <t>Late Cisuralian</t>
  </si>
  <si>
    <t>Sakmarian</t>
  </si>
  <si>
    <t>Upper Coal Measures Formation</t>
  </si>
  <si>
    <t>Upper Haslingden Flags</t>
  </si>
  <si>
    <t>[33][147][152]</t>
  </si>
  <si>
    <t>[5-7][14][145]</t>
  </si>
  <si>
    <t>[27][29]</t>
  </si>
  <si>
    <t>[27-29]</t>
  </si>
  <si>
    <t>[12][183]</t>
  </si>
  <si>
    <t>Cochlichnus, Palaeophycus, Lophoctenium</t>
  </si>
  <si>
    <t>[30][32][201]</t>
  </si>
  <si>
    <t>Arborichnus, Nereites, Protovirgularia, Skolithos, Asterichnus</t>
  </si>
  <si>
    <t>[48-49][188][196][201]</t>
  </si>
  <si>
    <t>[72][173]</t>
  </si>
  <si>
    <t>[67][184]</t>
  </si>
  <si>
    <t>[34][158-160]</t>
  </si>
  <si>
    <t>[71][198-199]</t>
  </si>
  <si>
    <t>Cruziana, Diplichnites, Monomorphichnus, Striatichnium, Palaeophycus, Rusophycus</t>
  </si>
  <si>
    <t>Arborichnus, Tonganoxichnus, Lithographus, Monomorphichnus, Stiaria, Augerinoichnus, Cochlichnus</t>
  </si>
  <si>
    <t>Palaeophycus, Planolites, Bergaueria</t>
  </si>
  <si>
    <t>Archaeonassa, Gordia, Helminthoidichnites, Mermia, Helminthopsis, Cochlichnus, Circulichnis, Treptichnus, Rusophycus, Orchesteropus, Maculichna</t>
  </si>
  <si>
    <t>Archaeonassa, Gordia, Helminthoidichnites, Helminthopsis, Protovirgularia, Cruziana, Diplichnites, Dendroidichnites, Monomorphichnus, Umfolozia, Gluckstadtella, Huilmuichnus, Rusophycus, Lockeia, Ptychoplasma, Palaeophycus, Planolites, Treptichnus</t>
  </si>
  <si>
    <t>Helminthopsis, Gordia, Cochlichnus, Palaeophycus, Planolites</t>
  </si>
  <si>
    <t>Rusophycus, Cruziana, Diplichnites, Monomorphichnus, Spongeliomorpha, Skolithos</t>
  </si>
  <si>
    <t>Helminthoidichnites, Diplopodichnus, Cruziana, Diplichnites, Kouphichnium, Monomorphichnus, Irichnus, Umfolozia, Rusophycus</t>
  </si>
  <si>
    <t>Cruziana, Clavifasulcus, Diplopodichnus, Diplichnites, Umfolozia, Rusophycus</t>
  </si>
  <si>
    <t>Gordia, Helminthoidichnites, Cruziana, Diplichnites, Lithographus, Kouphichnium, Rusophycus, Treptichnus, Planolites, Taenidium</t>
  </si>
  <si>
    <t>Circulichnis, Cochlichnus, Gordia, Diplopodichnus, Cruziana, Diplichnites, Lithographus, Stiaria, Tonganoxichnus, Planolites, Palaeophycus, Taenidium</t>
  </si>
  <si>
    <t xml:space="preserve">Diplopodichnus, Protovirgularia, Umfolozia, Maculichna, Diplichnites, Gluckstadtella, Kingella, Gyrochorte </t>
  </si>
  <si>
    <t>Helminthopsis, Umfolozia, Kouphichnium, Skolithos, Diplocraterion, Siphonichnus</t>
  </si>
  <si>
    <t>Gordia, Helminthoidichnites, Diplopodichnus, Diplichnites, Paleohelcura, Protichnites</t>
  </si>
  <si>
    <t>Helmintoidichnites, Mermia, Cochlichnus, Gordia, Archaeonassa, Diplopodichnus, Maculichna, Treptichnus</t>
  </si>
  <si>
    <t>Gordia, Helminthoidichnites, Mermia, Helminthopsis, Cochlichnus, Circulichnis, Cruziana, Diplopodichnus, Maculichna, Diplichnites, Umfolozia, Orchesteropus, Treptichnus, Rusophycus</t>
  </si>
  <si>
    <t>Umfolozia, Psammichnites, Treptichnus, Lingulichnus, Lockeia, Ptychoplasma, Protovirgularia, Palaeophycus</t>
  </si>
  <si>
    <t>Mermia, Gordia, Helminthopsis, Helmintoidichnites, Cochlichnus, Diplopodichnus, Diplichnites</t>
  </si>
  <si>
    <t>Cochlichnus, Gordia, Protovirgularia, Lockeia, Planolites, Rhizocorallium</t>
  </si>
  <si>
    <t>Cochlichnus, Gordia, Diplichnites, Kouphichnium, Asterichnus, Beaconites</t>
  </si>
  <si>
    <t>Cochlichnus, Gordia, Kouphichnium, Siskemia, Protichnites, Arenicolites, Treptichnus, Limulicubichnus, Skolithos, Planolites, Rhizocorallium</t>
  </si>
  <si>
    <t>Cochlichnus, Gordia, Cruziana, Diplopodichnus, Diplichnites, Planolites</t>
  </si>
  <si>
    <t>Didymaulichnus, Cruziana, Diplopodichnus, Rusophycus</t>
  </si>
  <si>
    <t>Cochlichnus, Mermia, Cruziana, Treptichnus, Planolites, Palaeophycus</t>
  </si>
  <si>
    <t>Gordia, Circulichnis, Cruziana, Arenicolites, Planolites, Conichnus, Bergaueria, Kouphichnium, Scolicia, Phycodes, Taenidium, Palaeophycus, Skolithos, Protovirgularia, Rusophycus</t>
  </si>
  <si>
    <t>Gordia, Cochlichnus, Treptichnus, Palaeophycus, Maculichna, Pterichnus, Tonganoxichnus</t>
  </si>
  <si>
    <t>Hamipes, Lithographus, Parahamipes, Cruziana, Rusophycus, Paramargaritichnus, Nereites</t>
  </si>
  <si>
    <t>Gordia, Diplopodichnus, Cruziana, Diplichnites, Stiaria, Kouphichnium, Stiallia, Taenidium, Planolites, Rusophycus, Palaeophycus</t>
  </si>
  <si>
    <t>Gordia, Diplopodichnus, Diplichnites, Paleohelcura, Tonganoxichnus, Treptichnus</t>
  </si>
  <si>
    <t>Didymaulichnus, Cruziana, Rusophycus, Taenidium, Palaeophycus</t>
  </si>
  <si>
    <t>Diplopodichnus, Cruziana, Kouphichnium, Merostomichnites, Mirandaichnium, Monomorphichnus, Umfolozia, Palaeophycus, Diplocraterion</t>
  </si>
  <si>
    <t>Archaeonassa, Arenicolites</t>
  </si>
  <si>
    <t>Helminthopsis, Rusophycus, Cruziana, Taenidium</t>
  </si>
  <si>
    <t>Circulichnis, Gordia, Diplopodichnus, Cruziana, Protichnites, Monomorphichnus, Hexapodichnus, Diplichnites, Stiallia, Gluckstadtella, Rusophycus, Crescentichnus</t>
  </si>
  <si>
    <t>Helminthopsis, Cruziana, Didymaulichnus, Rusophycus, Planolites, Taenidium, Treptichnus, Thalassinoides, Palaeophycus</t>
  </si>
  <si>
    <t>Cochlichnus, Diplichnites, Stiaria, Kouphichnium, Arborichnus, Tonganoxichnus, Arenicolites, Treptichnus</t>
  </si>
  <si>
    <t>Cochlichnus, Bifurcatichnus, Kalnaichnus, Orbiculichnus, Kivanichnus, Hamipes, Tortilichnus, Lithographus, Dendroidichnites, Taslerella, Diplichnites, Rusophycus</t>
  </si>
  <si>
    <t>Gordia, Helminthoidichnites, Cochlichnus, Diplopodichnus, Stiallia, Stiaria, Mitchellichnus, Siskemia, Diplichnites, Lockeia, Planolites, Narragansettichnus, Tonganoxichnus</t>
  </si>
  <si>
    <t>Cochlichnus, Augerinoichnus, Diplopodichnus, Dendroidichnites, Stiaria, Lithographus, Diplichnites, Kouphichnium, Palmichnium, Stiallia, Striatichnium, Octopodichnus, Rotterodichnium, Tonganoxichnus, Treptichnus, Lockeia, Spirorhaphe, Faciemichnus, Selenichnites</t>
  </si>
  <si>
    <t>Acripes, Diplichnites, Protichnites, Danstairia, Lithographus, Rusophycus, Cruziana, Scoyenia</t>
  </si>
  <si>
    <t>Gordia, Diplichnites, Paleohelcura, Palmichnium, Protichnites</t>
  </si>
  <si>
    <t>Helminthoidichnites, Diplopodichnus, Cruziana, Diplichnites, Maculichna, Umfolozia, Arborichnus, Gluckstadtella, Kingella, Treptichnus, Crescentichnus, Rusophycus</t>
  </si>
  <si>
    <t>Kouphichnium, Merostomichnites, Petalichnus, Arborichnus, Psammichnites</t>
  </si>
  <si>
    <t>Diplopodichnus, Diplichnites, Lithographus, Tonganoxichnus, Treptichnus</t>
  </si>
  <si>
    <t>Cochlichnus, Diplichnites, Kouphichnium</t>
  </si>
  <si>
    <t>Diplopodichnus, Diplichnites, Lithographus, Paleohelcura, Stiaria, Striatichnium, Heteropodichnus, Tambia, Treptichnus</t>
  </si>
  <si>
    <t>Helminthoidichnites, Mermia, Clavifasulcus, Diplopodichnus, Cruziana, Diplichnites, Umfolozia, Glaciichnium, Gluckstadtella, Protovirgularia, Treptichnus</t>
  </si>
  <si>
    <t>Cochlichnus, Helminthoidichnites, Cruziana, Diplopodichnus, Diplichnites, Umfolozia, Maculichna, Rusophycus, Gluckstadtella, Halimedides, Nereites, Treptichnus, Protovirgularia</t>
  </si>
  <si>
    <t>Gordia, Helminthoidichnites, Helminthopsis, Diplopodichnus, Cruziana, Umfolozia, Maculichna, Kouphichnium, Diplichnites, Protichnites, Gluckstadtella, Tonganoxichnus, Nereites, Rusophycus, Treptichnus</t>
  </si>
  <si>
    <t>Archaeonassa, Helmintoidichnites, Didymaulichnus, Planolites, Palaeophycus</t>
  </si>
  <si>
    <t>Helminthoidichnites, Cochlichnus, Diplichnites, Didymaulichnus, Kouphichnium, Lockeia, Crescentichnus, Planolites, Arenicolites, Diplocraterion, Taenidium</t>
  </si>
  <si>
    <t>Cochlichnus, Mermia, Diplopodichnus, Kouphichnium, Stiaria, Lockeia</t>
  </si>
  <si>
    <t>Teichichnus</t>
  </si>
  <si>
    <t>Arenicolites, Diplocraterion, Thalassinoides, Monocraterion, Rhizocorallium, Nereites, Planolites, Siphonichnus, Skolithos</t>
  </si>
  <si>
    <t>Cochlichnus, Helminthoidichnites, Gordia, Helminthopsis, Diplopodichnus, Didymaulichnus, Octopodichnus, Diplichnites, Protichnites, Acanthorhaphe, Halimedides, Planolites, Treptichnus, Skolithos, Inmontibusichnus, Tonganoxichnus</t>
  </si>
  <si>
    <t>Mermia, Cruziana, Scoyenia, Taenidium, Arenicolites, Skolithos, Planolites</t>
  </si>
  <si>
    <t>Colorado Plateau</t>
  </si>
  <si>
    <t>Pedregosa Basin</t>
  </si>
  <si>
    <t>Oaxaquian Geological
Province</t>
  </si>
  <si>
    <t>Denver Basin</t>
  </si>
  <si>
    <t>Orogrande Basin</t>
  </si>
  <si>
    <t>Map</t>
  </si>
  <si>
    <t>Time</t>
  </si>
  <si>
    <t>Paleolat</t>
  </si>
  <si>
    <t>Paleolong</t>
  </si>
  <si>
    <t>Plate</t>
  </si>
  <si>
    <t>Arid</t>
  </si>
  <si>
    <t>Temperate</t>
  </si>
  <si>
    <t>Tropical</t>
  </si>
  <si>
    <t>Polar</t>
  </si>
  <si>
    <t>Category</t>
  </si>
  <si>
    <t>Helminthoidichnites, Dimorphichnus, Irichnus, Merostomichnites, Monomorphichnus, Umfolozia, Diplichnites, Halimedides</t>
  </si>
  <si>
    <t>Cochlichnus, Gordia, Helminthoidichnites, Cruziana, Diplopodichnus, Diplichnites, Rusophycus, Treptichnus, Halimedides</t>
  </si>
  <si>
    <t>Gordia, Circulichnis, Protovirgularia, Cruziana, Planolites, Arenicolites, Rusophycus, Skolithos, Lockeia</t>
  </si>
  <si>
    <t>Circulichnis, Gordia, Helmintoidichnites, Helminthopsis, Diplopodichnus, Diplichnites, Kouphichnium, Dendroidichnites, Stiallia, Stiaria, Mirandaichnium, Tonganoxichnus, Treptichnus</t>
  </si>
  <si>
    <t>[40][82-83][166]</t>
  </si>
  <si>
    <t>Karoo, Paraná</t>
  </si>
  <si>
    <t>Helminthopsis, Umfolozia, Kouphichnium, Skolithos, Diplocraterion, Siphonichnus, Helminthoidichnites, Dimorphichnus, Irichnus, Merostomichnites, Monomorphichnus, Diplichnites, Halimedides</t>
  </si>
  <si>
    <t>[106][133][134][144]</t>
  </si>
  <si>
    <t>Diplichnites, Diplopodichnus, Orbiculichnus, Cochlichnus, Mermia, Cruziana, Treptichnus, Planolites, Palaeophycus, Gordia, Circulichnis, Protovirgularia, Arenicolites, Rusophycus, Skolithos, Lockeia, Conichnus, Bergaueria, Kouphichnium, Scolicia, Phycodes, Taenidium</t>
  </si>
  <si>
    <t>Arenicolites, Diplocraterion, Thalassinoides, Monocraterion, Rhizocorallium, Nereites, Planolites, Siphonichnus, Skolithos, Umfolozia</t>
  </si>
  <si>
    <t>[78][83-84]</t>
  </si>
  <si>
    <t>Karoo, Falkland</t>
  </si>
  <si>
    <t>Cochlichnus, Helmintoidichnites, Helminthopsis, Ctenopholeus, Gordia, Diplopodichnus, Cruziana, Umfolozia, Maculichna, Kouphichnium, Diplichnites, Protichnites, Gluckstadtella, Tonganoxichnus, Nereites, Rusophycus, Treptichnus, Arborichnus, Kingella, Crescentichnus</t>
  </si>
  <si>
    <t>La Golondrina, Paraná, Norte, Sydney</t>
  </si>
  <si>
    <t>[23][99][155-157]</t>
  </si>
  <si>
    <t>Paraná, San Rafael, Paganzo, Calingasta-Uspallata, Paganzo, Paraná</t>
  </si>
  <si>
    <t>[5-7][8][9][14][33][34][35][101-102][136-138][145][147][148-151][152][153][158-160][161-162][167]</t>
  </si>
  <si>
    <t>Diplopodichnus, Gordia, Palaeophycus, Skolithos, Octopodichnus, Didymaulichnus, Cruziana, Rusophycus, Taenidium, Kouphichnium, Merostomichnites, Mirandaichnium, Monomorphichnus, Umfolozia, Diplocraterion, Clavifasulcus, Diplichnites, Glaciichnium, Gluckstadtella, Protovirgularia, Treptichnus, Cochlichnus, Maculichna, Halimedides, Nereites, Archaeonassa, Helminthopsis, Dendroidichnites, Huilmuichnus, Lockeia, Ptychoplasma, Planolites, Circulichnis, Orchesteropus, Psammichnites, Lingulichnus</t>
  </si>
  <si>
    <t>Palaeophycus, Planolites, Bergaueria, Archaeonassa, Gordia, Helminthoidichnites, Mermia, Helminthopsis, Cochlichnus, Circulichnis, Treptichnus, Rusophycus, Orchesteropus, Maculichna, Diplopodichnus, Diplichnites, Didymaulichnus, Cruziana, Kouphichnium, Monomorphichnus, Irichnus, Umfolozia</t>
  </si>
  <si>
    <t>Calingasta-Uspallata Basin, Paganzo, Tarija, Paraná</t>
  </si>
  <si>
    <t>[21-22][23][24][44][70][145-146][154][163-165]</t>
  </si>
  <si>
    <t>Helminthopsis, Gordia, Cochlichnus, Palaeophycus, Planolites, Rusophycus, Cruziana, Diplichnites, Monomorphichnus, Spongeliomorpha, Skolithos</t>
  </si>
  <si>
    <t>Oaxaquian Geological
Province, Appalachian, Cumberland, Grampian, Appalachian, Tweed</t>
  </si>
  <si>
    <t>[13][18][20][26][30][32][48-49][179][185][188][196][201]</t>
  </si>
  <si>
    <t>Planolites, Rusophycus, Beaconites, Cochlichnus, Gordia, Protovirgularia, Lockeia, Rhizocorallium, Arborichnus, Nereites, Skolithos, Asterichnus, Limulicubichnus, Asteriacites, Rosselia, Thalassinoides, Diplichnites, Stiaria, Kouphichnium, Tonganoxichnus, Arenicolites, Treptichnus, Chondrites</t>
  </si>
  <si>
    <t>[2-3][10][12][43][51-54][56-58][59-60][66][67][68][72][77][80-81][86-93][94][109][110][135][140-142][143][175][177][178][180][183][184][186][190][197]</t>
  </si>
  <si>
    <t>Permian, Chama, Tiddas, Koudiat El Hamra, Pennine, Midland, Collio, Tregiovo, Orobic, Radnice, Forest City, Orogrande, Permian</t>
  </si>
  <si>
    <t>Cochlichnus, Planolites, Chondrites, Lockeia, Circulichnis, Gordia, Diplopodichnus, Cruziana, Diplichnites, Lithographus, Stiaria, Tonganoxichnus, Palaeophycus, Taenidium, Helminthoidichnites, Octopodichnus, Avolatichnium, Kouphichnium, Rusophycus, Treptichnus, Paleohelcura, Protichnites, Augerinoichnus, Arenicolites, Cylindrichnus, Dendroidichnites, Scoyenia, Sphaerapus, Spongeliomorpha, Palmichnium, Protovirgularia, Crescentichnus, Selenichnites, Didymaulichnus, Teichichnus, Striatichnium, Rotterodichnium, Spirorhaphe, Faciemichnus, Archaeonassa</t>
  </si>
  <si>
    <t>Choza Formation</t>
  </si>
  <si>
    <t>Design</t>
  </si>
  <si>
    <t>Design (Architectural)</t>
  </si>
  <si>
    <t>EW - External Width</t>
  </si>
  <si>
    <t>IW - Internal Width</t>
  </si>
  <si>
    <t>5 - Bilobate trails and paired grooves</t>
  </si>
  <si>
    <t>6 - Trackways and scratch imprints</t>
  </si>
  <si>
    <t>7 - Bilaterally symmetrical short, scratched imprints</t>
  </si>
  <si>
    <t>8 - Bilaterally symmetrical short, scratched impressions and burrows</t>
  </si>
  <si>
    <t>Acanthorhaphe</t>
  </si>
  <si>
    <t>Archaeonassa</t>
  </si>
  <si>
    <t>Arenicolites</t>
  </si>
  <si>
    <t>Asteriacites</t>
  </si>
  <si>
    <t>Asterichnus</t>
  </si>
  <si>
    <t>Bergaueria</t>
  </si>
  <si>
    <t>Circulichnis</t>
  </si>
  <si>
    <t>Cylindrichnus</t>
  </si>
  <si>
    <t>Diplocraterion</t>
  </si>
  <si>
    <t>Fuersichnus</t>
  </si>
  <si>
    <t>Gyrochorte</t>
  </si>
  <si>
    <t>Halimedides</t>
  </si>
  <si>
    <t>Helminthopsis</t>
  </si>
  <si>
    <t>Helminthoidichnites</t>
  </si>
  <si>
    <t>Heteropodichnus</t>
  </si>
  <si>
    <t>Lingulichnus</t>
  </si>
  <si>
    <t>Lockeia</t>
  </si>
  <si>
    <t>Lophoctenium</t>
  </si>
  <si>
    <t>Mermia</t>
  </si>
  <si>
    <t>Monocraterion</t>
  </si>
  <si>
    <t>Monomorphichnus</t>
  </si>
  <si>
    <t>Nereites</t>
  </si>
  <si>
    <t>Oniscoidichnus</t>
  </si>
  <si>
    <t>Orbiculichnus</t>
  </si>
  <si>
    <t>Paramargaritichnus</t>
  </si>
  <si>
    <t>Phycodes</t>
  </si>
  <si>
    <t>Platicytes</t>
  </si>
  <si>
    <t>Protovirgularia</t>
  </si>
  <si>
    <t>Psammichnites</t>
  </si>
  <si>
    <t>Ptychoplasma</t>
  </si>
  <si>
    <t>Rhizocorallium</t>
  </si>
  <si>
    <t>Rosselia</t>
  </si>
  <si>
    <t>Rotterodichnium</t>
  </si>
  <si>
    <t>Siphonichnus</t>
  </si>
  <si>
    <t>Skolithos</t>
  </si>
  <si>
    <t>Sphaerapus</t>
  </si>
  <si>
    <t>Spongeliomorpha</t>
  </si>
  <si>
    <t>Spirorhaphe</t>
  </si>
  <si>
    <t>Striatichnium</t>
  </si>
  <si>
    <t>Taenidium</t>
  </si>
  <si>
    <t>Taslerella</t>
  </si>
  <si>
    <t>Tortilichnus</t>
  </si>
  <si>
    <t>Treptichnus</t>
  </si>
  <si>
    <t>Coa-Subaq</t>
  </si>
  <si>
    <t>Lac-Subaq</t>
  </si>
  <si>
    <t>Lac-Subae</t>
  </si>
  <si>
    <t>Ctenopholeus</t>
  </si>
  <si>
    <t>Limulicubichnus</t>
  </si>
  <si>
    <t>Scolecocoprus</t>
  </si>
  <si>
    <t>Scolicia</t>
  </si>
  <si>
    <t>Mean_time</t>
  </si>
  <si>
    <t>Minter, N. J. (2007). Ichnology of the nonmarine Permian: ichnotaxonomy, palaeoenvironments and palaeoethology of the southwest USA. University of Bristol.</t>
  </si>
  <si>
    <t>[108]</t>
  </si>
  <si>
    <t>P-23229</t>
  </si>
  <si>
    <t>P-23463</t>
  </si>
  <si>
    <t>P-23486</t>
  </si>
  <si>
    <t>P-23239</t>
  </si>
  <si>
    <t>P-23923</t>
  </si>
  <si>
    <t>P-23437</t>
  </si>
  <si>
    <t>P-24509</t>
  </si>
  <si>
    <t>P-23408</t>
  </si>
  <si>
    <t>P-24462</t>
  </si>
  <si>
    <t>P-47797</t>
  </si>
  <si>
    <t>P-23965</t>
  </si>
  <si>
    <t>P-23188</t>
  </si>
  <si>
    <t>P-23423</t>
  </si>
  <si>
    <t>P-23523</t>
  </si>
  <si>
    <t>P-23648</t>
  </si>
  <si>
    <t>P-23693</t>
  </si>
  <si>
    <t>P-23944</t>
  </si>
  <si>
    <t>P-24009</t>
  </si>
  <si>
    <t>P-24059</t>
  </si>
  <si>
    <t>P-24070</t>
  </si>
  <si>
    <t>P-24084</t>
  </si>
  <si>
    <t>P-24132</t>
  </si>
  <si>
    <t>P-23470</t>
  </si>
  <si>
    <t>P-23487</t>
  </si>
  <si>
    <t>P-23492</t>
  </si>
  <si>
    <t>P-23700</t>
  </si>
  <si>
    <t>P-24151</t>
  </si>
  <si>
    <t>P-24168</t>
  </si>
  <si>
    <t>P-24178</t>
  </si>
  <si>
    <t>P-24316</t>
  </si>
  <si>
    <t>P-24317</t>
  </si>
  <si>
    <t>P-24319</t>
  </si>
  <si>
    <t>P-24320</t>
  </si>
  <si>
    <t>P-24326</t>
  </si>
  <si>
    <t>P-24346</t>
  </si>
  <si>
    <t>P-24364</t>
  </si>
  <si>
    <t>P-24219</t>
  </si>
  <si>
    <t>P-24225</t>
  </si>
  <si>
    <t>P-24237</t>
  </si>
  <si>
    <t>P-3901</t>
  </si>
  <si>
    <t>P-23325</t>
  </si>
  <si>
    <t>P-23326</t>
  </si>
  <si>
    <t>P-23556</t>
  </si>
  <si>
    <t>P-23681</t>
  </si>
  <si>
    <t>P-23684</t>
  </si>
  <si>
    <t>P-23845</t>
  </si>
  <si>
    <t>P-23851</t>
  </si>
  <si>
    <t>P-23852</t>
  </si>
  <si>
    <t>P-23853</t>
  </si>
  <si>
    <t>P-23954</t>
  </si>
  <si>
    <t>P-23859</t>
  </si>
  <si>
    <t>P-23913</t>
  </si>
  <si>
    <t>P-24270</t>
  </si>
  <si>
    <t>P-24277</t>
  </si>
  <si>
    <t>P-24278</t>
  </si>
  <si>
    <t>P-24496</t>
  </si>
  <si>
    <t>P-45689</t>
  </si>
  <si>
    <t>P-45699</t>
  </si>
  <si>
    <t>P-45754</t>
  </si>
  <si>
    <t>P-23172</t>
  </si>
  <si>
    <t>P-3995</t>
  </si>
  <si>
    <t>P-3997</t>
  </si>
  <si>
    <t>P-23199</t>
  </si>
  <si>
    <t>P-23204</t>
  </si>
  <si>
    <t>P-23222</t>
  </si>
  <si>
    <t>P-23267</t>
  </si>
  <si>
    <t>P-23387</t>
  </si>
  <si>
    <t>P-23388</t>
  </si>
  <si>
    <t>P-23519</t>
  </si>
  <si>
    <t>P-23596</t>
  </si>
  <si>
    <t>P-23600</t>
  </si>
  <si>
    <t>P-23602</t>
  </si>
  <si>
    <t>P-23625</t>
  </si>
  <si>
    <t>P-23846</t>
  </si>
  <si>
    <t>P-23879</t>
  </si>
  <si>
    <t>P-23883</t>
  </si>
  <si>
    <t>P-23888</t>
  </si>
  <si>
    <t>P-23889</t>
  </si>
  <si>
    <t>P-23894</t>
  </si>
  <si>
    <t>P-23899</t>
  </si>
  <si>
    <t>P-23904</t>
  </si>
  <si>
    <t>P-23915</t>
  </si>
  <si>
    <t>P-24262</t>
  </si>
  <si>
    <t>P-24283</t>
  </si>
  <si>
    <t>P-24287</t>
  </si>
  <si>
    <t>P-24921</t>
  </si>
  <si>
    <t>P-24296</t>
  </si>
  <si>
    <t>P-24305</t>
  </si>
  <si>
    <t>P-24307</t>
  </si>
  <si>
    <t>P-24314</t>
  </si>
  <si>
    <t>P-24368</t>
  </si>
  <si>
    <t>P-24500</t>
  </si>
  <si>
    <t>P-45665</t>
  </si>
  <si>
    <t>P-45667</t>
  </si>
  <si>
    <t>P-45675</t>
  </si>
  <si>
    <t>P-23184</t>
  </si>
  <si>
    <t>P-23454</t>
  </si>
  <si>
    <t>P-24387</t>
  </si>
  <si>
    <t>P-24389</t>
  </si>
  <si>
    <t>P-24390</t>
  </si>
  <si>
    <t>P-24406</t>
  </si>
  <si>
    <t>P-23293</t>
  </si>
  <si>
    <t>P-23295</t>
  </si>
  <si>
    <t>P-23459</t>
  </si>
  <si>
    <t>P-25951</t>
  </si>
  <si>
    <t>P-40986</t>
  </si>
  <si>
    <t>P-42851</t>
  </si>
  <si>
    <t>P-51562</t>
  </si>
  <si>
    <t>P-51563</t>
  </si>
  <si>
    <t>P-51570</t>
  </si>
  <si>
    <t>P-51571</t>
  </si>
  <si>
    <t>P-51591</t>
  </si>
  <si>
    <t>P-14037</t>
  </si>
  <si>
    <t>P-14133</t>
  </si>
  <si>
    <t>P-14145</t>
  </si>
  <si>
    <t>P-14143</t>
  </si>
  <si>
    <t>P-37202</t>
  </si>
  <si>
    <t>M2091</t>
  </si>
  <si>
    <t>M2090</t>
  </si>
  <si>
    <t>M2084</t>
  </si>
  <si>
    <t>M2686</t>
  </si>
  <si>
    <t>11 N124</t>
  </si>
  <si>
    <t>Allu-Trans</t>
  </si>
  <si>
    <t>Allu-Subaq</t>
  </si>
  <si>
    <t>Allu-Subae</t>
  </si>
  <si>
    <t>Coa-Trans</t>
  </si>
  <si>
    <t>Lac-Trans</t>
  </si>
  <si>
    <t>Mean</t>
  </si>
  <si>
    <t>SD</t>
  </si>
  <si>
    <t>Max</t>
  </si>
  <si>
    <t>Min</t>
  </si>
  <si>
    <t>Median</t>
  </si>
  <si>
    <t>NA</t>
  </si>
  <si>
    <t>Lodéve Basin</t>
  </si>
  <si>
    <t>Chottěvice Formation</t>
  </si>
  <si>
    <t>Proseečné Formation</t>
  </si>
  <si>
    <t>Class</t>
  </si>
  <si>
    <t>Late Cisuralian</t>
  </si>
  <si>
    <t>Alluvial-Subaerial</t>
  </si>
  <si>
    <t>Alluvial-Transitional</t>
  </si>
  <si>
    <t>Coastal-Subaqueous</t>
  </si>
  <si>
    <t>Coastal-Transitional</t>
  </si>
  <si>
    <t>Lacustrine-Subaerial</t>
  </si>
  <si>
    <t>Lacustrine-Transitional</t>
  </si>
  <si>
    <t>Lacustrine-Subaqueous</t>
  </si>
  <si>
    <t>Arid-Alluvial</t>
  </si>
  <si>
    <t>Arid-Coastal</t>
  </si>
  <si>
    <t>Polar-Alluvial</t>
  </si>
  <si>
    <t>Polar-Coastal</t>
  </si>
  <si>
    <t>Polar-Lacustrine</t>
  </si>
  <si>
    <t>Temperate-Alluvial</t>
  </si>
  <si>
    <t>Temperate-Coastal</t>
  </si>
  <si>
    <t>Temperate-Lacustrine</t>
  </si>
  <si>
    <t>Tropical-Alluvial</t>
  </si>
  <si>
    <t>Tropical-Coastal</t>
  </si>
  <si>
    <t>Tropical-Lacustrine</t>
  </si>
  <si>
    <t>Maximum</t>
  </si>
  <si>
    <t>Minimum</t>
  </si>
  <si>
    <t>Abs_Paleolat</t>
  </si>
  <si>
    <t>Narragansett, Cumberland, Antigonish, Appalachian, Illinois, Cantabarian, San Giorgio, Puertollano, Arkoma, Denver, Southern Laramie, Central, Colorado Plateau, Paradox, Wessex, Intra-Sudenic, Saar-Nahe, Tambach</t>
  </si>
  <si>
    <t>[16][18-21][25][27-29][31][41-42][45-47][50][55][61-62][63-64][65][71][74-75][96-98][110][112-114][115][117-124][123][125-126][127-129][130-131][132][168][171][173][176][181][192][193][195][198-199][200]</t>
  </si>
  <si>
    <t>Cochlichnus, Bifurcatichnus, Kalnaichnus, Orbiculichnus, Kivanichnus, Hamipes, Tortilichnus, Lithographus, Dendroidichnites, Taslerella, Diplichnites, Rusophycus, Cruziana, Palaeophycus, Arborichnus, Tonganoxichnus, Monomorphichnus, Stiaria, Augerinoichnus, Striatichnium, Acripes, Protichnites, Danstairia, Scoyenia, Skolithos, Spongeliomorpha, Protovirgularia, Taenidium, Kouphichnium, Planolites, Diplopodichnus, Intexalvichnus, Beaconites, Mermia, Arenicolites, Thalassinoides, Lockeia</t>
  </si>
  <si>
    <t>Krkonoše Piedmont, Southern Permian, Midland, Lodève, Santander, Baden-Baden, Pedregosa, Paradox, Culm, Graissessac, Donegal, Appalachian, Dunkark, Pennine</t>
  </si>
  <si>
    <t>[1][4][69][72-73][75-76][85][93-95][103-104][105][111][115][116][139][169-170][172-173][174][182][187][189][191][194]</t>
  </si>
  <si>
    <t>Cochlichnus, Gordia, Kouphichnium, Siskemia, Protichnites, Arenicolites, Treptichnus, Limulicubichnus, Skolithos, Planolites, Rhizocorallium, Chondrites, Diplocraterion, Palaeophycus, Lockeia, Merostomichnites, Petalichnus, Arborichnus, Psammichnites, Diplichnites, Helminthopsis, Rusophycus, Cruziana, Taenidium, Conichnus, Helminthoidichnites, Diplopodichnus, Stiallia, Stiaria, Mitchellichnus, Narragansettichnus, Tonganoxichnus, Didymaulichnus, Crescentichnus, Beaconites, Maculichna, Pterichnus, Paleohelcura, Octopodichnus, Acanthorhaphe, Halimedides, Inmontibusichnus, Circulichnis, Monomorphichnus, Hexapodichnus, Gluckstadtella, Thalassinoides, Lophoctenium, Hamipes, Lithographus, Parahamipes, Paramargaritichnus, Nereites, Striatichnium, Heteropodichnus, Tambia, Oniscoidichnus, Scolecocoprus</t>
  </si>
  <si>
    <t>Early Mississippian</t>
  </si>
  <si>
    <t>middle Mississippian</t>
  </si>
  <si>
    <t>Late Penn.-Early Perm.</t>
  </si>
  <si>
    <t>Late Miss.-Early Penn.</t>
  </si>
  <si>
    <t>Middle Misssissippian</t>
  </si>
  <si>
    <t>Middle Mississippian</t>
  </si>
  <si>
    <t>Lale Miss.-Early Penn.</t>
  </si>
  <si>
    <t>Late Penn.-Early Perm.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</si>
</sst>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Font="1" applyAlignment="1">
      <alignment horizontal="right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5" fillId="0" borderId="0" xfId="0" applyFont="1" applyFill="1"/>
    <xf numFmtId="0" fontId="6" fillId="0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0" fontId="0" fillId="0" borderId="0" xfId="0" applyFill="1" applyAlignment="1">
      <alignment horizontal="right"/>
    </xf>
    <xf numFmtId="0" fontId="0" fillId="0" borderId="0" xfId="0" applyFill="1" applyAlignment="1"/>
    <xf numFmtId="0" fontId="2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0" xfId="0" applyFont="1" applyFill="1"/>
    <xf numFmtId="0" fontId="1" fillId="0" borderId="0" xfId="0" applyFont="1" applyFill="1"/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2" fontId="5" fillId="0" borderId="0" xfId="0" applyNumberFormat="1" applyFont="1" applyFill="1" applyBorder="1" applyAlignment="1">
      <alignment horizontal="right" vertical="center"/>
    </xf>
    <xf numFmtId="2" fontId="6" fillId="0" borderId="0" xfId="0" applyNumberFormat="1" applyFont="1" applyFill="1" applyBorder="1" applyAlignment="1">
      <alignment horizontal="right" vertical="center"/>
    </xf>
    <xf numFmtId="2" fontId="0" fillId="0" borderId="0" xfId="0" applyNumberFormat="1" applyFill="1"/>
    <xf numFmtId="164" fontId="5" fillId="0" borderId="0" xfId="0" applyNumberFormat="1" applyFont="1" applyFill="1" applyBorder="1" applyAlignment="1">
      <alignment horizontal="right" vertical="center"/>
    </xf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0"/>
  <sheetViews>
    <sheetView tabSelected="1" zoomScale="70" zoomScaleNormal="70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5.140625" bestFit="1" customWidth="1"/>
    <col min="2" max="2" width="24.28515625" style="7" bestFit="1" customWidth="1"/>
    <col min="3" max="3" width="13.42578125" bestFit="1" customWidth="1"/>
    <col min="4" max="4" width="10.42578125" bestFit="1" customWidth="1"/>
    <col min="5" max="5" width="8" bestFit="1" customWidth="1"/>
    <col min="6" max="6" width="16.7109375" bestFit="1" customWidth="1"/>
    <col min="7" max="7" width="14.28515625" bestFit="1" customWidth="1"/>
    <col min="8" max="8" width="14.5703125" bestFit="1" customWidth="1"/>
    <col min="9" max="9" width="19.140625" bestFit="1" customWidth="1"/>
    <col min="10" max="10" width="13.5703125" bestFit="1" customWidth="1"/>
    <col min="11" max="11" width="23.5703125" bestFit="1" customWidth="1"/>
    <col min="12" max="12" width="8" bestFit="1" customWidth="1"/>
    <col min="13" max="13" width="27" bestFit="1" customWidth="1"/>
    <col min="14" max="14" width="32.85546875" bestFit="1" customWidth="1"/>
    <col min="15" max="15" width="11.28515625" bestFit="1" customWidth="1"/>
    <col min="16" max="16" width="12.140625" bestFit="1" customWidth="1"/>
    <col min="17" max="17" width="10.5703125" bestFit="1" customWidth="1"/>
    <col min="18" max="18" width="12.140625" bestFit="1" customWidth="1"/>
    <col min="19" max="19" width="11" bestFit="1" customWidth="1"/>
    <col min="20" max="20" width="10.5703125" bestFit="1" customWidth="1"/>
    <col min="21" max="21" width="12.5703125" bestFit="1" customWidth="1"/>
    <col min="22" max="22" width="20.7109375" style="1" bestFit="1" customWidth="1"/>
  </cols>
  <sheetData>
    <row r="1" spans="1:22" s="25" customFormat="1" x14ac:dyDescent="0.25">
      <c r="A1" s="29" t="s">
        <v>237</v>
      </c>
      <c r="B1" s="32" t="s">
        <v>8</v>
      </c>
      <c r="C1" s="29" t="s">
        <v>1332</v>
      </c>
      <c r="D1" s="29" t="s">
        <v>74</v>
      </c>
      <c r="E1" s="29" t="s">
        <v>1535</v>
      </c>
      <c r="F1" s="29" t="s">
        <v>11</v>
      </c>
      <c r="G1" s="29" t="s">
        <v>4</v>
      </c>
      <c r="H1" s="29" t="s">
        <v>5</v>
      </c>
      <c r="I1" s="29" t="s">
        <v>3</v>
      </c>
      <c r="J1" s="29" t="s">
        <v>1628</v>
      </c>
      <c r="K1" s="29" t="s">
        <v>1531</v>
      </c>
      <c r="L1" s="29" t="s">
        <v>1532</v>
      </c>
      <c r="M1" s="29" t="s">
        <v>2</v>
      </c>
      <c r="N1" s="29" t="s">
        <v>12</v>
      </c>
      <c r="O1" s="29" t="s">
        <v>19</v>
      </c>
      <c r="P1" s="29" t="s">
        <v>20</v>
      </c>
      <c r="Q1" s="29" t="s">
        <v>1533</v>
      </c>
      <c r="R1" s="29" t="s">
        <v>1534</v>
      </c>
      <c r="S1" s="29" t="s">
        <v>6</v>
      </c>
      <c r="T1" s="29" t="s">
        <v>21</v>
      </c>
      <c r="U1" s="29" t="s">
        <v>1540</v>
      </c>
      <c r="V1" s="32" t="s">
        <v>0</v>
      </c>
    </row>
    <row r="2" spans="1:22" s="25" customFormat="1" ht="45" x14ac:dyDescent="0.25">
      <c r="A2" s="25">
        <v>1</v>
      </c>
      <c r="B2" s="27" t="s">
        <v>817</v>
      </c>
      <c r="C2" s="25">
        <v>3</v>
      </c>
      <c r="D2" s="25">
        <v>3</v>
      </c>
      <c r="E2" s="25">
        <v>802</v>
      </c>
      <c r="F2" s="25" t="s">
        <v>425</v>
      </c>
      <c r="G2" s="25" t="s">
        <v>266</v>
      </c>
      <c r="H2" s="25" t="s">
        <v>267</v>
      </c>
      <c r="J2" s="25">
        <v>286</v>
      </c>
      <c r="K2" s="25" t="s">
        <v>1453</v>
      </c>
      <c r="L2" s="25">
        <v>280</v>
      </c>
      <c r="M2" s="25" t="s">
        <v>426</v>
      </c>
      <c r="N2" s="26" t="s">
        <v>809</v>
      </c>
      <c r="O2" s="25">
        <v>-81.309719000000001</v>
      </c>
      <c r="P2" s="26">
        <v>159.46784</v>
      </c>
      <c r="Q2">
        <v>-85.708600000000004</v>
      </c>
      <c r="R2">
        <v>151.2764</v>
      </c>
      <c r="S2" s="25" t="s">
        <v>1539</v>
      </c>
      <c r="T2" s="25" t="s">
        <v>15</v>
      </c>
      <c r="U2" s="25" t="s">
        <v>17</v>
      </c>
      <c r="V2" s="26" t="s">
        <v>816</v>
      </c>
    </row>
    <row r="3" spans="1:22" s="25" customFormat="1" ht="45" x14ac:dyDescent="0.25">
      <c r="A3" s="25">
        <v>2</v>
      </c>
      <c r="B3" s="27" t="s">
        <v>1493</v>
      </c>
      <c r="C3" s="25">
        <v>6</v>
      </c>
      <c r="D3" s="25">
        <v>5</v>
      </c>
      <c r="E3" s="25">
        <v>802</v>
      </c>
      <c r="F3" s="25" t="s">
        <v>425</v>
      </c>
      <c r="G3" s="25" t="s">
        <v>266</v>
      </c>
      <c r="H3" s="25" t="s">
        <v>267</v>
      </c>
      <c r="J3" s="25">
        <v>286</v>
      </c>
      <c r="K3" s="25" t="s">
        <v>1453</v>
      </c>
      <c r="L3" s="25">
        <v>280</v>
      </c>
      <c r="M3" s="25" t="s">
        <v>426</v>
      </c>
      <c r="N3" s="26" t="s">
        <v>809</v>
      </c>
      <c r="O3" s="25">
        <v>-81.309719000000001</v>
      </c>
      <c r="P3" s="26">
        <v>159.46784</v>
      </c>
      <c r="Q3">
        <v>-85.708600000000004</v>
      </c>
      <c r="R3">
        <v>151.2764</v>
      </c>
      <c r="S3" s="25" t="s">
        <v>1539</v>
      </c>
      <c r="T3" s="25" t="s">
        <v>15</v>
      </c>
      <c r="U3" s="25" t="s">
        <v>16</v>
      </c>
      <c r="V3" s="26" t="s">
        <v>811</v>
      </c>
    </row>
    <row r="4" spans="1:22" s="25" customFormat="1" ht="75" x14ac:dyDescent="0.25">
      <c r="A4" s="25">
        <v>3</v>
      </c>
      <c r="B4" s="27" t="s">
        <v>1543</v>
      </c>
      <c r="C4" s="25">
        <v>9</v>
      </c>
      <c r="D4" s="25">
        <v>8</v>
      </c>
      <c r="E4" s="25">
        <v>802</v>
      </c>
      <c r="F4" s="25" t="s">
        <v>425</v>
      </c>
      <c r="G4" s="25" t="s">
        <v>266</v>
      </c>
      <c r="H4" s="25" t="s">
        <v>267</v>
      </c>
      <c r="J4" s="25">
        <v>286</v>
      </c>
      <c r="K4" s="25" t="s">
        <v>1453</v>
      </c>
      <c r="L4" s="25">
        <v>280</v>
      </c>
      <c r="M4" s="25" t="s">
        <v>426</v>
      </c>
      <c r="N4" s="26" t="s">
        <v>809</v>
      </c>
      <c r="O4" s="25">
        <v>-83.000373999999994</v>
      </c>
      <c r="P4" s="26">
        <v>164.034941</v>
      </c>
      <c r="Q4">
        <v>-87.299800000000005</v>
      </c>
      <c r="R4">
        <v>165.50720000000001</v>
      </c>
      <c r="S4" s="25" t="s">
        <v>1539</v>
      </c>
      <c r="T4" s="26" t="s">
        <v>13</v>
      </c>
      <c r="U4" s="25" t="s">
        <v>17</v>
      </c>
      <c r="V4" s="26" t="s">
        <v>891</v>
      </c>
    </row>
    <row r="5" spans="1:22" s="25" customFormat="1" ht="135" x14ac:dyDescent="0.25">
      <c r="A5" s="25">
        <v>4</v>
      </c>
      <c r="B5" s="27" t="s">
        <v>1494</v>
      </c>
      <c r="C5" s="25">
        <v>15</v>
      </c>
      <c r="D5" s="25">
        <v>13</v>
      </c>
      <c r="E5" s="25">
        <v>802</v>
      </c>
      <c r="F5" s="25" t="s">
        <v>425</v>
      </c>
      <c r="G5" s="25" t="s">
        <v>266</v>
      </c>
      <c r="H5" s="25" t="s">
        <v>267</v>
      </c>
      <c r="J5" s="25">
        <v>286</v>
      </c>
      <c r="K5" s="25" t="s">
        <v>1453</v>
      </c>
      <c r="L5" s="25">
        <v>280</v>
      </c>
      <c r="M5" s="25" t="s">
        <v>426</v>
      </c>
      <c r="N5" s="26" t="s">
        <v>809</v>
      </c>
      <c r="O5" s="25">
        <v>-83.000373999999994</v>
      </c>
      <c r="P5" s="26">
        <v>164.034941</v>
      </c>
      <c r="Q5">
        <v>-87.299800000000005</v>
      </c>
      <c r="R5">
        <v>165.50720000000001</v>
      </c>
      <c r="S5" s="25" t="s">
        <v>1539</v>
      </c>
      <c r="T5" s="26" t="s">
        <v>13</v>
      </c>
      <c r="U5" s="25" t="s">
        <v>16</v>
      </c>
      <c r="V5" s="26" t="s">
        <v>891</v>
      </c>
    </row>
    <row r="6" spans="1:22" s="25" customFormat="1" x14ac:dyDescent="0.25">
      <c r="A6" s="25">
        <v>5</v>
      </c>
      <c r="B6" s="27" t="s">
        <v>406</v>
      </c>
      <c r="C6" s="25">
        <v>1</v>
      </c>
      <c r="D6" s="25">
        <v>1</v>
      </c>
      <c r="E6" s="25">
        <v>802</v>
      </c>
      <c r="F6" s="25" t="s">
        <v>425</v>
      </c>
      <c r="G6" s="25" t="s">
        <v>266</v>
      </c>
      <c r="H6" s="25" t="s">
        <v>267</v>
      </c>
      <c r="J6" s="25">
        <v>286</v>
      </c>
      <c r="K6" s="25" t="s">
        <v>1453</v>
      </c>
      <c r="L6" s="25">
        <v>280</v>
      </c>
      <c r="M6" s="25" t="s">
        <v>426</v>
      </c>
      <c r="N6" s="26" t="s">
        <v>636</v>
      </c>
      <c r="O6" s="25">
        <v>-84.813982999999993</v>
      </c>
      <c r="P6" s="25">
        <v>-114.589237</v>
      </c>
      <c r="Q6">
        <v>-83.223200000000006</v>
      </c>
      <c r="R6">
        <v>-85.872</v>
      </c>
      <c r="S6" s="25" t="s">
        <v>1539</v>
      </c>
      <c r="T6" s="25" t="s">
        <v>14</v>
      </c>
      <c r="U6" s="25" t="s">
        <v>17</v>
      </c>
      <c r="V6" s="26" t="s">
        <v>635</v>
      </c>
    </row>
    <row r="7" spans="1:22" s="25" customFormat="1" x14ac:dyDescent="0.25">
      <c r="A7" s="25">
        <v>6</v>
      </c>
      <c r="B7" s="27" t="s">
        <v>428</v>
      </c>
      <c r="C7" s="25">
        <v>2</v>
      </c>
      <c r="D7" s="25">
        <v>2</v>
      </c>
      <c r="E7" s="25">
        <v>802</v>
      </c>
      <c r="F7" s="25" t="s">
        <v>425</v>
      </c>
      <c r="G7" s="25" t="s">
        <v>24</v>
      </c>
      <c r="H7" s="25" t="s">
        <v>185</v>
      </c>
      <c r="I7" s="25" t="s">
        <v>1276</v>
      </c>
      <c r="J7" s="25">
        <v>296</v>
      </c>
      <c r="K7" s="25" t="s">
        <v>1798</v>
      </c>
      <c r="L7" s="25">
        <v>300</v>
      </c>
      <c r="M7" s="26" t="s">
        <v>426</v>
      </c>
      <c r="N7" s="26" t="s">
        <v>424</v>
      </c>
      <c r="O7" s="25">
        <v>-84.736455000000007</v>
      </c>
      <c r="P7" s="25">
        <v>-177.90414699999999</v>
      </c>
      <c r="Q7">
        <v>-80.301000000000002</v>
      </c>
      <c r="R7">
        <v>-164.24260000000001</v>
      </c>
      <c r="S7" s="25" t="s">
        <v>1539</v>
      </c>
      <c r="T7" s="25" t="s">
        <v>15</v>
      </c>
      <c r="U7" s="25" t="s">
        <v>16</v>
      </c>
      <c r="V7" s="26" t="s">
        <v>427</v>
      </c>
    </row>
    <row r="8" spans="1:22" s="25" customFormat="1" x14ac:dyDescent="0.25">
      <c r="A8" s="25">
        <v>7</v>
      </c>
      <c r="B8" s="27" t="s">
        <v>639</v>
      </c>
      <c r="C8" s="25">
        <v>1</v>
      </c>
      <c r="D8" s="25">
        <v>1</v>
      </c>
      <c r="E8" s="25">
        <v>802</v>
      </c>
      <c r="F8" s="25" t="s">
        <v>425</v>
      </c>
      <c r="G8" s="25" t="s">
        <v>266</v>
      </c>
      <c r="H8" s="25" t="s">
        <v>267</v>
      </c>
      <c r="J8" s="25">
        <v>286</v>
      </c>
      <c r="K8" s="25" t="s">
        <v>1453</v>
      </c>
      <c r="L8" s="25">
        <v>280</v>
      </c>
      <c r="M8" s="25" t="s">
        <v>426</v>
      </c>
      <c r="N8" s="26" t="s">
        <v>1451</v>
      </c>
      <c r="O8" s="25">
        <v>-77.558532999999997</v>
      </c>
      <c r="P8" s="25">
        <v>-86.107257000000004</v>
      </c>
      <c r="Q8">
        <v>-74.006100000000004</v>
      </c>
      <c r="R8">
        <v>-95.460700000000003</v>
      </c>
      <c r="S8" s="25" t="s">
        <v>1539</v>
      </c>
      <c r="T8" s="25" t="s">
        <v>14</v>
      </c>
      <c r="U8" s="25" t="s">
        <v>17</v>
      </c>
      <c r="V8" s="26" t="s">
        <v>637</v>
      </c>
    </row>
    <row r="9" spans="1:22" s="25" customFormat="1" ht="30" x14ac:dyDescent="0.25">
      <c r="A9" s="25">
        <v>8</v>
      </c>
      <c r="B9" s="27" t="s">
        <v>1472</v>
      </c>
      <c r="C9" s="25">
        <v>3</v>
      </c>
      <c r="D9" s="25">
        <v>3</v>
      </c>
      <c r="E9" s="25">
        <v>202</v>
      </c>
      <c r="F9" s="25" t="s">
        <v>52</v>
      </c>
      <c r="G9" s="25" t="s">
        <v>24</v>
      </c>
      <c r="H9" s="25" t="s">
        <v>185</v>
      </c>
      <c r="J9" s="25">
        <v>310</v>
      </c>
      <c r="K9" s="25" t="s">
        <v>1798</v>
      </c>
      <c r="L9" s="25">
        <v>300</v>
      </c>
      <c r="M9" s="26" t="s">
        <v>54</v>
      </c>
      <c r="N9" s="26" t="s">
        <v>166</v>
      </c>
      <c r="O9" s="25">
        <v>-27.923822999999999</v>
      </c>
      <c r="P9" s="25">
        <v>-68.211618000000001</v>
      </c>
      <c r="Q9">
        <v>-43.362099999999998</v>
      </c>
      <c r="R9">
        <v>-57.399799999999999</v>
      </c>
      <c r="S9" s="25" t="s">
        <v>1537</v>
      </c>
      <c r="T9" s="25" t="s">
        <v>15</v>
      </c>
      <c r="U9" s="25" t="s">
        <v>17</v>
      </c>
      <c r="V9" s="26" t="s">
        <v>755</v>
      </c>
    </row>
    <row r="10" spans="1:22" s="25" customFormat="1" ht="105" x14ac:dyDescent="0.25">
      <c r="A10" s="25">
        <v>9</v>
      </c>
      <c r="B10" s="27" t="s">
        <v>1473</v>
      </c>
      <c r="C10" s="25">
        <v>11</v>
      </c>
      <c r="D10" s="25">
        <v>4</v>
      </c>
      <c r="E10" s="25">
        <v>202</v>
      </c>
      <c r="F10" s="25" t="s">
        <v>52</v>
      </c>
      <c r="G10" s="25" t="s">
        <v>24</v>
      </c>
      <c r="H10" s="25" t="s">
        <v>185</v>
      </c>
      <c r="J10" s="25">
        <v>310</v>
      </c>
      <c r="K10" s="25" t="s">
        <v>1798</v>
      </c>
      <c r="L10" s="25">
        <v>300</v>
      </c>
      <c r="M10" s="26" t="s">
        <v>54</v>
      </c>
      <c r="N10" s="26" t="s">
        <v>166</v>
      </c>
      <c r="O10" s="25">
        <v>-27.923822999999999</v>
      </c>
      <c r="P10" s="25">
        <v>-68.211618000000001</v>
      </c>
      <c r="Q10">
        <v>-43.362099999999998</v>
      </c>
      <c r="R10">
        <v>-57.399799999999999</v>
      </c>
      <c r="S10" s="25" t="s">
        <v>1537</v>
      </c>
      <c r="T10" s="25" t="s">
        <v>15</v>
      </c>
      <c r="U10" s="25" t="s">
        <v>16</v>
      </c>
      <c r="V10" s="26" t="s">
        <v>895</v>
      </c>
    </row>
    <row r="11" spans="1:22" s="25" customFormat="1" ht="60" x14ac:dyDescent="0.25">
      <c r="A11" s="25">
        <v>10</v>
      </c>
      <c r="B11" s="27" t="s">
        <v>922</v>
      </c>
      <c r="C11" s="25">
        <v>6</v>
      </c>
      <c r="D11" s="25">
        <v>2</v>
      </c>
      <c r="E11" s="25">
        <v>291</v>
      </c>
      <c r="F11" s="25" t="s">
        <v>52</v>
      </c>
      <c r="G11" s="25" t="s">
        <v>24</v>
      </c>
      <c r="H11" s="25" t="s">
        <v>185</v>
      </c>
      <c r="J11" s="25">
        <v>310</v>
      </c>
      <c r="K11" s="25" t="s">
        <v>1798</v>
      </c>
      <c r="L11" s="25">
        <v>300</v>
      </c>
      <c r="M11" s="25" t="s">
        <v>903</v>
      </c>
      <c r="N11" s="26" t="s">
        <v>921</v>
      </c>
      <c r="O11" s="25">
        <v>-32.447417000000002</v>
      </c>
      <c r="P11" s="25">
        <v>-69.241332999999997</v>
      </c>
      <c r="Q11">
        <v>-45.574800000000003</v>
      </c>
      <c r="R11">
        <v>-60.901400000000002</v>
      </c>
      <c r="S11" s="25" t="s">
        <v>1537</v>
      </c>
      <c r="T11" s="26" t="s">
        <v>13</v>
      </c>
      <c r="U11" s="25" t="s">
        <v>16</v>
      </c>
      <c r="V11" s="26" t="s">
        <v>919</v>
      </c>
    </row>
    <row r="12" spans="1:22" s="25" customFormat="1" ht="210" x14ac:dyDescent="0.25">
      <c r="A12" s="25">
        <v>11</v>
      </c>
      <c r="B12" s="27" t="s">
        <v>1474</v>
      </c>
      <c r="C12" s="25">
        <v>18</v>
      </c>
      <c r="D12" s="25">
        <v>10</v>
      </c>
      <c r="E12" s="25">
        <v>291</v>
      </c>
      <c r="F12" s="25" t="s">
        <v>52</v>
      </c>
      <c r="G12" s="25" t="s">
        <v>24</v>
      </c>
      <c r="H12" s="25" t="s">
        <v>185</v>
      </c>
      <c r="J12" s="25">
        <v>310</v>
      </c>
      <c r="K12" s="25" t="s">
        <v>1798</v>
      </c>
      <c r="L12" s="25">
        <v>300</v>
      </c>
      <c r="M12" s="26" t="s">
        <v>78</v>
      </c>
      <c r="N12" s="26" t="s">
        <v>214</v>
      </c>
      <c r="O12" s="25">
        <v>-36.013750000000002</v>
      </c>
      <c r="P12" s="25">
        <v>-68.464839999999995</v>
      </c>
      <c r="Q12">
        <v>-48.7654</v>
      </c>
      <c r="R12">
        <v>-63.4298</v>
      </c>
      <c r="S12" s="25" t="s">
        <v>1537</v>
      </c>
      <c r="T12" s="26" t="s">
        <v>13</v>
      </c>
      <c r="U12" s="25" t="s">
        <v>16</v>
      </c>
      <c r="V12" s="26" t="s">
        <v>1457</v>
      </c>
    </row>
    <row r="13" spans="1:22" s="25" customFormat="1" ht="75" x14ac:dyDescent="0.25">
      <c r="A13" s="25">
        <v>12</v>
      </c>
      <c r="B13" s="27" t="s">
        <v>1484</v>
      </c>
      <c r="C13" s="25">
        <v>8</v>
      </c>
      <c r="D13" s="25">
        <v>4</v>
      </c>
      <c r="E13" s="25">
        <v>291</v>
      </c>
      <c r="F13" s="25" t="s">
        <v>52</v>
      </c>
      <c r="G13" s="25" t="s">
        <v>24</v>
      </c>
      <c r="H13" s="25" t="s">
        <v>185</v>
      </c>
      <c r="J13" s="25">
        <v>310</v>
      </c>
      <c r="K13" s="25" t="s">
        <v>1798</v>
      </c>
      <c r="L13" s="25">
        <v>300</v>
      </c>
      <c r="M13" s="25" t="s">
        <v>78</v>
      </c>
      <c r="N13" s="26" t="s">
        <v>79</v>
      </c>
      <c r="O13" s="25">
        <v>-35.007150000000003</v>
      </c>
      <c r="P13" s="25">
        <v>-68.646798000000004</v>
      </c>
      <c r="Q13">
        <v>-47.892800000000001</v>
      </c>
      <c r="R13">
        <v>-62.642600000000002</v>
      </c>
      <c r="S13" s="25" t="s">
        <v>1537</v>
      </c>
      <c r="T13" s="26" t="s">
        <v>13</v>
      </c>
      <c r="U13" s="25" t="s">
        <v>16</v>
      </c>
      <c r="V13" s="26" t="s">
        <v>80</v>
      </c>
    </row>
    <row r="14" spans="1:22" s="25" customFormat="1" ht="150" x14ac:dyDescent="0.25">
      <c r="A14" s="25">
        <v>13</v>
      </c>
      <c r="B14" s="27" t="s">
        <v>1485</v>
      </c>
      <c r="C14" s="25">
        <v>14</v>
      </c>
      <c r="D14" s="25">
        <v>5</v>
      </c>
      <c r="E14" s="25">
        <v>202</v>
      </c>
      <c r="F14" s="25" t="s">
        <v>52</v>
      </c>
      <c r="G14" s="25" t="s">
        <v>24</v>
      </c>
      <c r="H14" s="25" t="s">
        <v>23</v>
      </c>
      <c r="I14" s="25" t="s">
        <v>38</v>
      </c>
      <c r="J14" s="25">
        <v>327</v>
      </c>
      <c r="K14" s="25" t="s">
        <v>1799</v>
      </c>
      <c r="L14" s="25">
        <v>320</v>
      </c>
      <c r="M14" s="25" t="s">
        <v>54</v>
      </c>
      <c r="N14" s="26" t="s">
        <v>53</v>
      </c>
      <c r="O14" s="25">
        <v>-30.143283</v>
      </c>
      <c r="P14" s="25">
        <v>-68.544953000000007</v>
      </c>
      <c r="Q14">
        <v>-49.843200000000003</v>
      </c>
      <c r="R14">
        <v>-65.590199999999996</v>
      </c>
      <c r="S14" s="25" t="s">
        <v>1539</v>
      </c>
      <c r="T14" s="26" t="s">
        <v>13</v>
      </c>
      <c r="U14" s="25" t="s">
        <v>16</v>
      </c>
      <c r="V14" s="26" t="s">
        <v>1458</v>
      </c>
    </row>
    <row r="15" spans="1:22" s="25" customFormat="1" ht="90" x14ac:dyDescent="0.25">
      <c r="A15" s="25">
        <v>14</v>
      </c>
      <c r="B15" s="27" t="s">
        <v>1486</v>
      </c>
      <c r="C15" s="25">
        <v>8</v>
      </c>
      <c r="D15" s="25">
        <v>8</v>
      </c>
      <c r="E15" s="25">
        <v>291</v>
      </c>
      <c r="F15" s="25" t="s">
        <v>52</v>
      </c>
      <c r="G15" s="25" t="s">
        <v>24</v>
      </c>
      <c r="H15" s="25" t="s">
        <v>185</v>
      </c>
      <c r="I15" s="25" t="s">
        <v>212</v>
      </c>
      <c r="J15" s="25">
        <v>319</v>
      </c>
      <c r="K15" s="25" t="s">
        <v>1799</v>
      </c>
      <c r="L15" s="25">
        <v>320</v>
      </c>
      <c r="M15" s="25" t="s">
        <v>903</v>
      </c>
      <c r="N15" s="26" t="s">
        <v>901</v>
      </c>
      <c r="O15" s="25">
        <v>-31.555896000000001</v>
      </c>
      <c r="P15" s="25">
        <v>-69.278536000000003</v>
      </c>
      <c r="Q15">
        <v>-50.481999999999999</v>
      </c>
      <c r="R15">
        <v>-67.789100000000005</v>
      </c>
      <c r="S15" s="25" t="s">
        <v>1539</v>
      </c>
      <c r="T15" s="26" t="s">
        <v>13</v>
      </c>
      <c r="U15" s="25" t="s">
        <v>16</v>
      </c>
      <c r="V15" s="26" t="s">
        <v>907</v>
      </c>
    </row>
    <row r="16" spans="1:22" s="25" customFormat="1" ht="90" x14ac:dyDescent="0.25">
      <c r="A16" s="25">
        <v>15</v>
      </c>
      <c r="B16" s="27" t="s">
        <v>1487</v>
      </c>
      <c r="C16" s="25">
        <v>7</v>
      </c>
      <c r="D16" s="25">
        <v>3</v>
      </c>
      <c r="E16" s="25">
        <v>201</v>
      </c>
      <c r="F16" s="25" t="s">
        <v>52</v>
      </c>
      <c r="G16" s="25" t="s">
        <v>24</v>
      </c>
      <c r="H16" s="25" t="s">
        <v>185</v>
      </c>
      <c r="I16" s="25" t="s">
        <v>212</v>
      </c>
      <c r="J16" s="25">
        <v>319</v>
      </c>
      <c r="K16" s="25" t="s">
        <v>1799</v>
      </c>
      <c r="L16" s="25">
        <v>320</v>
      </c>
      <c r="M16" s="26" t="s">
        <v>170</v>
      </c>
      <c r="N16" s="26" t="s">
        <v>169</v>
      </c>
      <c r="O16" s="25">
        <v>-22.242650999999999</v>
      </c>
      <c r="P16" s="25">
        <v>-63.758423000000001</v>
      </c>
      <c r="Q16">
        <v>-47.158900000000003</v>
      </c>
      <c r="R16">
        <v>-54.526400000000002</v>
      </c>
      <c r="S16" s="25" t="s">
        <v>1539</v>
      </c>
      <c r="T16" s="25" t="s">
        <v>15</v>
      </c>
      <c r="U16" s="25" t="s">
        <v>16</v>
      </c>
      <c r="V16" s="26" t="s">
        <v>172</v>
      </c>
    </row>
    <row r="17" spans="1:22" s="25" customFormat="1" ht="60" x14ac:dyDescent="0.25">
      <c r="A17" s="25">
        <v>16</v>
      </c>
      <c r="B17" s="27" t="s">
        <v>1492</v>
      </c>
      <c r="C17" s="25">
        <v>4</v>
      </c>
      <c r="D17" s="25">
        <v>3</v>
      </c>
      <c r="E17" s="25">
        <v>202</v>
      </c>
      <c r="F17" s="25" t="s">
        <v>52</v>
      </c>
      <c r="G17" s="25" t="s">
        <v>266</v>
      </c>
      <c r="H17" s="25" t="s">
        <v>267</v>
      </c>
      <c r="I17" s="25" t="s">
        <v>1432</v>
      </c>
      <c r="J17" s="25">
        <v>287</v>
      </c>
      <c r="K17" s="25" t="s">
        <v>1453</v>
      </c>
      <c r="L17" s="25">
        <v>280</v>
      </c>
      <c r="M17" s="25" t="s">
        <v>54</v>
      </c>
      <c r="N17" s="26" t="s">
        <v>1446</v>
      </c>
      <c r="O17" s="25">
        <v>-28.499604999999999</v>
      </c>
      <c r="P17" s="25">
        <v>-65.545153999999997</v>
      </c>
      <c r="Q17">
        <v>-41.306399999999996</v>
      </c>
      <c r="R17">
        <v>-45.6892</v>
      </c>
      <c r="S17" s="25" t="s">
        <v>1537</v>
      </c>
      <c r="T17" s="25" t="s">
        <v>14</v>
      </c>
      <c r="U17" s="25" t="s">
        <v>17</v>
      </c>
      <c r="V17" s="26" t="s">
        <v>599</v>
      </c>
    </row>
    <row r="18" spans="1:22" s="25" customFormat="1" ht="60" x14ac:dyDescent="0.25">
      <c r="A18" s="25">
        <v>17</v>
      </c>
      <c r="B18" s="27" t="s">
        <v>581</v>
      </c>
      <c r="C18" s="25">
        <v>4</v>
      </c>
      <c r="D18" s="25">
        <v>2</v>
      </c>
      <c r="E18" s="25">
        <v>291</v>
      </c>
      <c r="F18" s="25" t="s">
        <v>52</v>
      </c>
      <c r="G18" s="25" t="s">
        <v>266</v>
      </c>
      <c r="H18" s="25" t="s">
        <v>267</v>
      </c>
      <c r="I18" s="25" t="s">
        <v>1434</v>
      </c>
      <c r="J18" s="25">
        <v>278</v>
      </c>
      <c r="K18" s="25" t="s">
        <v>1453</v>
      </c>
      <c r="L18" s="25">
        <v>280</v>
      </c>
      <c r="M18" s="26" t="s">
        <v>1445</v>
      </c>
      <c r="N18" s="26" t="s">
        <v>583</v>
      </c>
      <c r="O18" s="25">
        <v>-47.650360999999997</v>
      </c>
      <c r="P18" s="25">
        <v>-67.304839000000001</v>
      </c>
      <c r="Q18">
        <v>-56.025199999999998</v>
      </c>
      <c r="R18">
        <v>-61.3902</v>
      </c>
      <c r="S18" s="25" t="s">
        <v>1539</v>
      </c>
      <c r="T18" s="25" t="s">
        <v>14</v>
      </c>
      <c r="U18" s="25" t="s">
        <v>17</v>
      </c>
      <c r="V18" s="26" t="s">
        <v>584</v>
      </c>
    </row>
    <row r="19" spans="1:22" s="25" customFormat="1" x14ac:dyDescent="0.25">
      <c r="A19" s="25">
        <v>18</v>
      </c>
      <c r="B19" s="27" t="s">
        <v>918</v>
      </c>
      <c r="C19" s="25">
        <v>2</v>
      </c>
      <c r="D19" s="25">
        <v>2</v>
      </c>
      <c r="E19" s="25">
        <v>202</v>
      </c>
      <c r="F19" s="25" t="s">
        <v>52</v>
      </c>
      <c r="G19" s="25" t="s">
        <v>24</v>
      </c>
      <c r="H19" s="25" t="s">
        <v>23</v>
      </c>
      <c r="I19" s="25" t="s">
        <v>38</v>
      </c>
      <c r="J19" s="25">
        <v>327</v>
      </c>
      <c r="K19" s="25" t="s">
        <v>1799</v>
      </c>
      <c r="L19" s="25">
        <v>320</v>
      </c>
      <c r="M19" s="25" t="s">
        <v>54</v>
      </c>
      <c r="N19" s="26" t="s">
        <v>75</v>
      </c>
      <c r="O19" s="25">
        <v>-30.638642999999998</v>
      </c>
      <c r="P19" s="26">
        <v>-66.341234</v>
      </c>
      <c r="Q19">
        <v>-52.2973</v>
      </c>
      <c r="R19">
        <v>-65.413600000000002</v>
      </c>
      <c r="S19" s="25" t="s">
        <v>1539</v>
      </c>
      <c r="T19" s="25" t="s">
        <v>15</v>
      </c>
      <c r="U19" s="25" t="s">
        <v>16</v>
      </c>
      <c r="V19" s="26" t="s">
        <v>917</v>
      </c>
    </row>
    <row r="20" spans="1:22" s="25" customFormat="1" ht="45" x14ac:dyDescent="0.25">
      <c r="A20" s="25">
        <v>19</v>
      </c>
      <c r="B20" s="27" t="s">
        <v>77</v>
      </c>
      <c r="C20" s="25">
        <v>3</v>
      </c>
      <c r="D20" s="25">
        <v>2</v>
      </c>
      <c r="E20" s="25">
        <v>202</v>
      </c>
      <c r="F20" s="25" t="s">
        <v>52</v>
      </c>
      <c r="G20" s="25" t="s">
        <v>24</v>
      </c>
      <c r="H20" s="25" t="s">
        <v>23</v>
      </c>
      <c r="I20" s="25" t="s">
        <v>38</v>
      </c>
      <c r="J20" s="25">
        <v>327</v>
      </c>
      <c r="K20" s="25" t="s">
        <v>1799</v>
      </c>
      <c r="L20" s="25">
        <v>320</v>
      </c>
      <c r="M20" s="25" t="s">
        <v>54</v>
      </c>
      <c r="N20" s="26" t="s">
        <v>75</v>
      </c>
      <c r="O20" s="25">
        <v>-30.889129000000001</v>
      </c>
      <c r="P20" s="25">
        <v>-66.815825000000004</v>
      </c>
      <c r="Q20">
        <v>-52.2072</v>
      </c>
      <c r="R20">
        <v>-66.181399999999996</v>
      </c>
      <c r="S20" s="25" t="s">
        <v>1539</v>
      </c>
      <c r="T20" s="26" t="s">
        <v>13</v>
      </c>
      <c r="U20" s="25" t="s">
        <v>16</v>
      </c>
      <c r="V20" s="26" t="s">
        <v>76</v>
      </c>
    </row>
    <row r="21" spans="1:22" s="25" customFormat="1" ht="30" x14ac:dyDescent="0.25">
      <c r="A21" s="25">
        <v>20</v>
      </c>
      <c r="B21" s="27" t="s">
        <v>808</v>
      </c>
      <c r="C21" s="25">
        <v>3</v>
      </c>
      <c r="D21" s="25">
        <v>3</v>
      </c>
      <c r="E21" s="25">
        <v>202</v>
      </c>
      <c r="F21" s="25" t="s">
        <v>52</v>
      </c>
      <c r="G21" s="25" t="s">
        <v>24</v>
      </c>
      <c r="H21" s="25" t="s">
        <v>185</v>
      </c>
      <c r="I21" s="25" t="s">
        <v>186</v>
      </c>
      <c r="J21" s="25">
        <v>311</v>
      </c>
      <c r="K21" s="25" t="s">
        <v>1799</v>
      </c>
      <c r="L21" s="25">
        <v>320</v>
      </c>
      <c r="M21" s="25" t="s">
        <v>54</v>
      </c>
      <c r="N21" s="26" t="s">
        <v>590</v>
      </c>
      <c r="O21" s="25">
        <v>-30.218527000000002</v>
      </c>
      <c r="P21" s="25">
        <v>-67.263153000000003</v>
      </c>
      <c r="Q21">
        <v>-51.452100000000002</v>
      </c>
      <c r="R21">
        <v>-65.910499999999999</v>
      </c>
      <c r="S21" s="25" t="s">
        <v>1539</v>
      </c>
      <c r="T21" s="25" t="s">
        <v>14</v>
      </c>
      <c r="U21" s="25" t="s">
        <v>18</v>
      </c>
      <c r="V21" s="26" t="s">
        <v>593</v>
      </c>
    </row>
    <row r="22" spans="1:22" s="25" customFormat="1" ht="45" x14ac:dyDescent="0.25">
      <c r="A22" s="25">
        <v>21</v>
      </c>
      <c r="B22" s="27" t="s">
        <v>1499</v>
      </c>
      <c r="C22" s="25">
        <v>5</v>
      </c>
      <c r="D22" s="25">
        <v>5</v>
      </c>
      <c r="E22" s="25">
        <v>202</v>
      </c>
      <c r="F22" s="25" t="s">
        <v>52</v>
      </c>
      <c r="G22" s="25" t="s">
        <v>24</v>
      </c>
      <c r="H22" s="25" t="s">
        <v>185</v>
      </c>
      <c r="I22" s="25" t="s">
        <v>186</v>
      </c>
      <c r="J22" s="25">
        <v>311</v>
      </c>
      <c r="K22" s="25" t="s">
        <v>1799</v>
      </c>
      <c r="L22" s="25">
        <v>320</v>
      </c>
      <c r="M22" s="25" t="s">
        <v>54</v>
      </c>
      <c r="N22" s="26" t="s">
        <v>590</v>
      </c>
      <c r="O22" s="25">
        <v>-30.218527000000002</v>
      </c>
      <c r="P22" s="25">
        <v>-67.263153000000003</v>
      </c>
      <c r="Q22">
        <v>-51.452100000000002</v>
      </c>
      <c r="R22">
        <v>-65.910499999999999</v>
      </c>
      <c r="S22" s="25" t="s">
        <v>1539</v>
      </c>
      <c r="T22" s="25" t="s">
        <v>14</v>
      </c>
      <c r="U22" s="25" t="s">
        <v>17</v>
      </c>
      <c r="V22" s="26" t="s">
        <v>751</v>
      </c>
    </row>
    <row r="23" spans="1:22" s="25" customFormat="1" ht="120" x14ac:dyDescent="0.25">
      <c r="A23" s="25">
        <v>22</v>
      </c>
      <c r="B23" s="27" t="s">
        <v>1500</v>
      </c>
      <c r="C23" s="25">
        <v>9</v>
      </c>
      <c r="D23" s="25">
        <v>4</v>
      </c>
      <c r="E23" s="25">
        <v>202</v>
      </c>
      <c r="F23" s="25" t="s">
        <v>52</v>
      </c>
      <c r="G23" s="25" t="s">
        <v>24</v>
      </c>
      <c r="H23" s="25" t="s">
        <v>185</v>
      </c>
      <c r="I23" s="25" t="s">
        <v>186</v>
      </c>
      <c r="J23" s="25">
        <v>311</v>
      </c>
      <c r="K23" s="25" t="s">
        <v>1799</v>
      </c>
      <c r="L23" s="25">
        <v>320</v>
      </c>
      <c r="M23" s="25" t="s">
        <v>54</v>
      </c>
      <c r="N23" s="26" t="s">
        <v>590</v>
      </c>
      <c r="O23" s="25">
        <v>-29.350256999999999</v>
      </c>
      <c r="P23" s="25">
        <v>-67.780035999999996</v>
      </c>
      <c r="Q23">
        <v>-50.5062</v>
      </c>
      <c r="R23">
        <v>-65.520499999999998</v>
      </c>
      <c r="S23" s="25" t="s">
        <v>1539</v>
      </c>
      <c r="T23" s="25" t="s">
        <v>15</v>
      </c>
      <c r="U23" s="25" t="s">
        <v>18</v>
      </c>
      <c r="V23" s="26" t="s">
        <v>852</v>
      </c>
    </row>
    <row r="24" spans="1:22" s="25" customFormat="1" ht="30" x14ac:dyDescent="0.25">
      <c r="A24" s="25">
        <v>23</v>
      </c>
      <c r="B24" s="27" t="s">
        <v>285</v>
      </c>
      <c r="C24" s="25">
        <v>2</v>
      </c>
      <c r="D24" s="25">
        <v>2</v>
      </c>
      <c r="E24" s="25">
        <v>291</v>
      </c>
      <c r="F24" s="25" t="s">
        <v>52</v>
      </c>
      <c r="G24" s="25" t="s">
        <v>24</v>
      </c>
      <c r="H24" s="25" t="s">
        <v>185</v>
      </c>
      <c r="J24" s="25">
        <v>310</v>
      </c>
      <c r="K24" s="25" t="s">
        <v>1798</v>
      </c>
      <c r="L24" s="25">
        <v>300</v>
      </c>
      <c r="M24" s="26" t="s">
        <v>54</v>
      </c>
      <c r="N24" s="26" t="s">
        <v>284</v>
      </c>
      <c r="O24" s="25">
        <v>-30.165717999999998</v>
      </c>
      <c r="P24" s="25">
        <v>-68.577509000000006</v>
      </c>
      <c r="Q24">
        <v>-44.0824</v>
      </c>
      <c r="R24">
        <v>-58.339300000000001</v>
      </c>
      <c r="S24" s="25" t="s">
        <v>1537</v>
      </c>
      <c r="T24" s="26" t="s">
        <v>13</v>
      </c>
      <c r="U24" s="25" t="s">
        <v>17</v>
      </c>
      <c r="V24" s="26" t="s">
        <v>286</v>
      </c>
    </row>
    <row r="25" spans="1:22" s="25" customFormat="1" ht="60" x14ac:dyDescent="0.25">
      <c r="A25" s="25">
        <v>24</v>
      </c>
      <c r="B25" s="27" t="s">
        <v>1519</v>
      </c>
      <c r="C25" s="25">
        <v>5</v>
      </c>
      <c r="D25" s="25">
        <v>4</v>
      </c>
      <c r="E25" s="25">
        <v>291</v>
      </c>
      <c r="F25" s="25" t="s">
        <v>52</v>
      </c>
      <c r="G25" s="25" t="s">
        <v>24</v>
      </c>
      <c r="H25" s="25" t="s">
        <v>185</v>
      </c>
      <c r="J25" s="25">
        <v>310</v>
      </c>
      <c r="K25" s="25" t="s">
        <v>1798</v>
      </c>
      <c r="L25" s="25">
        <v>300</v>
      </c>
      <c r="M25" s="26" t="s">
        <v>54</v>
      </c>
      <c r="N25" s="26" t="s">
        <v>284</v>
      </c>
      <c r="O25" s="25">
        <v>-30.014599</v>
      </c>
      <c r="P25" s="25">
        <v>-68.750225</v>
      </c>
      <c r="Q25">
        <v>-43.872399999999999</v>
      </c>
      <c r="R25">
        <v>-58.384500000000003</v>
      </c>
      <c r="S25" s="25" t="s">
        <v>1537</v>
      </c>
      <c r="T25" s="25" t="s">
        <v>14</v>
      </c>
      <c r="U25" s="25" t="s">
        <v>17</v>
      </c>
      <c r="V25" s="26" t="s">
        <v>389</v>
      </c>
    </row>
    <row r="26" spans="1:22" s="25" customFormat="1" x14ac:dyDescent="0.25">
      <c r="A26" s="25">
        <v>25</v>
      </c>
      <c r="B26" s="27" t="s">
        <v>176</v>
      </c>
      <c r="C26" s="25">
        <v>2</v>
      </c>
      <c r="D26" s="25">
        <v>2</v>
      </c>
      <c r="E26" s="25">
        <v>801</v>
      </c>
      <c r="F26" s="25" t="s">
        <v>113</v>
      </c>
      <c r="G26" s="25" t="s">
        <v>24</v>
      </c>
      <c r="H26" s="25" t="s">
        <v>23</v>
      </c>
      <c r="I26" s="25" t="s">
        <v>38</v>
      </c>
      <c r="J26" s="25">
        <v>327</v>
      </c>
      <c r="K26" s="25" t="s">
        <v>1799</v>
      </c>
      <c r="L26" s="25">
        <v>320</v>
      </c>
      <c r="M26" s="26" t="s">
        <v>177</v>
      </c>
      <c r="N26" s="26" t="s">
        <v>175</v>
      </c>
      <c r="O26" s="25">
        <v>-32.451618000000003</v>
      </c>
      <c r="P26" s="25">
        <v>151.48275699999999</v>
      </c>
      <c r="Q26">
        <v>-52.634399999999999</v>
      </c>
      <c r="R26">
        <v>162.4984</v>
      </c>
      <c r="S26" s="25" t="s">
        <v>1539</v>
      </c>
      <c r="T26" s="25" t="s">
        <v>15</v>
      </c>
      <c r="U26" s="25" t="s">
        <v>17</v>
      </c>
      <c r="V26" s="26" t="s">
        <v>171</v>
      </c>
    </row>
    <row r="27" spans="1:22" s="25" customFormat="1" ht="45" x14ac:dyDescent="0.25">
      <c r="A27" s="25">
        <v>26</v>
      </c>
      <c r="B27" s="27" t="s">
        <v>115</v>
      </c>
      <c r="C27" s="25">
        <v>6</v>
      </c>
      <c r="D27" s="25">
        <v>6</v>
      </c>
      <c r="E27" s="25">
        <v>801</v>
      </c>
      <c r="F27" s="25" t="s">
        <v>113</v>
      </c>
      <c r="G27" s="25" t="s">
        <v>24</v>
      </c>
      <c r="H27" s="25" t="s">
        <v>23</v>
      </c>
      <c r="I27" s="25" t="s">
        <v>1433</v>
      </c>
      <c r="J27" s="25">
        <v>353</v>
      </c>
      <c r="K27" s="25" t="s">
        <v>1796</v>
      </c>
      <c r="L27" s="25">
        <v>360</v>
      </c>
      <c r="M27" s="25" t="s">
        <v>112</v>
      </c>
      <c r="N27" s="26" t="s">
        <v>111</v>
      </c>
      <c r="O27" s="25">
        <v>-36.979253999999997</v>
      </c>
      <c r="P27" s="25">
        <v>146.12697399999999</v>
      </c>
      <c r="Q27">
        <v>-36.3765</v>
      </c>
      <c r="R27">
        <v>139.39320000000001</v>
      </c>
      <c r="S27" s="25" t="s">
        <v>1537</v>
      </c>
      <c r="T27" s="25" t="s">
        <v>14</v>
      </c>
      <c r="U27" s="25" t="s">
        <v>17</v>
      </c>
      <c r="V27" s="26" t="s">
        <v>114</v>
      </c>
    </row>
    <row r="28" spans="1:22" s="25" customFormat="1" ht="105" x14ac:dyDescent="0.25">
      <c r="A28" s="25">
        <v>27</v>
      </c>
      <c r="B28" s="27" t="s">
        <v>1477</v>
      </c>
      <c r="C28" s="25">
        <v>9</v>
      </c>
      <c r="D28" s="25">
        <v>4</v>
      </c>
      <c r="E28" s="25">
        <v>201</v>
      </c>
      <c r="F28" s="25" t="s">
        <v>221</v>
      </c>
      <c r="G28" s="25" t="s">
        <v>24</v>
      </c>
      <c r="H28" s="25" t="s">
        <v>185</v>
      </c>
      <c r="J28" s="25">
        <v>310</v>
      </c>
      <c r="K28" s="25" t="s">
        <v>1798</v>
      </c>
      <c r="L28" s="25">
        <v>300</v>
      </c>
      <c r="M28" s="25" t="s">
        <v>223</v>
      </c>
      <c r="N28" s="26" t="s">
        <v>968</v>
      </c>
      <c r="O28" s="25">
        <v>-19.239272</v>
      </c>
      <c r="P28" s="25">
        <v>-54.783203999999998</v>
      </c>
      <c r="Q28">
        <v>-42.697899999999997</v>
      </c>
      <c r="R28">
        <v>-36.929099999999998</v>
      </c>
      <c r="S28" s="25" t="s">
        <v>1537</v>
      </c>
      <c r="T28" s="26" t="s">
        <v>13</v>
      </c>
      <c r="U28" s="25" t="s">
        <v>17</v>
      </c>
      <c r="V28" s="26" t="s">
        <v>1047</v>
      </c>
    </row>
    <row r="29" spans="1:22" s="25" customFormat="1" ht="90" x14ac:dyDescent="0.25">
      <c r="A29" s="25">
        <v>28</v>
      </c>
      <c r="B29" s="27" t="s">
        <v>1541</v>
      </c>
      <c r="C29" s="25">
        <v>8</v>
      </c>
      <c r="D29" s="25">
        <v>3</v>
      </c>
      <c r="E29" s="25">
        <v>201</v>
      </c>
      <c r="F29" s="25" t="s">
        <v>221</v>
      </c>
      <c r="G29" s="25" t="s">
        <v>24</v>
      </c>
      <c r="H29" s="25" t="s">
        <v>185</v>
      </c>
      <c r="I29" s="25" t="s">
        <v>186</v>
      </c>
      <c r="J29" s="25">
        <v>311</v>
      </c>
      <c r="K29" s="25" t="s">
        <v>1799</v>
      </c>
      <c r="L29" s="25">
        <v>320</v>
      </c>
      <c r="M29" s="25" t="s">
        <v>223</v>
      </c>
      <c r="N29" s="26" t="s">
        <v>1447</v>
      </c>
      <c r="O29" s="25">
        <v>-25.970234999999999</v>
      </c>
      <c r="P29" s="25">
        <v>-49.674695999999997</v>
      </c>
      <c r="Q29">
        <v>-57.529600000000002</v>
      </c>
      <c r="R29">
        <v>-40.559899999999999</v>
      </c>
      <c r="S29" s="25" t="s">
        <v>1539</v>
      </c>
      <c r="T29" s="26" t="s">
        <v>13</v>
      </c>
      <c r="U29" s="25" t="s">
        <v>16</v>
      </c>
      <c r="V29" s="26" t="s">
        <v>964</v>
      </c>
    </row>
    <row r="30" spans="1:22" s="25" customFormat="1" ht="60" x14ac:dyDescent="0.25">
      <c r="A30" s="25">
        <v>29</v>
      </c>
      <c r="B30" s="27" t="s">
        <v>1478</v>
      </c>
      <c r="C30" s="25">
        <v>6</v>
      </c>
      <c r="D30" s="25">
        <v>3</v>
      </c>
      <c r="E30" s="25">
        <v>201</v>
      </c>
      <c r="F30" s="25" t="s">
        <v>221</v>
      </c>
      <c r="G30" s="25" t="s">
        <v>24</v>
      </c>
      <c r="H30" s="25" t="s">
        <v>185</v>
      </c>
      <c r="I30" s="25" t="s">
        <v>1449</v>
      </c>
      <c r="J30" s="25">
        <v>303</v>
      </c>
      <c r="K30" s="25" t="s">
        <v>1798</v>
      </c>
      <c r="L30" s="25">
        <v>300</v>
      </c>
      <c r="M30" s="25" t="s">
        <v>223</v>
      </c>
      <c r="N30" s="26" t="s">
        <v>1053</v>
      </c>
      <c r="O30" s="25">
        <v>-23.26773</v>
      </c>
      <c r="P30" s="25">
        <v>-47.319738000000001</v>
      </c>
      <c r="Q30">
        <v>-49.540300000000002</v>
      </c>
      <c r="R30">
        <v>-30.833200000000001</v>
      </c>
      <c r="S30" s="25" t="s">
        <v>1539</v>
      </c>
      <c r="T30" s="26" t="s">
        <v>13</v>
      </c>
      <c r="U30" s="25" t="s">
        <v>17</v>
      </c>
      <c r="V30" s="26" t="s">
        <v>965</v>
      </c>
    </row>
    <row r="31" spans="1:22" s="25" customFormat="1" ht="90" x14ac:dyDescent="0.25">
      <c r="A31" s="25">
        <v>30</v>
      </c>
      <c r="B31" s="27" t="s">
        <v>1542</v>
      </c>
      <c r="C31" s="25">
        <v>9</v>
      </c>
      <c r="D31" s="25">
        <v>6</v>
      </c>
      <c r="E31" s="25">
        <v>201</v>
      </c>
      <c r="F31" s="25" t="s">
        <v>221</v>
      </c>
      <c r="G31" s="25" t="s">
        <v>24</v>
      </c>
      <c r="H31" s="25" t="s">
        <v>185</v>
      </c>
      <c r="I31" s="25" t="s">
        <v>1449</v>
      </c>
      <c r="J31" s="25">
        <v>303</v>
      </c>
      <c r="K31" s="25" t="s">
        <v>1798</v>
      </c>
      <c r="L31" s="25">
        <v>300</v>
      </c>
      <c r="M31" s="26" t="s">
        <v>223</v>
      </c>
      <c r="N31" s="26" t="s">
        <v>1053</v>
      </c>
      <c r="O31" s="25">
        <v>-26.119852999999999</v>
      </c>
      <c r="P31" s="25">
        <v>-49.733727999999999</v>
      </c>
      <c r="Q31">
        <v>-50.980400000000003</v>
      </c>
      <c r="R31">
        <v>-35.991999999999997</v>
      </c>
      <c r="S31" s="25" t="s">
        <v>1539</v>
      </c>
      <c r="T31" s="26" t="s">
        <v>13</v>
      </c>
      <c r="U31" s="25" t="s">
        <v>16</v>
      </c>
      <c r="V31" s="26" t="s">
        <v>222</v>
      </c>
    </row>
    <row r="32" spans="1:22" s="25" customFormat="1" ht="120" x14ac:dyDescent="0.25">
      <c r="A32" s="25">
        <v>31</v>
      </c>
      <c r="B32" s="27" t="s">
        <v>1516</v>
      </c>
      <c r="C32" s="25">
        <v>11</v>
      </c>
      <c r="D32" s="25">
        <v>6</v>
      </c>
      <c r="E32" s="25">
        <v>201</v>
      </c>
      <c r="F32" s="25" t="s">
        <v>221</v>
      </c>
      <c r="G32" s="25" t="s">
        <v>24</v>
      </c>
      <c r="H32" s="25" t="s">
        <v>185</v>
      </c>
      <c r="I32" s="25" t="s">
        <v>1449</v>
      </c>
      <c r="J32" s="25">
        <v>303</v>
      </c>
      <c r="K32" s="25" t="s">
        <v>1798</v>
      </c>
      <c r="L32" s="25">
        <v>300</v>
      </c>
      <c r="M32" s="26" t="s">
        <v>223</v>
      </c>
      <c r="N32" s="26" t="s">
        <v>1052</v>
      </c>
      <c r="O32" s="25">
        <v>-27.288084000000001</v>
      </c>
      <c r="P32" s="25">
        <v>-49.796143000000001</v>
      </c>
      <c r="Q32">
        <v>-51.956099999999999</v>
      </c>
      <c r="R32">
        <v>-37.027299999999997</v>
      </c>
      <c r="S32" s="25" t="s">
        <v>1539</v>
      </c>
      <c r="T32" s="25" t="s">
        <v>15</v>
      </c>
      <c r="U32" s="25" t="s">
        <v>17</v>
      </c>
      <c r="V32" s="26" t="s">
        <v>959</v>
      </c>
    </row>
    <row r="33" spans="1:22" s="25" customFormat="1" ht="150" x14ac:dyDescent="0.25">
      <c r="A33" s="25">
        <v>32</v>
      </c>
      <c r="B33" s="27" t="s">
        <v>1517</v>
      </c>
      <c r="C33" s="25">
        <v>13</v>
      </c>
      <c r="D33" s="25">
        <v>9</v>
      </c>
      <c r="E33" s="25">
        <v>201</v>
      </c>
      <c r="F33" s="25" t="s">
        <v>221</v>
      </c>
      <c r="G33" s="25" t="s">
        <v>24</v>
      </c>
      <c r="H33" s="25" t="s">
        <v>185</v>
      </c>
      <c r="I33" s="25" t="s">
        <v>1449</v>
      </c>
      <c r="J33" s="25">
        <v>303</v>
      </c>
      <c r="K33" s="25" t="s">
        <v>1798</v>
      </c>
      <c r="L33" s="25">
        <v>300</v>
      </c>
      <c r="M33" s="25" t="s">
        <v>223</v>
      </c>
      <c r="N33" s="26" t="s">
        <v>1052</v>
      </c>
      <c r="O33" s="25">
        <v>-27.288145</v>
      </c>
      <c r="P33" s="26">
        <v>-49.796455000000002</v>
      </c>
      <c r="Q33">
        <v>-51.956000000000003</v>
      </c>
      <c r="R33">
        <v>-37.027700000000003</v>
      </c>
      <c r="S33" s="25" t="s">
        <v>1539</v>
      </c>
      <c r="T33" s="26" t="s">
        <v>13</v>
      </c>
      <c r="U33" s="25" t="s">
        <v>16</v>
      </c>
      <c r="V33" s="26" t="s">
        <v>1468</v>
      </c>
    </row>
    <row r="34" spans="1:22" s="25" customFormat="1" ht="180" x14ac:dyDescent="0.25">
      <c r="A34" s="25">
        <v>33</v>
      </c>
      <c r="B34" s="27" t="s">
        <v>1518</v>
      </c>
      <c r="C34" s="25">
        <v>15</v>
      </c>
      <c r="D34" s="25">
        <v>7</v>
      </c>
      <c r="E34" s="25">
        <v>202</v>
      </c>
      <c r="F34" s="25" t="s">
        <v>221</v>
      </c>
      <c r="G34" s="25" t="s">
        <v>24</v>
      </c>
      <c r="H34" s="25" t="s">
        <v>185</v>
      </c>
      <c r="I34" s="25" t="s">
        <v>1449</v>
      </c>
      <c r="J34" s="25">
        <v>303</v>
      </c>
      <c r="K34" s="25" t="s">
        <v>1798</v>
      </c>
      <c r="L34" s="25">
        <v>300</v>
      </c>
      <c r="M34" s="25" t="s">
        <v>223</v>
      </c>
      <c r="N34" s="26" t="s">
        <v>1052</v>
      </c>
      <c r="O34" s="25">
        <v>-30.498632000000001</v>
      </c>
      <c r="P34" s="25">
        <v>-54.094054</v>
      </c>
      <c r="Q34">
        <v>-52.483899999999998</v>
      </c>
      <c r="R34">
        <v>-44.394300000000001</v>
      </c>
      <c r="S34" s="25" t="s">
        <v>1539</v>
      </c>
      <c r="T34" s="25" t="s">
        <v>15</v>
      </c>
      <c r="U34" s="25" t="s">
        <v>16</v>
      </c>
      <c r="V34" s="26" t="s">
        <v>935</v>
      </c>
    </row>
    <row r="35" spans="1:22" s="25" customFormat="1" ht="45" x14ac:dyDescent="0.25">
      <c r="A35" s="25">
        <v>34</v>
      </c>
      <c r="B35" s="27" t="s">
        <v>1475</v>
      </c>
      <c r="C35" s="25">
        <v>5</v>
      </c>
      <c r="D35" s="25">
        <v>3</v>
      </c>
      <c r="E35" s="25">
        <v>108</v>
      </c>
      <c r="F35" s="25" t="s">
        <v>140</v>
      </c>
      <c r="G35" s="25" t="s">
        <v>24</v>
      </c>
      <c r="H35" s="25" t="s">
        <v>23</v>
      </c>
      <c r="I35" s="25" t="s">
        <v>1433</v>
      </c>
      <c r="J35" s="25">
        <v>353</v>
      </c>
      <c r="K35" s="25" t="s">
        <v>1796</v>
      </c>
      <c r="L35" s="25">
        <v>360</v>
      </c>
      <c r="M35" s="25" t="s">
        <v>142</v>
      </c>
      <c r="N35" s="26" t="s">
        <v>141</v>
      </c>
      <c r="O35" s="25">
        <v>45.945411</v>
      </c>
      <c r="P35" s="25">
        <v>-64.606589</v>
      </c>
      <c r="Q35">
        <v>-25.666599999999999</v>
      </c>
      <c r="R35">
        <v>-15.3903</v>
      </c>
      <c r="S35" s="25" t="s">
        <v>1537</v>
      </c>
      <c r="T35" s="25" t="s">
        <v>15</v>
      </c>
      <c r="U35" s="25" t="s">
        <v>17</v>
      </c>
      <c r="V35" s="26" t="s">
        <v>143</v>
      </c>
    </row>
    <row r="36" spans="1:22" s="19" customFormat="1" ht="75" x14ac:dyDescent="0.25">
      <c r="A36" s="25">
        <v>35</v>
      </c>
      <c r="B36" s="27" t="s">
        <v>1476</v>
      </c>
      <c r="C36" s="25">
        <v>6</v>
      </c>
      <c r="D36" s="25">
        <v>5</v>
      </c>
      <c r="E36" s="25">
        <v>108</v>
      </c>
      <c r="F36" s="25" t="s">
        <v>140</v>
      </c>
      <c r="G36" s="25" t="s">
        <v>24</v>
      </c>
      <c r="H36" s="25" t="s">
        <v>23</v>
      </c>
      <c r="I36" s="25" t="s">
        <v>1433</v>
      </c>
      <c r="J36" s="25">
        <v>353</v>
      </c>
      <c r="K36" s="25" t="s">
        <v>1796</v>
      </c>
      <c r="L36" s="25">
        <v>360</v>
      </c>
      <c r="M36" s="25" t="s">
        <v>142</v>
      </c>
      <c r="N36" s="26" t="s">
        <v>141</v>
      </c>
      <c r="O36" s="25">
        <v>45.945411</v>
      </c>
      <c r="P36" s="25">
        <v>-64.606589</v>
      </c>
      <c r="Q36">
        <v>-25.666599999999999</v>
      </c>
      <c r="R36">
        <v>-15.3903</v>
      </c>
      <c r="S36" s="25" t="s">
        <v>1537</v>
      </c>
      <c r="T36" s="25" t="s">
        <v>14</v>
      </c>
      <c r="U36" s="25" t="s">
        <v>17</v>
      </c>
      <c r="V36" s="26" t="s">
        <v>143</v>
      </c>
    </row>
    <row r="37" spans="1:22" s="25" customFormat="1" x14ac:dyDescent="0.25">
      <c r="A37" s="25">
        <v>36</v>
      </c>
      <c r="B37" s="27" t="s">
        <v>28</v>
      </c>
      <c r="C37" s="25">
        <v>1</v>
      </c>
      <c r="D37" s="25">
        <v>1</v>
      </c>
      <c r="E37" s="25">
        <v>108</v>
      </c>
      <c r="F37" s="25" t="s">
        <v>140</v>
      </c>
      <c r="G37" s="25" t="s">
        <v>24</v>
      </c>
      <c r="H37" s="25" t="s">
        <v>185</v>
      </c>
      <c r="I37" s="25" t="s">
        <v>213</v>
      </c>
      <c r="J37" s="25">
        <v>313</v>
      </c>
      <c r="K37" s="25" t="s">
        <v>1799</v>
      </c>
      <c r="L37" s="25">
        <v>320</v>
      </c>
      <c r="M37" s="26" t="s">
        <v>194</v>
      </c>
      <c r="N37" s="26" t="s">
        <v>351</v>
      </c>
      <c r="O37" s="25">
        <v>45.800328999999998</v>
      </c>
      <c r="P37" s="25">
        <v>-63.119134000000003</v>
      </c>
      <c r="Q37">
        <v>-9.1717999999999993</v>
      </c>
      <c r="R37">
        <v>-7.2046999999999999</v>
      </c>
      <c r="S37" s="25" t="s">
        <v>1537</v>
      </c>
      <c r="T37" s="25" t="s">
        <v>14</v>
      </c>
      <c r="U37" s="25" t="s">
        <v>17</v>
      </c>
      <c r="V37" s="26" t="s">
        <v>352</v>
      </c>
    </row>
    <row r="38" spans="1:22" s="25" customFormat="1" x14ac:dyDescent="0.25">
      <c r="A38" s="25">
        <v>37</v>
      </c>
      <c r="B38" s="27" t="s">
        <v>405</v>
      </c>
      <c r="C38" s="25">
        <v>2</v>
      </c>
      <c r="D38" s="25">
        <v>2</v>
      </c>
      <c r="E38" s="25">
        <v>108</v>
      </c>
      <c r="F38" s="25" t="s">
        <v>140</v>
      </c>
      <c r="G38" s="25" t="s">
        <v>24</v>
      </c>
      <c r="H38" s="25" t="s">
        <v>23</v>
      </c>
      <c r="J38" s="25">
        <v>341</v>
      </c>
      <c r="K38" s="25" t="s">
        <v>1797</v>
      </c>
      <c r="L38" s="25">
        <v>340</v>
      </c>
      <c r="M38" s="26" t="s">
        <v>194</v>
      </c>
      <c r="N38" s="26" t="s">
        <v>404</v>
      </c>
      <c r="O38" s="25">
        <v>46.057878000000002</v>
      </c>
      <c r="P38" s="25">
        <v>-61.475248999999998</v>
      </c>
      <c r="Q38">
        <v>-15.0938</v>
      </c>
      <c r="R38">
        <v>-12.075799999999999</v>
      </c>
      <c r="S38" s="25" t="s">
        <v>1538</v>
      </c>
      <c r="T38" s="25" t="s">
        <v>15</v>
      </c>
      <c r="U38" s="25" t="s">
        <v>16</v>
      </c>
      <c r="V38" s="26" t="s">
        <v>376</v>
      </c>
    </row>
    <row r="39" spans="1:22" s="25" customFormat="1" x14ac:dyDescent="0.25">
      <c r="A39" s="25">
        <v>38</v>
      </c>
      <c r="B39" s="27" t="s">
        <v>28</v>
      </c>
      <c r="C39" s="25">
        <v>1</v>
      </c>
      <c r="D39" s="25">
        <v>1</v>
      </c>
      <c r="E39" s="25">
        <v>108</v>
      </c>
      <c r="F39" s="25" t="s">
        <v>140</v>
      </c>
      <c r="G39" s="25" t="s">
        <v>24</v>
      </c>
      <c r="H39" s="25" t="s">
        <v>185</v>
      </c>
      <c r="I39" s="25" t="s">
        <v>186</v>
      </c>
      <c r="J39" s="25">
        <v>311</v>
      </c>
      <c r="K39" s="25" t="s">
        <v>1799</v>
      </c>
      <c r="L39" s="25">
        <v>320</v>
      </c>
      <c r="M39" s="26" t="s">
        <v>194</v>
      </c>
      <c r="N39" s="26" t="s">
        <v>193</v>
      </c>
      <c r="O39" s="25">
        <v>45.7</v>
      </c>
      <c r="P39" s="25">
        <v>-64.433333000000005</v>
      </c>
      <c r="Q39">
        <v>-9.1189</v>
      </c>
      <c r="R39">
        <v>-8.1374999999999993</v>
      </c>
      <c r="S39" s="25" t="s">
        <v>1537</v>
      </c>
      <c r="T39" s="25" t="s">
        <v>14</v>
      </c>
      <c r="U39" s="25" t="s">
        <v>17</v>
      </c>
      <c r="V39" s="26" t="s">
        <v>761</v>
      </c>
    </row>
    <row r="40" spans="1:22" s="25" customFormat="1" ht="60" x14ac:dyDescent="0.25">
      <c r="A40" s="25">
        <v>39</v>
      </c>
      <c r="B40" s="27" t="s">
        <v>1489</v>
      </c>
      <c r="C40" s="25">
        <v>6</v>
      </c>
      <c r="D40" s="25">
        <v>4</v>
      </c>
      <c r="E40" s="25">
        <v>108</v>
      </c>
      <c r="F40" s="25" t="s">
        <v>140</v>
      </c>
      <c r="G40" s="25" t="s">
        <v>24</v>
      </c>
      <c r="H40" s="25" t="s">
        <v>185</v>
      </c>
      <c r="I40" s="25" t="s">
        <v>186</v>
      </c>
      <c r="J40" s="25">
        <v>311</v>
      </c>
      <c r="K40" s="25" t="s">
        <v>1799</v>
      </c>
      <c r="L40" s="25">
        <v>320</v>
      </c>
      <c r="M40" s="26" t="s">
        <v>194</v>
      </c>
      <c r="N40" s="26" t="s">
        <v>193</v>
      </c>
      <c r="O40" s="25">
        <v>45.7</v>
      </c>
      <c r="P40" s="25">
        <v>-64.433333000000005</v>
      </c>
      <c r="Q40">
        <v>-9.1189</v>
      </c>
      <c r="R40">
        <v>-8.1374999999999993</v>
      </c>
      <c r="S40" s="25" t="s">
        <v>1537</v>
      </c>
      <c r="T40" s="26" t="s">
        <v>13</v>
      </c>
      <c r="U40" s="25" t="s">
        <v>17</v>
      </c>
      <c r="V40" s="26" t="s">
        <v>1459</v>
      </c>
    </row>
    <row r="41" spans="1:22" s="25" customFormat="1" ht="105" x14ac:dyDescent="0.25">
      <c r="A41" s="25">
        <v>40</v>
      </c>
      <c r="B41" s="27" t="s">
        <v>1490</v>
      </c>
      <c r="C41" s="25">
        <v>11</v>
      </c>
      <c r="D41" s="25">
        <v>8</v>
      </c>
      <c r="E41" s="25">
        <v>108</v>
      </c>
      <c r="F41" s="25" t="s">
        <v>140</v>
      </c>
      <c r="G41" s="25" t="s">
        <v>24</v>
      </c>
      <c r="H41" s="25" t="s">
        <v>185</v>
      </c>
      <c r="I41" s="25" t="s">
        <v>186</v>
      </c>
      <c r="J41" s="25">
        <v>311</v>
      </c>
      <c r="K41" s="25" t="s">
        <v>1799</v>
      </c>
      <c r="L41" s="25">
        <v>320</v>
      </c>
      <c r="M41" s="26" t="s">
        <v>194</v>
      </c>
      <c r="N41" s="26" t="s">
        <v>193</v>
      </c>
      <c r="O41" s="25">
        <v>45.7</v>
      </c>
      <c r="P41" s="25">
        <v>-64.433333000000005</v>
      </c>
      <c r="Q41">
        <v>-9.1189</v>
      </c>
      <c r="R41">
        <v>-8.1374999999999993</v>
      </c>
      <c r="S41" s="25" t="s">
        <v>1537</v>
      </c>
      <c r="T41" s="26" t="s">
        <v>13</v>
      </c>
      <c r="U41" s="25" t="s">
        <v>16</v>
      </c>
      <c r="V41" s="26" t="s">
        <v>1460</v>
      </c>
    </row>
    <row r="42" spans="1:22" s="25" customFormat="1" x14ac:dyDescent="0.25">
      <c r="A42" s="25">
        <v>41</v>
      </c>
      <c r="B42" s="27" t="s">
        <v>28</v>
      </c>
      <c r="C42" s="25">
        <v>1</v>
      </c>
      <c r="D42" s="25">
        <v>1</v>
      </c>
      <c r="E42" s="25">
        <v>108</v>
      </c>
      <c r="F42" s="25" t="s">
        <v>140</v>
      </c>
      <c r="G42" s="25" t="s">
        <v>24</v>
      </c>
      <c r="H42" s="25" t="s">
        <v>185</v>
      </c>
      <c r="I42" s="25" t="s">
        <v>212</v>
      </c>
      <c r="J42" s="25">
        <v>319</v>
      </c>
      <c r="K42" s="25" t="s">
        <v>1799</v>
      </c>
      <c r="L42" s="25">
        <v>320</v>
      </c>
      <c r="M42" s="25" t="s">
        <v>194</v>
      </c>
      <c r="N42" s="26" t="s">
        <v>1079</v>
      </c>
      <c r="O42" s="25">
        <v>45.720635000000001</v>
      </c>
      <c r="P42" s="25">
        <v>-64.436569000000006</v>
      </c>
      <c r="Q42">
        <v>-9.0982000000000003</v>
      </c>
      <c r="R42">
        <v>-8.1361000000000008</v>
      </c>
      <c r="S42" s="25" t="s">
        <v>1537</v>
      </c>
      <c r="T42" s="25" t="s">
        <v>14</v>
      </c>
      <c r="U42" s="25" t="s">
        <v>18</v>
      </c>
      <c r="V42" s="26" t="s">
        <v>1080</v>
      </c>
    </row>
    <row r="43" spans="1:22" s="25" customFormat="1" ht="126.75" customHeight="1" x14ac:dyDescent="0.25">
      <c r="A43" s="25">
        <v>42</v>
      </c>
      <c r="B43" s="27" t="s">
        <v>130</v>
      </c>
      <c r="C43" s="25">
        <v>1</v>
      </c>
      <c r="D43" s="25">
        <v>1</v>
      </c>
      <c r="E43" s="25">
        <v>108</v>
      </c>
      <c r="F43" s="25" t="s">
        <v>140</v>
      </c>
      <c r="G43" s="25" t="s">
        <v>24</v>
      </c>
      <c r="H43" s="25" t="s">
        <v>185</v>
      </c>
      <c r="I43" s="25" t="s">
        <v>212</v>
      </c>
      <c r="J43" s="25">
        <v>319</v>
      </c>
      <c r="K43" s="25" t="s">
        <v>1799</v>
      </c>
      <c r="L43" s="25">
        <v>320</v>
      </c>
      <c r="M43" s="26" t="s">
        <v>194</v>
      </c>
      <c r="N43" s="26" t="s">
        <v>407</v>
      </c>
      <c r="O43" s="25">
        <v>45.393794999999997</v>
      </c>
      <c r="P43" s="25">
        <v>-64.345495999999997</v>
      </c>
      <c r="Q43">
        <v>-9.4311000000000007</v>
      </c>
      <c r="R43">
        <v>-8.1303000000000001</v>
      </c>
      <c r="S43" s="25" t="s">
        <v>1537</v>
      </c>
      <c r="T43" s="25" t="s">
        <v>15</v>
      </c>
      <c r="U43" s="25" t="s">
        <v>16</v>
      </c>
      <c r="V43" s="26" t="s">
        <v>764</v>
      </c>
    </row>
    <row r="44" spans="1:22" s="25" customFormat="1" ht="45" x14ac:dyDescent="0.25">
      <c r="A44" s="25">
        <v>43</v>
      </c>
      <c r="B44" s="27" t="s">
        <v>1502</v>
      </c>
      <c r="C44" s="25">
        <v>4</v>
      </c>
      <c r="D44" s="25">
        <v>4</v>
      </c>
      <c r="E44" s="25">
        <v>108</v>
      </c>
      <c r="F44" s="25" t="s">
        <v>140</v>
      </c>
      <c r="G44" s="25" t="s">
        <v>24</v>
      </c>
      <c r="H44" s="25" t="s">
        <v>23</v>
      </c>
      <c r="I44" s="25" t="s">
        <v>38</v>
      </c>
      <c r="J44" s="25">
        <v>327</v>
      </c>
      <c r="K44" s="25" t="s">
        <v>1799</v>
      </c>
      <c r="L44" s="25">
        <v>320</v>
      </c>
      <c r="M44" s="26" t="s">
        <v>152</v>
      </c>
      <c r="N44" s="26" t="s">
        <v>150</v>
      </c>
      <c r="O44" s="25">
        <v>46.057878000000002</v>
      </c>
      <c r="P44" s="25">
        <v>-61.475248999999998</v>
      </c>
      <c r="Q44">
        <v>-9.0821000000000005</v>
      </c>
      <c r="R44">
        <v>-6.0210999999999997</v>
      </c>
      <c r="S44" s="25" t="s">
        <v>1537</v>
      </c>
      <c r="T44" s="25" t="s">
        <v>15</v>
      </c>
      <c r="U44" s="25" t="s">
        <v>17</v>
      </c>
      <c r="V44" s="26" t="s">
        <v>754</v>
      </c>
    </row>
    <row r="45" spans="1:22" s="25" customFormat="1" ht="135" x14ac:dyDescent="0.25">
      <c r="A45" s="25">
        <v>44</v>
      </c>
      <c r="B45" s="27" t="s">
        <v>1503</v>
      </c>
      <c r="C45" s="25">
        <v>12</v>
      </c>
      <c r="D45" s="25">
        <v>5</v>
      </c>
      <c r="E45" s="25">
        <v>108</v>
      </c>
      <c r="F45" s="25" t="s">
        <v>140</v>
      </c>
      <c r="G45" s="25" t="s">
        <v>24</v>
      </c>
      <c r="H45" s="25" t="s">
        <v>23</v>
      </c>
      <c r="I45" s="25" t="s">
        <v>38</v>
      </c>
      <c r="J45" s="25">
        <v>327</v>
      </c>
      <c r="K45" s="25" t="s">
        <v>1799</v>
      </c>
      <c r="L45" s="25">
        <v>320</v>
      </c>
      <c r="M45" s="26" t="s">
        <v>152</v>
      </c>
      <c r="N45" s="26" t="s">
        <v>150</v>
      </c>
      <c r="O45" s="25">
        <v>46.057878000000002</v>
      </c>
      <c r="P45" s="25">
        <v>-61.475248999999998</v>
      </c>
      <c r="Q45">
        <v>-9.0821000000000005</v>
      </c>
      <c r="R45">
        <v>-6.0210999999999997</v>
      </c>
      <c r="S45" s="25" t="s">
        <v>1537</v>
      </c>
      <c r="T45" s="25" t="s">
        <v>14</v>
      </c>
      <c r="U45" s="25" t="s">
        <v>17</v>
      </c>
      <c r="V45" s="26" t="s">
        <v>754</v>
      </c>
    </row>
    <row r="46" spans="1:22" s="25" customFormat="1" x14ac:dyDescent="0.25">
      <c r="A46" s="25">
        <v>45</v>
      </c>
      <c r="B46" s="27" t="s">
        <v>406</v>
      </c>
      <c r="C46" s="25">
        <v>1</v>
      </c>
      <c r="D46" s="25">
        <v>1</v>
      </c>
      <c r="E46" s="25">
        <v>108</v>
      </c>
      <c r="F46" s="25" t="s">
        <v>140</v>
      </c>
      <c r="G46" s="25" t="s">
        <v>24</v>
      </c>
      <c r="H46" s="25" t="s">
        <v>185</v>
      </c>
      <c r="I46" s="25" t="s">
        <v>212</v>
      </c>
      <c r="J46" s="25">
        <v>319</v>
      </c>
      <c r="K46" s="25" t="s">
        <v>1799</v>
      </c>
      <c r="L46" s="25">
        <v>320</v>
      </c>
      <c r="M46" s="26" t="s">
        <v>152</v>
      </c>
      <c r="N46" s="26" t="s">
        <v>375</v>
      </c>
      <c r="O46" s="25">
        <v>46.002128999999996</v>
      </c>
      <c r="P46" s="25">
        <v>-61.513081999999997</v>
      </c>
      <c r="Q46">
        <v>-9.1339000000000006</v>
      </c>
      <c r="R46">
        <v>-6.0549999999999997</v>
      </c>
      <c r="S46" s="25" t="s">
        <v>1537</v>
      </c>
      <c r="T46" s="25" t="s">
        <v>15</v>
      </c>
      <c r="U46" s="25" t="s">
        <v>16</v>
      </c>
      <c r="V46" s="26" t="s">
        <v>376</v>
      </c>
    </row>
    <row r="47" spans="1:22" s="25" customFormat="1" x14ac:dyDescent="0.25">
      <c r="A47" s="25">
        <v>46</v>
      </c>
      <c r="B47" s="27" t="s">
        <v>435</v>
      </c>
      <c r="C47" s="25">
        <v>1</v>
      </c>
      <c r="D47" s="25">
        <v>1</v>
      </c>
      <c r="E47" s="25">
        <v>108</v>
      </c>
      <c r="F47" s="25" t="s">
        <v>140</v>
      </c>
      <c r="G47" s="25" t="s">
        <v>24</v>
      </c>
      <c r="H47" s="25" t="s">
        <v>185</v>
      </c>
      <c r="I47" s="25" t="s">
        <v>212</v>
      </c>
      <c r="J47" s="25">
        <v>319</v>
      </c>
      <c r="K47" s="25" t="s">
        <v>1799</v>
      </c>
      <c r="L47" s="25">
        <v>320</v>
      </c>
      <c r="M47" s="26" t="s">
        <v>152</v>
      </c>
      <c r="N47" s="26" t="s">
        <v>375</v>
      </c>
      <c r="O47" s="25">
        <v>46.640802000000001</v>
      </c>
      <c r="P47" s="25">
        <v>-61.020820999999998</v>
      </c>
      <c r="Q47">
        <v>-8.5446000000000009</v>
      </c>
      <c r="R47">
        <v>-5.6302000000000003</v>
      </c>
      <c r="S47" s="25" t="s">
        <v>1537</v>
      </c>
      <c r="T47" s="25" t="s">
        <v>15</v>
      </c>
      <c r="U47" s="25" t="s">
        <v>17</v>
      </c>
      <c r="V47" s="26" t="s">
        <v>376</v>
      </c>
    </row>
    <row r="48" spans="1:22" s="25" customFormat="1" ht="90" x14ac:dyDescent="0.25">
      <c r="A48" s="25">
        <v>47</v>
      </c>
      <c r="B48" s="27" t="s">
        <v>1504</v>
      </c>
      <c r="C48" s="25">
        <v>9</v>
      </c>
      <c r="D48" s="25">
        <v>9</v>
      </c>
      <c r="E48" s="25">
        <v>108</v>
      </c>
      <c r="F48" s="25" t="s">
        <v>140</v>
      </c>
      <c r="G48" s="25" t="s">
        <v>24</v>
      </c>
      <c r="H48" s="25" t="s">
        <v>185</v>
      </c>
      <c r="I48" s="25" t="s">
        <v>212</v>
      </c>
      <c r="J48" s="25">
        <v>319</v>
      </c>
      <c r="K48" s="25" t="s">
        <v>1799</v>
      </c>
      <c r="L48" s="25">
        <v>320</v>
      </c>
      <c r="M48" s="26" t="s">
        <v>152</v>
      </c>
      <c r="N48" s="26" t="s">
        <v>375</v>
      </c>
      <c r="O48" s="25">
        <v>46.640802000000001</v>
      </c>
      <c r="P48" s="25">
        <v>-61.020820999999998</v>
      </c>
      <c r="Q48">
        <v>-8.5446000000000009</v>
      </c>
      <c r="R48">
        <v>-5.6302000000000003</v>
      </c>
      <c r="S48" s="25" t="s">
        <v>1537</v>
      </c>
      <c r="T48" s="25" t="s">
        <v>14</v>
      </c>
      <c r="U48" s="25" t="s">
        <v>17</v>
      </c>
      <c r="V48" s="26" t="s">
        <v>763</v>
      </c>
    </row>
    <row r="49" spans="1:22" s="25" customFormat="1" ht="30" x14ac:dyDescent="0.25">
      <c r="A49" s="25">
        <v>48</v>
      </c>
      <c r="B49" s="27" t="s">
        <v>1514</v>
      </c>
      <c r="C49" s="25">
        <v>3</v>
      </c>
      <c r="D49" s="25">
        <v>2</v>
      </c>
      <c r="E49" s="25">
        <v>108</v>
      </c>
      <c r="F49" s="25" t="s">
        <v>140</v>
      </c>
      <c r="G49" s="25" t="s">
        <v>24</v>
      </c>
      <c r="H49" s="25" t="s">
        <v>185</v>
      </c>
      <c r="I49" s="25" t="s">
        <v>212</v>
      </c>
      <c r="J49" s="25">
        <v>319</v>
      </c>
      <c r="K49" s="25" t="s">
        <v>1799</v>
      </c>
      <c r="L49" s="25">
        <v>320</v>
      </c>
      <c r="M49" s="26" t="s">
        <v>194</v>
      </c>
      <c r="N49" s="26" t="s">
        <v>1060</v>
      </c>
      <c r="O49" s="25">
        <v>45.688600999999998</v>
      </c>
      <c r="P49" s="25">
        <v>-64.454802999999998</v>
      </c>
      <c r="Q49">
        <v>-9.1274999999999995</v>
      </c>
      <c r="R49">
        <v>-8.1545000000000005</v>
      </c>
      <c r="S49" s="25" t="s">
        <v>1537</v>
      </c>
      <c r="T49" s="25" t="s">
        <v>14</v>
      </c>
      <c r="U49" s="25" t="s">
        <v>17</v>
      </c>
      <c r="V49" s="26" t="s">
        <v>1061</v>
      </c>
    </row>
    <row r="50" spans="1:22" s="25" customFormat="1" x14ac:dyDescent="0.25">
      <c r="A50" s="25">
        <v>49</v>
      </c>
      <c r="B50" s="27" t="s">
        <v>348</v>
      </c>
      <c r="C50" s="25">
        <v>2</v>
      </c>
      <c r="D50" s="25">
        <v>2</v>
      </c>
      <c r="E50" s="25">
        <v>108</v>
      </c>
      <c r="F50" s="25" t="s">
        <v>140</v>
      </c>
      <c r="G50" s="25" t="s">
        <v>24</v>
      </c>
      <c r="H50" s="25" t="s">
        <v>185</v>
      </c>
      <c r="I50" s="25" t="s">
        <v>212</v>
      </c>
      <c r="J50" s="25">
        <v>319</v>
      </c>
      <c r="K50" s="25" t="s">
        <v>1799</v>
      </c>
      <c r="L50" s="25">
        <v>320</v>
      </c>
      <c r="M50" s="26" t="s">
        <v>194</v>
      </c>
      <c r="N50" s="26" t="s">
        <v>277</v>
      </c>
      <c r="O50" s="25">
        <v>45.308835000000002</v>
      </c>
      <c r="P50" s="25">
        <v>-65.585998000000004</v>
      </c>
      <c r="Q50">
        <v>-9.3553999999999995</v>
      </c>
      <c r="R50">
        <v>-9.0147999999999993</v>
      </c>
      <c r="S50" s="25" t="s">
        <v>1537</v>
      </c>
      <c r="T50" s="25" t="s">
        <v>14</v>
      </c>
      <c r="U50" s="25" t="s">
        <v>17</v>
      </c>
      <c r="V50" s="26" t="s">
        <v>762</v>
      </c>
    </row>
    <row r="51" spans="1:22" s="25" customFormat="1" ht="105" x14ac:dyDescent="0.25">
      <c r="A51" s="25">
        <v>50</v>
      </c>
      <c r="B51" s="27" t="s">
        <v>1520</v>
      </c>
      <c r="C51" s="25">
        <v>11</v>
      </c>
      <c r="D51" s="25">
        <v>7</v>
      </c>
      <c r="E51" s="25">
        <v>108</v>
      </c>
      <c r="F51" s="25" t="s">
        <v>140</v>
      </c>
      <c r="G51" s="25" t="s">
        <v>24</v>
      </c>
      <c r="H51" s="25" t="s">
        <v>185</v>
      </c>
      <c r="I51" s="25" t="s">
        <v>212</v>
      </c>
      <c r="J51" s="25">
        <v>319</v>
      </c>
      <c r="K51" s="25" t="s">
        <v>1799</v>
      </c>
      <c r="L51" s="25">
        <v>320</v>
      </c>
      <c r="M51" s="26" t="s">
        <v>194</v>
      </c>
      <c r="N51" s="26" t="s">
        <v>277</v>
      </c>
      <c r="O51" s="25">
        <v>45.308835000000002</v>
      </c>
      <c r="P51" s="25">
        <v>-65.585998000000004</v>
      </c>
      <c r="Q51">
        <v>-9.3553999999999995</v>
      </c>
      <c r="R51">
        <v>-9.0147999999999993</v>
      </c>
      <c r="S51" s="25" t="s">
        <v>1537</v>
      </c>
      <c r="T51" s="26" t="s">
        <v>13</v>
      </c>
      <c r="U51" s="25" t="s">
        <v>17</v>
      </c>
      <c r="V51" s="26" t="s">
        <v>757</v>
      </c>
    </row>
    <row r="52" spans="1:22" s="25" customFormat="1" x14ac:dyDescent="0.25">
      <c r="A52" s="25">
        <v>51</v>
      </c>
      <c r="B52" s="27" t="s">
        <v>60</v>
      </c>
      <c r="C52" s="25">
        <v>1</v>
      </c>
      <c r="D52" s="25">
        <v>1</v>
      </c>
      <c r="E52" s="25">
        <v>305</v>
      </c>
      <c r="F52" s="25" t="s">
        <v>398</v>
      </c>
      <c r="G52" s="25" t="s">
        <v>266</v>
      </c>
      <c r="H52" s="25" t="s">
        <v>267</v>
      </c>
      <c r="I52" s="25" t="s">
        <v>1276</v>
      </c>
      <c r="J52" s="25">
        <v>296</v>
      </c>
      <c r="K52" s="25" t="s">
        <v>1798</v>
      </c>
      <c r="L52" s="25">
        <v>300</v>
      </c>
      <c r="M52" s="26" t="s">
        <v>814</v>
      </c>
      <c r="N52" s="26" t="s">
        <v>1105</v>
      </c>
      <c r="O52" s="25">
        <v>50.574950999999999</v>
      </c>
      <c r="P52" s="25">
        <v>15.272573</v>
      </c>
      <c r="Q52">
        <v>4.5778999999999996</v>
      </c>
      <c r="R52">
        <v>22.327000000000002</v>
      </c>
      <c r="S52" s="25" t="s">
        <v>1538</v>
      </c>
      <c r="T52" s="25" t="s">
        <v>15</v>
      </c>
      <c r="U52" s="25" t="s">
        <v>17</v>
      </c>
      <c r="V52" s="26" t="s">
        <v>1091</v>
      </c>
    </row>
    <row r="53" spans="1:22" s="25" customFormat="1" ht="60" x14ac:dyDescent="0.25">
      <c r="A53" s="25">
        <v>52</v>
      </c>
      <c r="B53" s="27" t="s">
        <v>1491</v>
      </c>
      <c r="C53" s="25">
        <v>6</v>
      </c>
      <c r="D53" s="25">
        <v>4</v>
      </c>
      <c r="E53" s="25">
        <v>305</v>
      </c>
      <c r="F53" s="25" t="s">
        <v>398</v>
      </c>
      <c r="G53" s="25" t="s">
        <v>24</v>
      </c>
      <c r="H53" s="25" t="s">
        <v>185</v>
      </c>
      <c r="I53" s="25" t="s">
        <v>186</v>
      </c>
      <c r="J53" s="25">
        <v>311</v>
      </c>
      <c r="K53" s="25" t="s">
        <v>1799</v>
      </c>
      <c r="L53" s="25">
        <v>320</v>
      </c>
      <c r="M53" s="26" t="s">
        <v>431</v>
      </c>
      <c r="N53" s="26" t="s">
        <v>429</v>
      </c>
      <c r="O53" s="25">
        <v>49.763750000000002</v>
      </c>
      <c r="P53" s="25">
        <v>13.306709</v>
      </c>
      <c r="Q53">
        <v>-2.1156999999999999</v>
      </c>
      <c r="R53">
        <v>18.6007</v>
      </c>
      <c r="S53" s="25" t="s">
        <v>1538</v>
      </c>
      <c r="T53" s="25" t="s">
        <v>15</v>
      </c>
      <c r="U53" s="25" t="s">
        <v>17</v>
      </c>
      <c r="V53" s="26" t="s">
        <v>766</v>
      </c>
    </row>
    <row r="54" spans="1:22" s="25" customFormat="1" ht="75" x14ac:dyDescent="0.25">
      <c r="A54" s="25">
        <v>53</v>
      </c>
      <c r="B54" s="27" t="s">
        <v>1496</v>
      </c>
      <c r="C54" s="25">
        <v>7</v>
      </c>
      <c r="D54" s="25">
        <v>5</v>
      </c>
      <c r="E54" s="25">
        <v>305</v>
      </c>
      <c r="F54" s="25" t="s">
        <v>398</v>
      </c>
      <c r="G54" s="25" t="s">
        <v>266</v>
      </c>
      <c r="H54" s="25" t="s">
        <v>267</v>
      </c>
      <c r="J54" s="25">
        <v>286</v>
      </c>
      <c r="K54" s="25" t="s">
        <v>1453</v>
      </c>
      <c r="L54" s="25">
        <v>280</v>
      </c>
      <c r="M54" s="25" t="s">
        <v>1090</v>
      </c>
      <c r="N54" s="26" t="s">
        <v>1089</v>
      </c>
      <c r="O54" s="25">
        <v>50.642986000000001</v>
      </c>
      <c r="P54" s="25">
        <v>16.239177999999999</v>
      </c>
      <c r="Q54">
        <v>11.4331</v>
      </c>
      <c r="R54">
        <v>26.991900000000001</v>
      </c>
      <c r="S54" s="25" t="s">
        <v>1538</v>
      </c>
      <c r="T54" s="25" t="s">
        <v>15</v>
      </c>
      <c r="U54" s="25" t="s">
        <v>17</v>
      </c>
      <c r="V54" s="26" t="s">
        <v>1091</v>
      </c>
    </row>
    <row r="55" spans="1:22" s="25" customFormat="1" ht="150" x14ac:dyDescent="0.25">
      <c r="A55" s="25">
        <v>54</v>
      </c>
      <c r="B55" s="27" t="s">
        <v>1506</v>
      </c>
      <c r="C55" s="25">
        <v>12</v>
      </c>
      <c r="D55" s="25">
        <v>3</v>
      </c>
      <c r="E55" s="25">
        <v>305</v>
      </c>
      <c r="F55" s="25" t="s">
        <v>398</v>
      </c>
      <c r="G55" s="25" t="s">
        <v>266</v>
      </c>
      <c r="H55" s="25" t="s">
        <v>267</v>
      </c>
      <c r="I55" s="25" t="s">
        <v>1452</v>
      </c>
      <c r="J55" s="25">
        <v>294</v>
      </c>
      <c r="K55" s="25" t="s">
        <v>1798</v>
      </c>
      <c r="L55" s="25">
        <v>300</v>
      </c>
      <c r="M55" s="26" t="s">
        <v>814</v>
      </c>
      <c r="N55" s="26" t="s">
        <v>1087</v>
      </c>
      <c r="O55" s="25">
        <v>50.558453</v>
      </c>
      <c r="P55" s="25">
        <v>15.68333</v>
      </c>
      <c r="Q55">
        <v>4.6562000000000001</v>
      </c>
      <c r="R55">
        <v>22.577200000000001</v>
      </c>
      <c r="S55" s="25" t="s">
        <v>1538</v>
      </c>
      <c r="T55" s="25" t="s">
        <v>15</v>
      </c>
      <c r="U55" s="25" t="s">
        <v>17</v>
      </c>
      <c r="V55" s="26" t="s">
        <v>1466</v>
      </c>
    </row>
    <row r="56" spans="1:22" s="25" customFormat="1" x14ac:dyDescent="0.25">
      <c r="A56" s="25">
        <v>55</v>
      </c>
      <c r="B56" s="27" t="s">
        <v>400</v>
      </c>
      <c r="C56" s="25">
        <v>2</v>
      </c>
      <c r="D56" s="25">
        <v>2</v>
      </c>
      <c r="E56" s="25">
        <v>305</v>
      </c>
      <c r="F56" s="25" t="s">
        <v>398</v>
      </c>
      <c r="G56" s="25" t="s">
        <v>24</v>
      </c>
      <c r="H56" s="25" t="s">
        <v>185</v>
      </c>
      <c r="I56" s="25" t="s">
        <v>313</v>
      </c>
      <c r="J56" s="25">
        <v>301</v>
      </c>
      <c r="K56" s="25" t="s">
        <v>1798</v>
      </c>
      <c r="L56" s="25">
        <v>300</v>
      </c>
      <c r="M56" s="26" t="s">
        <v>814</v>
      </c>
      <c r="N56" s="26" t="s">
        <v>397</v>
      </c>
      <c r="O56" s="25">
        <v>50.363998000000002</v>
      </c>
      <c r="P56" s="25">
        <v>14.275285</v>
      </c>
      <c r="Q56">
        <v>4.1577999999999999</v>
      </c>
      <c r="R56">
        <v>21.805</v>
      </c>
      <c r="S56" s="25" t="s">
        <v>1538</v>
      </c>
      <c r="T56" s="25" t="s">
        <v>14</v>
      </c>
      <c r="U56" s="25" t="s">
        <v>17</v>
      </c>
      <c r="V56" s="26" t="s">
        <v>399</v>
      </c>
    </row>
    <row r="57" spans="1:22" s="25" customFormat="1" x14ac:dyDescent="0.25">
      <c r="A57" s="25">
        <v>56</v>
      </c>
      <c r="B57" s="27" t="s">
        <v>813</v>
      </c>
      <c r="C57" s="25">
        <v>2</v>
      </c>
      <c r="D57" s="25">
        <v>2</v>
      </c>
      <c r="E57" s="25">
        <v>305</v>
      </c>
      <c r="F57" s="25" t="s">
        <v>398</v>
      </c>
      <c r="G57" s="25" t="s">
        <v>266</v>
      </c>
      <c r="H57" s="25" t="s">
        <v>267</v>
      </c>
      <c r="I57" s="25" t="s">
        <v>1276</v>
      </c>
      <c r="J57" s="25">
        <v>296</v>
      </c>
      <c r="K57" s="25" t="s">
        <v>1798</v>
      </c>
      <c r="L57" s="25">
        <v>300</v>
      </c>
      <c r="M57" s="26" t="s">
        <v>814</v>
      </c>
      <c r="N57" s="26" t="s">
        <v>812</v>
      </c>
      <c r="O57" s="25">
        <v>50.065629000000001</v>
      </c>
      <c r="P57" s="25">
        <v>14.857699</v>
      </c>
      <c r="Q57">
        <v>4.0077999999999996</v>
      </c>
      <c r="R57">
        <v>22.259399999999999</v>
      </c>
      <c r="S57" s="25" t="s">
        <v>1538</v>
      </c>
      <c r="T57" s="25" t="s">
        <v>15</v>
      </c>
      <c r="U57" s="25" t="s">
        <v>16</v>
      </c>
      <c r="V57" s="26" t="s">
        <v>399</v>
      </c>
    </row>
    <row r="58" spans="1:22" s="25" customFormat="1" x14ac:dyDescent="0.25">
      <c r="A58" s="25">
        <v>57</v>
      </c>
      <c r="B58" s="27" t="s">
        <v>1227</v>
      </c>
      <c r="C58" s="25">
        <v>1</v>
      </c>
      <c r="D58" s="25">
        <v>1</v>
      </c>
      <c r="E58" s="25">
        <v>313</v>
      </c>
      <c r="F58" s="25" t="s">
        <v>39</v>
      </c>
      <c r="G58" s="25" t="s">
        <v>24</v>
      </c>
      <c r="H58" s="25" t="s">
        <v>23</v>
      </c>
      <c r="I58" s="25" t="s">
        <v>1433</v>
      </c>
      <c r="J58" s="25">
        <v>353</v>
      </c>
      <c r="K58" s="25" t="s">
        <v>1796</v>
      </c>
      <c r="L58" s="25">
        <v>360</v>
      </c>
      <c r="M58" s="25" t="s">
        <v>1230</v>
      </c>
      <c r="N58" s="26" t="s">
        <v>1229</v>
      </c>
      <c r="O58" s="25">
        <v>55.841695999999999</v>
      </c>
      <c r="P58" s="25">
        <v>-2.068686</v>
      </c>
      <c r="Q58">
        <v>-13.2033</v>
      </c>
      <c r="R58">
        <v>-1.9584999999999999</v>
      </c>
      <c r="S58" s="25" t="s">
        <v>1538</v>
      </c>
      <c r="T58" s="26" t="s">
        <v>13</v>
      </c>
      <c r="U58" s="25" t="s">
        <v>17</v>
      </c>
      <c r="V58" s="26" t="s">
        <v>1228</v>
      </c>
    </row>
    <row r="59" spans="1:22" s="25" customFormat="1" x14ac:dyDescent="0.25">
      <c r="A59" s="25">
        <v>58</v>
      </c>
      <c r="B59" s="27" t="s">
        <v>411</v>
      </c>
      <c r="C59" s="25">
        <v>2</v>
      </c>
      <c r="D59" s="25">
        <v>2</v>
      </c>
      <c r="E59" s="25">
        <v>315</v>
      </c>
      <c r="F59" s="25" t="s">
        <v>39</v>
      </c>
      <c r="G59" s="25" t="s">
        <v>24</v>
      </c>
      <c r="H59" s="25" t="s">
        <v>185</v>
      </c>
      <c r="I59" s="25" t="s">
        <v>186</v>
      </c>
      <c r="J59" s="25">
        <v>311</v>
      </c>
      <c r="K59" s="25" t="s">
        <v>1799</v>
      </c>
      <c r="L59" s="25">
        <v>320</v>
      </c>
      <c r="M59" s="26" t="s">
        <v>412</v>
      </c>
      <c r="N59" s="26" t="s">
        <v>410</v>
      </c>
      <c r="O59" s="25">
        <v>50.826407000000003</v>
      </c>
      <c r="P59" s="25">
        <v>-4.5567900000000003</v>
      </c>
      <c r="Q59">
        <v>-3.8494000000000002</v>
      </c>
      <c r="R59">
        <v>5.5583</v>
      </c>
      <c r="S59" s="25" t="s">
        <v>1538</v>
      </c>
      <c r="T59" s="25" t="s">
        <v>15</v>
      </c>
      <c r="U59" s="25" t="s">
        <v>16</v>
      </c>
      <c r="V59" s="26" t="s">
        <v>765</v>
      </c>
    </row>
    <row r="60" spans="1:22" s="25" customFormat="1" x14ac:dyDescent="0.25">
      <c r="A60" s="25">
        <v>59</v>
      </c>
      <c r="B60" s="27" t="s">
        <v>36</v>
      </c>
      <c r="C60" s="25">
        <v>1</v>
      </c>
      <c r="D60" s="25">
        <v>1</v>
      </c>
      <c r="E60" s="25">
        <v>315</v>
      </c>
      <c r="F60" s="25" t="s">
        <v>39</v>
      </c>
      <c r="G60" s="25" t="s">
        <v>24</v>
      </c>
      <c r="H60" s="25" t="s">
        <v>23</v>
      </c>
      <c r="I60" s="25" t="s">
        <v>38</v>
      </c>
      <c r="J60" s="25">
        <v>327</v>
      </c>
      <c r="K60" s="25" t="s">
        <v>1799</v>
      </c>
      <c r="L60" s="25">
        <v>320</v>
      </c>
      <c r="M60" s="25" t="s">
        <v>40</v>
      </c>
      <c r="N60" s="25" t="s">
        <v>37</v>
      </c>
      <c r="O60" s="25">
        <v>53.542636000000002</v>
      </c>
      <c r="P60" s="25">
        <v>-1.950715</v>
      </c>
      <c r="Q60">
        <v>-0.94669999999999999</v>
      </c>
      <c r="R60">
        <v>6.7851999999999997</v>
      </c>
      <c r="S60" s="25" t="s">
        <v>1538</v>
      </c>
      <c r="T60" s="26" t="s">
        <v>13</v>
      </c>
      <c r="U60" s="25" t="s">
        <v>16</v>
      </c>
      <c r="V60" s="26" t="s">
        <v>43</v>
      </c>
    </row>
    <row r="61" spans="1:22" s="25" customFormat="1" x14ac:dyDescent="0.25">
      <c r="A61" s="25">
        <v>60</v>
      </c>
      <c r="B61" s="27" t="s">
        <v>36</v>
      </c>
      <c r="C61" s="25">
        <v>1</v>
      </c>
      <c r="D61" s="25">
        <v>1</v>
      </c>
      <c r="E61" s="25">
        <v>315</v>
      </c>
      <c r="F61" s="25" t="s">
        <v>39</v>
      </c>
      <c r="G61" s="25" t="s">
        <v>24</v>
      </c>
      <c r="H61" s="25" t="s">
        <v>23</v>
      </c>
      <c r="I61" s="25" t="s">
        <v>38</v>
      </c>
      <c r="J61" s="25">
        <v>327</v>
      </c>
      <c r="K61" s="25" t="s">
        <v>1799</v>
      </c>
      <c r="L61" s="25">
        <v>320</v>
      </c>
      <c r="M61" s="25" t="s">
        <v>40</v>
      </c>
      <c r="N61" s="25" t="s">
        <v>50</v>
      </c>
      <c r="O61" s="25">
        <v>53.481189000000001</v>
      </c>
      <c r="P61" s="25">
        <v>-1.8986810000000001</v>
      </c>
      <c r="Q61">
        <v>-1.0027999999999999</v>
      </c>
      <c r="R61">
        <v>6.8250000000000002</v>
      </c>
      <c r="S61" s="25" t="s">
        <v>1538</v>
      </c>
      <c r="T61" s="26" t="s">
        <v>13</v>
      </c>
      <c r="U61" s="25" t="s">
        <v>16</v>
      </c>
      <c r="V61" s="26" t="s">
        <v>43</v>
      </c>
    </row>
    <row r="62" spans="1:22" s="25" customFormat="1" ht="30" x14ac:dyDescent="0.25">
      <c r="A62" s="25">
        <v>61</v>
      </c>
      <c r="B62" s="27" t="s">
        <v>1501</v>
      </c>
      <c r="C62" s="25">
        <v>2</v>
      </c>
      <c r="D62" s="25">
        <v>2</v>
      </c>
      <c r="E62" s="25">
        <v>315</v>
      </c>
      <c r="F62" s="25" t="s">
        <v>39</v>
      </c>
      <c r="G62" s="25" t="s">
        <v>24</v>
      </c>
      <c r="H62" s="25" t="s">
        <v>185</v>
      </c>
      <c r="I62" s="25" t="s">
        <v>212</v>
      </c>
      <c r="J62" s="25">
        <v>319</v>
      </c>
      <c r="K62" s="25" t="s">
        <v>1799</v>
      </c>
      <c r="L62" s="25">
        <v>320</v>
      </c>
      <c r="M62" s="26" t="s">
        <v>40</v>
      </c>
      <c r="N62" s="26" t="s">
        <v>283</v>
      </c>
      <c r="O62" s="25">
        <v>53.82591</v>
      </c>
      <c r="P62" s="25">
        <v>-1.74892</v>
      </c>
      <c r="Q62">
        <v>-0.64859999999999995</v>
      </c>
      <c r="R62">
        <v>6.8604000000000003</v>
      </c>
      <c r="S62" s="25" t="s">
        <v>1538</v>
      </c>
      <c r="T62" s="26" t="s">
        <v>13</v>
      </c>
      <c r="U62" s="25" t="s">
        <v>17</v>
      </c>
      <c r="V62" s="26" t="s">
        <v>282</v>
      </c>
    </row>
    <row r="63" spans="1:22" s="25" customFormat="1" x14ac:dyDescent="0.25">
      <c r="A63" s="25">
        <v>62</v>
      </c>
      <c r="B63" s="27" t="s">
        <v>418</v>
      </c>
      <c r="C63" s="25">
        <v>2</v>
      </c>
      <c r="D63" s="25">
        <v>2</v>
      </c>
      <c r="E63" s="25">
        <v>315</v>
      </c>
      <c r="F63" s="25" t="s">
        <v>39</v>
      </c>
      <c r="G63" s="25" t="s">
        <v>24</v>
      </c>
      <c r="H63" s="25" t="s">
        <v>185</v>
      </c>
      <c r="I63" s="25" t="s">
        <v>212</v>
      </c>
      <c r="J63" s="25">
        <v>319</v>
      </c>
      <c r="K63" s="25" t="s">
        <v>1799</v>
      </c>
      <c r="L63" s="25">
        <v>320</v>
      </c>
      <c r="M63" s="26" t="s">
        <v>40</v>
      </c>
      <c r="N63" s="26" t="s">
        <v>283</v>
      </c>
      <c r="O63" s="25">
        <v>53.240468999999997</v>
      </c>
      <c r="P63" s="25">
        <v>-0.90392399999999995</v>
      </c>
      <c r="Q63">
        <v>-1.1468</v>
      </c>
      <c r="R63">
        <v>7.4493</v>
      </c>
      <c r="S63" s="25" t="s">
        <v>1538</v>
      </c>
      <c r="T63" s="25" t="s">
        <v>15</v>
      </c>
      <c r="U63" s="25" t="s">
        <v>16</v>
      </c>
      <c r="V63" s="26" t="s">
        <v>419</v>
      </c>
    </row>
    <row r="64" spans="1:22" s="25" customFormat="1" ht="60" x14ac:dyDescent="0.25">
      <c r="A64" s="25">
        <v>63</v>
      </c>
      <c r="B64" s="27" t="s">
        <v>347</v>
      </c>
      <c r="C64" s="25">
        <v>6</v>
      </c>
      <c r="D64" s="25">
        <v>6</v>
      </c>
      <c r="E64" s="25">
        <v>315</v>
      </c>
      <c r="F64" s="25" t="s">
        <v>39</v>
      </c>
      <c r="G64" s="25" t="s">
        <v>24</v>
      </c>
      <c r="H64" s="25" t="s">
        <v>185</v>
      </c>
      <c r="I64" s="25" t="s">
        <v>212</v>
      </c>
      <c r="J64" s="25">
        <v>319</v>
      </c>
      <c r="K64" s="25" t="s">
        <v>1799</v>
      </c>
      <c r="L64" s="25">
        <v>320</v>
      </c>
      <c r="M64" s="26" t="s">
        <v>40</v>
      </c>
      <c r="N64" s="26" t="s">
        <v>346</v>
      </c>
      <c r="O64" s="25">
        <v>53.359397000000001</v>
      </c>
      <c r="P64" s="25">
        <v>-1.9540249999999999</v>
      </c>
      <c r="Q64">
        <v>-1.1282000000000001</v>
      </c>
      <c r="R64">
        <v>6.8108000000000004</v>
      </c>
      <c r="S64" s="25" t="s">
        <v>1538</v>
      </c>
      <c r="T64" s="25" t="s">
        <v>14</v>
      </c>
      <c r="U64" s="25" t="s">
        <v>17</v>
      </c>
      <c r="V64" s="26" t="s">
        <v>760</v>
      </c>
    </row>
    <row r="65" spans="1:22" s="25" customFormat="1" ht="45" x14ac:dyDescent="0.25">
      <c r="A65" s="25">
        <v>64</v>
      </c>
      <c r="B65" s="27" t="s">
        <v>1510</v>
      </c>
      <c r="C65" s="25">
        <v>5</v>
      </c>
      <c r="D65" s="25">
        <v>2</v>
      </c>
      <c r="E65" s="25">
        <v>315</v>
      </c>
      <c r="F65" s="25" t="s">
        <v>39</v>
      </c>
      <c r="G65" s="25" t="s">
        <v>24</v>
      </c>
      <c r="H65" s="25" t="s">
        <v>185</v>
      </c>
      <c r="I65" s="25" t="s">
        <v>186</v>
      </c>
      <c r="J65" s="25">
        <v>311</v>
      </c>
      <c r="K65" s="25" t="s">
        <v>1799</v>
      </c>
      <c r="L65" s="25">
        <v>320</v>
      </c>
      <c r="M65" s="25" t="s">
        <v>40</v>
      </c>
      <c r="N65" s="26" t="s">
        <v>380</v>
      </c>
      <c r="O65" s="25">
        <v>52.444232999999997</v>
      </c>
      <c r="P65" s="25">
        <v>-2.3609930000000001</v>
      </c>
      <c r="Q65">
        <v>-2.0695000000000001</v>
      </c>
      <c r="R65">
        <v>6.7026000000000003</v>
      </c>
      <c r="S65" s="25" t="s">
        <v>1538</v>
      </c>
      <c r="T65" s="25" t="s">
        <v>14</v>
      </c>
      <c r="U65" s="25" t="s">
        <v>17</v>
      </c>
      <c r="V65" s="26" t="s">
        <v>1467</v>
      </c>
    </row>
    <row r="66" spans="1:22" s="25" customFormat="1" x14ac:dyDescent="0.25">
      <c r="A66" s="25">
        <v>65</v>
      </c>
      <c r="B66" s="27" t="s">
        <v>104</v>
      </c>
      <c r="C66" s="25">
        <v>1</v>
      </c>
      <c r="D66" s="25">
        <v>1</v>
      </c>
      <c r="E66" s="25">
        <v>315</v>
      </c>
      <c r="F66" s="25" t="s">
        <v>39</v>
      </c>
      <c r="G66" s="25" t="s">
        <v>266</v>
      </c>
      <c r="H66" s="25" t="s">
        <v>267</v>
      </c>
      <c r="J66" s="25">
        <v>286</v>
      </c>
      <c r="K66" s="25" t="s">
        <v>1453</v>
      </c>
      <c r="L66" s="25">
        <v>280</v>
      </c>
      <c r="M66" s="25" t="s">
        <v>580</v>
      </c>
      <c r="N66" s="26" t="s">
        <v>1448</v>
      </c>
      <c r="O66" s="25">
        <v>50.41892</v>
      </c>
      <c r="P66" s="25">
        <v>-3.5571299999999999</v>
      </c>
      <c r="Q66">
        <v>8.6639999999999997</v>
      </c>
      <c r="R66">
        <v>14.5602</v>
      </c>
      <c r="S66" s="25" t="s">
        <v>1538</v>
      </c>
      <c r="T66" s="25" t="s">
        <v>14</v>
      </c>
      <c r="U66" s="25" t="s">
        <v>16</v>
      </c>
      <c r="V66" s="26" t="s">
        <v>770</v>
      </c>
    </row>
    <row r="67" spans="1:22" s="25" customFormat="1" ht="60" x14ac:dyDescent="0.25">
      <c r="A67" s="25">
        <v>66</v>
      </c>
      <c r="B67" s="27" t="s">
        <v>1521</v>
      </c>
      <c r="C67" s="25">
        <v>6</v>
      </c>
      <c r="D67" s="25">
        <v>4</v>
      </c>
      <c r="E67" s="25">
        <v>315</v>
      </c>
      <c r="F67" s="25" t="s">
        <v>39</v>
      </c>
      <c r="G67" s="25" t="s">
        <v>24</v>
      </c>
      <c r="H67" s="25" t="s">
        <v>185</v>
      </c>
      <c r="I67" s="25" t="s">
        <v>186</v>
      </c>
      <c r="J67" s="25">
        <v>311</v>
      </c>
      <c r="K67" s="25" t="s">
        <v>1799</v>
      </c>
      <c r="L67" s="25">
        <v>320</v>
      </c>
      <c r="M67" s="26" t="s">
        <v>40</v>
      </c>
      <c r="N67" s="26" t="s">
        <v>1455</v>
      </c>
      <c r="O67" s="25">
        <v>51.302829000000003</v>
      </c>
      <c r="P67" s="25">
        <v>-2.425942</v>
      </c>
      <c r="Q67">
        <v>-3.2048000000000001</v>
      </c>
      <c r="R67">
        <v>6.8273999999999999</v>
      </c>
      <c r="S67" s="25" t="s">
        <v>1538</v>
      </c>
      <c r="T67" s="25" t="s">
        <v>14</v>
      </c>
      <c r="U67" s="25" t="s">
        <v>17</v>
      </c>
      <c r="V67" s="26" t="s">
        <v>385</v>
      </c>
    </row>
    <row r="68" spans="1:22" s="25" customFormat="1" ht="30" x14ac:dyDescent="0.25">
      <c r="A68" s="25">
        <v>67</v>
      </c>
      <c r="B68" s="27" t="s">
        <v>42</v>
      </c>
      <c r="C68" s="25">
        <v>4</v>
      </c>
      <c r="D68" s="25">
        <v>4</v>
      </c>
      <c r="E68" s="25">
        <v>315</v>
      </c>
      <c r="F68" s="25" t="s">
        <v>39</v>
      </c>
      <c r="G68" s="25" t="s">
        <v>24</v>
      </c>
      <c r="H68" s="25" t="s">
        <v>23</v>
      </c>
      <c r="I68" s="25" t="s">
        <v>38</v>
      </c>
      <c r="J68" s="25">
        <v>327</v>
      </c>
      <c r="K68" s="25" t="s">
        <v>1799</v>
      </c>
      <c r="L68" s="25">
        <v>320</v>
      </c>
      <c r="M68" s="25" t="s">
        <v>40</v>
      </c>
      <c r="N68" s="25" t="s">
        <v>41</v>
      </c>
      <c r="O68" s="25">
        <v>53.395229399999998</v>
      </c>
      <c r="P68" s="25">
        <v>-1.8040323</v>
      </c>
      <c r="Q68">
        <v>-1.0791999999999999</v>
      </c>
      <c r="R68">
        <v>6.8937999999999997</v>
      </c>
      <c r="S68" s="25" t="s">
        <v>1538</v>
      </c>
      <c r="T68" s="26" t="s">
        <v>13</v>
      </c>
      <c r="U68" s="25" t="s">
        <v>16</v>
      </c>
      <c r="V68" s="26" t="s">
        <v>753</v>
      </c>
    </row>
    <row r="69" spans="1:22" s="25" customFormat="1" ht="45" x14ac:dyDescent="0.25">
      <c r="A69" s="25">
        <v>68</v>
      </c>
      <c r="B69" s="27" t="s">
        <v>336</v>
      </c>
      <c r="C69" s="25">
        <v>4</v>
      </c>
      <c r="D69" s="25">
        <v>3</v>
      </c>
      <c r="E69" s="25">
        <v>315</v>
      </c>
      <c r="F69" s="25" t="s">
        <v>39</v>
      </c>
      <c r="G69" s="25" t="s">
        <v>24</v>
      </c>
      <c r="H69" s="25" t="s">
        <v>185</v>
      </c>
      <c r="I69" s="25" t="s">
        <v>212</v>
      </c>
      <c r="J69" s="25">
        <v>319</v>
      </c>
      <c r="K69" s="25" t="s">
        <v>1799</v>
      </c>
      <c r="L69" s="25">
        <v>320</v>
      </c>
      <c r="M69" s="26" t="s">
        <v>40</v>
      </c>
      <c r="N69" s="26" t="s">
        <v>1456</v>
      </c>
      <c r="O69" s="25">
        <v>53.712899999999998</v>
      </c>
      <c r="P69" s="25">
        <v>-2.309987</v>
      </c>
      <c r="Q69">
        <v>-0.80979999999999996</v>
      </c>
      <c r="R69">
        <v>6.5492999999999997</v>
      </c>
      <c r="S69" s="25" t="s">
        <v>1538</v>
      </c>
      <c r="T69" s="25" t="s">
        <v>14</v>
      </c>
      <c r="U69" s="25" t="s">
        <v>17</v>
      </c>
      <c r="V69" s="26" t="s">
        <v>759</v>
      </c>
    </row>
    <row r="70" spans="1:22" s="25" customFormat="1" x14ac:dyDescent="0.25">
      <c r="A70" s="25">
        <v>69</v>
      </c>
      <c r="B70" s="27" t="s">
        <v>1522</v>
      </c>
      <c r="C70" s="25">
        <v>1</v>
      </c>
      <c r="D70" s="25">
        <v>1</v>
      </c>
      <c r="E70" s="25">
        <v>313</v>
      </c>
      <c r="F70" s="25" t="s">
        <v>39</v>
      </c>
      <c r="G70" s="25" t="s">
        <v>24</v>
      </c>
      <c r="H70" s="25" t="s">
        <v>23</v>
      </c>
      <c r="I70" s="25" t="s">
        <v>38</v>
      </c>
      <c r="J70" s="25">
        <v>327</v>
      </c>
      <c r="K70" s="25" t="s">
        <v>1799</v>
      </c>
      <c r="L70" s="25">
        <v>320</v>
      </c>
      <c r="M70" s="25" t="s">
        <v>89</v>
      </c>
      <c r="N70" s="26" t="s">
        <v>88</v>
      </c>
      <c r="O70" s="25">
        <v>55.454625999999998</v>
      </c>
      <c r="P70" s="25">
        <v>-1.5906149999999999</v>
      </c>
      <c r="Q70">
        <v>0.9748</v>
      </c>
      <c r="R70">
        <v>6.7000999999999999</v>
      </c>
      <c r="S70" s="25" t="s">
        <v>1538</v>
      </c>
      <c r="T70" s="26" t="s">
        <v>13</v>
      </c>
      <c r="U70" s="25" t="s">
        <v>17</v>
      </c>
      <c r="V70" s="26" t="s">
        <v>90</v>
      </c>
    </row>
    <row r="71" spans="1:22" s="25" customFormat="1" x14ac:dyDescent="0.25">
      <c r="A71" s="25">
        <v>70</v>
      </c>
      <c r="B71" s="27" t="s">
        <v>73</v>
      </c>
      <c r="C71" s="25">
        <v>1</v>
      </c>
      <c r="D71" s="25">
        <v>1</v>
      </c>
      <c r="E71" s="25">
        <v>291</v>
      </c>
      <c r="F71" s="25" t="s">
        <v>423</v>
      </c>
      <c r="G71" s="25" t="s">
        <v>266</v>
      </c>
      <c r="H71" s="25" t="s">
        <v>267</v>
      </c>
      <c r="J71" s="25">
        <v>286</v>
      </c>
      <c r="K71" s="25" t="s">
        <v>1453</v>
      </c>
      <c r="L71" s="25">
        <v>280</v>
      </c>
      <c r="M71" s="26" t="s">
        <v>421</v>
      </c>
      <c r="N71" s="26" t="s">
        <v>420</v>
      </c>
      <c r="O71" s="25">
        <v>-51.813350999999997</v>
      </c>
      <c r="P71" s="25">
        <v>-58.48171</v>
      </c>
      <c r="Q71">
        <v>-62.834400000000002</v>
      </c>
      <c r="R71">
        <v>-57.755099999999999</v>
      </c>
      <c r="S71" s="25" t="s">
        <v>1539</v>
      </c>
      <c r="T71" s="25" t="s">
        <v>15</v>
      </c>
      <c r="U71" s="25" t="s">
        <v>16</v>
      </c>
      <c r="V71" s="26" t="s">
        <v>422</v>
      </c>
    </row>
    <row r="72" spans="1:22" s="25" customFormat="1" x14ac:dyDescent="0.25">
      <c r="A72" s="25">
        <v>71</v>
      </c>
      <c r="B72" s="27" t="s">
        <v>28</v>
      </c>
      <c r="C72" s="25">
        <v>1</v>
      </c>
      <c r="D72" s="25">
        <v>1</v>
      </c>
      <c r="E72" s="25">
        <v>305</v>
      </c>
      <c r="F72" s="25" t="s">
        <v>641</v>
      </c>
      <c r="G72" s="25" t="s">
        <v>24</v>
      </c>
      <c r="H72" s="25" t="s">
        <v>185</v>
      </c>
      <c r="I72" s="25" t="s">
        <v>1449</v>
      </c>
      <c r="J72" s="25">
        <v>303</v>
      </c>
      <c r="K72" s="25" t="s">
        <v>1798</v>
      </c>
      <c r="L72" s="25">
        <v>300</v>
      </c>
      <c r="M72" s="25" t="s">
        <v>1066</v>
      </c>
      <c r="N72" s="26" t="s">
        <v>1067</v>
      </c>
      <c r="O72" s="25">
        <v>43.681207000000001</v>
      </c>
      <c r="P72" s="25">
        <v>3.1018409999999998</v>
      </c>
      <c r="Q72">
        <v>-4.3509000000000002</v>
      </c>
      <c r="R72">
        <v>16.332799999999999</v>
      </c>
      <c r="S72" s="25" t="s">
        <v>1538</v>
      </c>
      <c r="T72" s="25" t="s">
        <v>15</v>
      </c>
      <c r="U72" s="25" t="s">
        <v>17</v>
      </c>
      <c r="V72" s="26" t="s">
        <v>961</v>
      </c>
    </row>
    <row r="73" spans="1:22" s="25" customFormat="1" x14ac:dyDescent="0.25">
      <c r="A73" s="25">
        <v>72</v>
      </c>
      <c r="B73" s="27" t="s">
        <v>64</v>
      </c>
      <c r="C73" s="25">
        <v>1</v>
      </c>
      <c r="D73" s="25">
        <v>1</v>
      </c>
      <c r="E73" s="25">
        <v>305</v>
      </c>
      <c r="F73" s="25" t="s">
        <v>641</v>
      </c>
      <c r="G73" s="25" t="s">
        <v>266</v>
      </c>
      <c r="H73" s="25" t="s">
        <v>267</v>
      </c>
      <c r="I73" s="25" t="s">
        <v>1432</v>
      </c>
      <c r="J73" s="25">
        <v>287</v>
      </c>
      <c r="K73" s="25" t="s">
        <v>1453</v>
      </c>
      <c r="L73" s="25">
        <v>280</v>
      </c>
      <c r="M73" s="25" t="s">
        <v>709</v>
      </c>
      <c r="N73" s="26" t="s">
        <v>855</v>
      </c>
      <c r="O73" s="25">
        <v>43.683532999999997</v>
      </c>
      <c r="P73" s="26">
        <v>3.3462320000000001</v>
      </c>
      <c r="Q73">
        <v>2.5926</v>
      </c>
      <c r="R73">
        <v>20.112300000000001</v>
      </c>
      <c r="S73" s="25" t="s">
        <v>1538</v>
      </c>
      <c r="T73" s="25" t="s">
        <v>15</v>
      </c>
      <c r="U73" s="25" t="s">
        <v>18</v>
      </c>
      <c r="V73" s="26" t="s">
        <v>853</v>
      </c>
    </row>
    <row r="74" spans="1:22" s="25" customFormat="1" ht="30" x14ac:dyDescent="0.25">
      <c r="A74" s="25">
        <v>73</v>
      </c>
      <c r="B74" s="27" t="s">
        <v>710</v>
      </c>
      <c r="C74" s="25">
        <v>4</v>
      </c>
      <c r="D74" s="25">
        <v>4</v>
      </c>
      <c r="E74" s="25">
        <v>305</v>
      </c>
      <c r="F74" s="25" t="s">
        <v>641</v>
      </c>
      <c r="G74" s="25" t="s">
        <v>266</v>
      </c>
      <c r="H74" s="25" t="s">
        <v>267</v>
      </c>
      <c r="J74" s="25">
        <v>286</v>
      </c>
      <c r="K74" s="25" t="s">
        <v>1453</v>
      </c>
      <c r="L74" s="25">
        <v>280</v>
      </c>
      <c r="M74" s="25" t="s">
        <v>709</v>
      </c>
      <c r="N74" s="26" t="s">
        <v>708</v>
      </c>
      <c r="O74" s="25">
        <v>44.399295000000002</v>
      </c>
      <c r="P74" s="25">
        <v>2.2106249999999998</v>
      </c>
      <c r="Q74">
        <v>3.1678000000000002</v>
      </c>
      <c r="R74">
        <v>19.1904</v>
      </c>
      <c r="S74" s="25" t="s">
        <v>1538</v>
      </c>
      <c r="T74" s="25" t="s">
        <v>14</v>
      </c>
      <c r="U74" s="25" t="s">
        <v>17</v>
      </c>
      <c r="V74" s="26" t="s">
        <v>707</v>
      </c>
    </row>
    <row r="75" spans="1:22" s="25" customFormat="1" ht="75" x14ac:dyDescent="0.25">
      <c r="A75" s="25">
        <v>74</v>
      </c>
      <c r="B75" s="27" t="s">
        <v>1509</v>
      </c>
      <c r="C75" s="25">
        <v>8</v>
      </c>
      <c r="D75" s="25">
        <v>4</v>
      </c>
      <c r="E75" s="25">
        <v>305</v>
      </c>
      <c r="F75" s="25" t="s">
        <v>641</v>
      </c>
      <c r="G75" s="25" t="s">
        <v>266</v>
      </c>
      <c r="H75" s="25" t="s">
        <v>267</v>
      </c>
      <c r="I75" s="25" t="s">
        <v>1453</v>
      </c>
      <c r="J75" s="25">
        <v>282</v>
      </c>
      <c r="K75" s="25" t="s">
        <v>1453</v>
      </c>
      <c r="L75" s="25">
        <v>280</v>
      </c>
      <c r="M75" s="25" t="s">
        <v>709</v>
      </c>
      <c r="N75" s="26" t="s">
        <v>1132</v>
      </c>
      <c r="O75" s="25">
        <v>43.634667999999998</v>
      </c>
      <c r="P75" s="25">
        <v>3.3503750000000001</v>
      </c>
      <c r="Q75">
        <v>2.5449999999999999</v>
      </c>
      <c r="R75">
        <v>20.1234</v>
      </c>
      <c r="S75" s="25" t="s">
        <v>1538</v>
      </c>
      <c r="T75" s="25" t="s">
        <v>14</v>
      </c>
      <c r="U75" s="25" t="s">
        <v>17</v>
      </c>
      <c r="V75" s="26" t="s">
        <v>1133</v>
      </c>
    </row>
    <row r="76" spans="1:22" s="25" customFormat="1" x14ac:dyDescent="0.25">
      <c r="A76" s="25">
        <v>75</v>
      </c>
      <c r="B76" s="27" t="s">
        <v>59</v>
      </c>
      <c r="C76" s="25">
        <v>1</v>
      </c>
      <c r="D76" s="25">
        <v>1</v>
      </c>
      <c r="E76" s="25">
        <v>305</v>
      </c>
      <c r="F76" s="25" t="s">
        <v>641</v>
      </c>
      <c r="G76" s="25" t="s">
        <v>266</v>
      </c>
      <c r="H76" s="25" t="s">
        <v>267</v>
      </c>
      <c r="I76" s="25" t="s">
        <v>1454</v>
      </c>
      <c r="J76" s="25">
        <v>292</v>
      </c>
      <c r="K76" s="25" t="s">
        <v>1798</v>
      </c>
      <c r="L76" s="25">
        <v>300</v>
      </c>
      <c r="M76" s="26" t="s">
        <v>1084</v>
      </c>
      <c r="N76" s="26" t="s">
        <v>1085</v>
      </c>
      <c r="O76" s="25">
        <v>43.874834999999997</v>
      </c>
      <c r="P76" s="25">
        <v>2.9996369999999999</v>
      </c>
      <c r="Q76">
        <v>-4.1765999999999996</v>
      </c>
      <c r="R76">
        <v>16.220300000000002</v>
      </c>
      <c r="S76" s="25" t="s">
        <v>1538</v>
      </c>
      <c r="T76" s="25" t="s">
        <v>15</v>
      </c>
      <c r="U76" s="25" t="s">
        <v>17</v>
      </c>
      <c r="V76" s="26" t="s">
        <v>1083</v>
      </c>
    </row>
    <row r="77" spans="1:22" s="25" customFormat="1" x14ac:dyDescent="0.25">
      <c r="A77" s="25">
        <v>76</v>
      </c>
      <c r="B77" s="27" t="s">
        <v>28</v>
      </c>
      <c r="C77" s="25">
        <v>1</v>
      </c>
      <c r="D77" s="25">
        <v>1</v>
      </c>
      <c r="E77" s="25">
        <v>305</v>
      </c>
      <c r="F77" s="25" t="s">
        <v>588</v>
      </c>
      <c r="G77" s="25" t="s">
        <v>24</v>
      </c>
      <c r="H77" s="25" t="s">
        <v>185</v>
      </c>
      <c r="I77" s="25" t="s">
        <v>313</v>
      </c>
      <c r="J77" s="25">
        <v>301</v>
      </c>
      <c r="K77" s="25" t="s">
        <v>1798</v>
      </c>
      <c r="L77" s="25">
        <v>300</v>
      </c>
      <c r="M77" s="26" t="s">
        <v>1435</v>
      </c>
      <c r="N77" s="26" t="s">
        <v>1235</v>
      </c>
      <c r="O77" s="25">
        <v>50.647463999999999</v>
      </c>
      <c r="P77" s="25">
        <v>10.857742999999999</v>
      </c>
      <c r="Q77">
        <v>3.7212999999999998</v>
      </c>
      <c r="R77">
        <v>19.652000000000001</v>
      </c>
      <c r="S77" s="25" t="s">
        <v>1538</v>
      </c>
      <c r="T77" s="25" t="s">
        <v>14</v>
      </c>
      <c r="U77" s="25" t="s">
        <v>17</v>
      </c>
      <c r="V77" s="26" t="s">
        <v>1264</v>
      </c>
    </row>
    <row r="78" spans="1:22" s="25" customFormat="1" x14ac:dyDescent="0.25">
      <c r="A78" s="25">
        <v>77</v>
      </c>
      <c r="B78" s="27" t="s">
        <v>1325</v>
      </c>
      <c r="C78" s="25">
        <v>1</v>
      </c>
      <c r="D78" s="25">
        <v>1</v>
      </c>
      <c r="E78" s="25">
        <v>315</v>
      </c>
      <c r="F78" s="25" t="s">
        <v>588</v>
      </c>
      <c r="G78" s="25" t="s">
        <v>266</v>
      </c>
      <c r="H78" s="25" t="s">
        <v>267</v>
      </c>
      <c r="I78" s="25" t="s">
        <v>1276</v>
      </c>
      <c r="J78" s="25">
        <v>296</v>
      </c>
      <c r="K78" s="25" t="s">
        <v>1798</v>
      </c>
      <c r="L78" s="25">
        <v>300</v>
      </c>
      <c r="M78" s="25" t="s">
        <v>664</v>
      </c>
      <c r="N78" s="26" t="s">
        <v>1323</v>
      </c>
      <c r="O78" s="25">
        <v>49.606845999999997</v>
      </c>
      <c r="P78" s="25">
        <v>7.8032159999999999</v>
      </c>
      <c r="Q78">
        <v>2.1665999999999999</v>
      </c>
      <c r="R78">
        <v>18.068999999999999</v>
      </c>
      <c r="S78" s="25" t="s">
        <v>1538</v>
      </c>
      <c r="T78" s="25" t="s">
        <v>15</v>
      </c>
      <c r="U78" s="25" t="s">
        <v>17</v>
      </c>
      <c r="V78" s="26" t="s">
        <v>1321</v>
      </c>
    </row>
    <row r="79" spans="1:22" s="25" customFormat="1" x14ac:dyDescent="0.25">
      <c r="A79" s="25">
        <v>78</v>
      </c>
      <c r="B79" s="27" t="s">
        <v>137</v>
      </c>
      <c r="C79" s="25">
        <v>1</v>
      </c>
      <c r="D79" s="25">
        <v>1</v>
      </c>
      <c r="E79" s="25">
        <v>305</v>
      </c>
      <c r="F79" s="25" t="s">
        <v>588</v>
      </c>
      <c r="G79" s="25" t="s">
        <v>266</v>
      </c>
      <c r="H79" s="25" t="s">
        <v>267</v>
      </c>
      <c r="I79" s="25" t="s">
        <v>1432</v>
      </c>
      <c r="J79" s="25">
        <v>287</v>
      </c>
      <c r="K79" s="25" t="s">
        <v>1453</v>
      </c>
      <c r="L79" s="25">
        <v>280</v>
      </c>
      <c r="M79" s="25" t="s">
        <v>701</v>
      </c>
      <c r="N79" s="26" t="s">
        <v>698</v>
      </c>
      <c r="O79" s="25">
        <v>48.825941999999998</v>
      </c>
      <c r="P79" s="25">
        <v>8.3529070000000001</v>
      </c>
      <c r="Q79">
        <v>8.3114000000000008</v>
      </c>
      <c r="R79">
        <v>22.508700000000001</v>
      </c>
      <c r="S79" s="25" t="s">
        <v>1538</v>
      </c>
      <c r="T79" s="25" t="s">
        <v>14</v>
      </c>
      <c r="U79" s="25" t="s">
        <v>17</v>
      </c>
      <c r="V79" s="26" t="s">
        <v>699</v>
      </c>
    </row>
    <row r="80" spans="1:22" s="25" customFormat="1" ht="105" x14ac:dyDescent="0.25">
      <c r="A80" s="25">
        <v>79</v>
      </c>
      <c r="B80" s="27" t="s">
        <v>1515</v>
      </c>
      <c r="C80" s="25">
        <v>9</v>
      </c>
      <c r="D80" s="25">
        <v>3</v>
      </c>
      <c r="E80" s="25">
        <v>315</v>
      </c>
      <c r="F80" s="25" t="s">
        <v>588</v>
      </c>
      <c r="G80" s="25" t="s">
        <v>266</v>
      </c>
      <c r="H80" s="25" t="s">
        <v>267</v>
      </c>
      <c r="J80" s="25">
        <v>286</v>
      </c>
      <c r="K80" s="25" t="s">
        <v>1453</v>
      </c>
      <c r="L80" s="25">
        <v>280</v>
      </c>
      <c r="M80" s="26" t="s">
        <v>664</v>
      </c>
      <c r="N80" s="26" t="s">
        <v>663</v>
      </c>
      <c r="O80" s="25">
        <v>50.119478000000001</v>
      </c>
      <c r="P80" s="25">
        <v>8.3904040000000002</v>
      </c>
      <c r="Q80">
        <v>9.5770999999999997</v>
      </c>
      <c r="R80">
        <v>22.236999999999998</v>
      </c>
      <c r="S80" s="25" t="s">
        <v>1538</v>
      </c>
      <c r="T80" s="25" t="s">
        <v>14</v>
      </c>
      <c r="U80" s="25" t="s">
        <v>17</v>
      </c>
      <c r="V80" s="26" t="s">
        <v>771</v>
      </c>
    </row>
    <row r="81" spans="1:22" s="25" customFormat="1" x14ac:dyDescent="0.25">
      <c r="A81" s="25">
        <v>80</v>
      </c>
      <c r="B81" s="27" t="s">
        <v>36</v>
      </c>
      <c r="C81" s="25">
        <v>1</v>
      </c>
      <c r="D81" s="25">
        <v>1</v>
      </c>
      <c r="E81" s="25">
        <v>305</v>
      </c>
      <c r="F81" s="25" t="s">
        <v>588</v>
      </c>
      <c r="G81" s="25" t="s">
        <v>266</v>
      </c>
      <c r="H81" s="25" t="s">
        <v>267</v>
      </c>
      <c r="I81" s="25" t="s">
        <v>1453</v>
      </c>
      <c r="J81" s="25">
        <v>282</v>
      </c>
      <c r="K81" s="25" t="s">
        <v>1453</v>
      </c>
      <c r="L81" s="25">
        <v>280</v>
      </c>
      <c r="M81" s="25" t="s">
        <v>589</v>
      </c>
      <c r="N81" s="26" t="s">
        <v>585</v>
      </c>
      <c r="O81" s="25">
        <v>50.809652</v>
      </c>
      <c r="P81" s="25">
        <v>10.618878</v>
      </c>
      <c r="Q81">
        <v>10.586399999999999</v>
      </c>
      <c r="R81">
        <v>23.4682</v>
      </c>
      <c r="S81" s="25" t="s">
        <v>1538</v>
      </c>
      <c r="T81" s="25" t="s">
        <v>14</v>
      </c>
      <c r="U81" s="25" t="s">
        <v>17</v>
      </c>
      <c r="V81" s="26" t="s">
        <v>587</v>
      </c>
    </row>
    <row r="82" spans="1:22" s="25" customFormat="1" x14ac:dyDescent="0.25">
      <c r="A82" s="25">
        <v>81</v>
      </c>
      <c r="B82" s="27" t="s">
        <v>104</v>
      </c>
      <c r="C82" s="25">
        <v>1</v>
      </c>
      <c r="D82" s="25">
        <v>1</v>
      </c>
      <c r="E82" s="25">
        <v>313</v>
      </c>
      <c r="F82" s="25" t="s">
        <v>45</v>
      </c>
      <c r="G82" s="25" t="s">
        <v>24</v>
      </c>
      <c r="H82" s="25" t="s">
        <v>23</v>
      </c>
      <c r="I82" s="25" t="s">
        <v>1433</v>
      </c>
      <c r="J82" s="25">
        <v>353</v>
      </c>
      <c r="K82" s="25" t="s">
        <v>1796</v>
      </c>
      <c r="L82" s="25">
        <v>360</v>
      </c>
      <c r="M82" s="25" t="s">
        <v>107</v>
      </c>
      <c r="N82" s="26" t="s">
        <v>105</v>
      </c>
      <c r="O82" s="25">
        <v>53.867128000000001</v>
      </c>
      <c r="P82" s="25">
        <v>-9.8662179999999999</v>
      </c>
      <c r="Q82">
        <v>-16.349</v>
      </c>
      <c r="R82">
        <v>-5.8449</v>
      </c>
      <c r="S82" s="25" t="s">
        <v>1538</v>
      </c>
      <c r="T82" s="25" t="s">
        <v>14</v>
      </c>
      <c r="U82" s="25" t="s">
        <v>17</v>
      </c>
      <c r="V82" s="26" t="s">
        <v>106</v>
      </c>
    </row>
    <row r="83" spans="1:22" s="25" customFormat="1" x14ac:dyDescent="0.25">
      <c r="A83" s="25">
        <v>82</v>
      </c>
      <c r="B83" s="27" t="s">
        <v>44</v>
      </c>
      <c r="C83" s="25">
        <v>1</v>
      </c>
      <c r="D83" s="25">
        <v>1</v>
      </c>
      <c r="E83" s="25">
        <v>313</v>
      </c>
      <c r="F83" s="25" t="s">
        <v>45</v>
      </c>
      <c r="G83" s="25" t="s">
        <v>24</v>
      </c>
      <c r="H83" s="25" t="s">
        <v>23</v>
      </c>
      <c r="J83" s="25">
        <v>341</v>
      </c>
      <c r="K83" s="25" t="s">
        <v>1797</v>
      </c>
      <c r="L83" s="25">
        <v>340</v>
      </c>
      <c r="M83" s="25" t="s">
        <v>48</v>
      </c>
      <c r="N83" s="25" t="s">
        <v>46</v>
      </c>
      <c r="O83" s="25">
        <v>54.639797000000002</v>
      </c>
      <c r="P83" s="25">
        <v>-8.3875840000000004</v>
      </c>
      <c r="Q83">
        <v>-6.1916000000000002</v>
      </c>
      <c r="R83">
        <v>-3.0829</v>
      </c>
      <c r="S83" s="25" t="s">
        <v>1538</v>
      </c>
      <c r="T83" s="26" t="s">
        <v>13</v>
      </c>
      <c r="U83" s="25" t="s">
        <v>16</v>
      </c>
      <c r="V83" s="26" t="s">
        <v>47</v>
      </c>
    </row>
    <row r="84" spans="1:22" s="25" customFormat="1" ht="30" x14ac:dyDescent="0.25">
      <c r="A84" s="25">
        <v>83</v>
      </c>
      <c r="B84" s="27" t="s">
        <v>1196</v>
      </c>
      <c r="C84" s="25">
        <v>4</v>
      </c>
      <c r="D84" s="25">
        <v>4</v>
      </c>
      <c r="E84" s="25">
        <v>307</v>
      </c>
      <c r="F84" s="25" t="s">
        <v>861</v>
      </c>
      <c r="G84" s="25" t="s">
        <v>266</v>
      </c>
      <c r="H84" s="25" t="s">
        <v>267</v>
      </c>
      <c r="I84" s="25" t="s">
        <v>1432</v>
      </c>
      <c r="J84" s="25">
        <v>287</v>
      </c>
      <c r="K84" s="25" t="s">
        <v>1453</v>
      </c>
      <c r="L84" s="25">
        <v>280</v>
      </c>
      <c r="M84" s="25" t="s">
        <v>886</v>
      </c>
      <c r="N84" s="26" t="s">
        <v>1197</v>
      </c>
      <c r="O84" s="25">
        <v>46.564697000000002</v>
      </c>
      <c r="P84" s="25">
        <v>11.074066999999999</v>
      </c>
      <c r="Q84">
        <v>-1.8365</v>
      </c>
      <c r="R84">
        <v>26.087800000000001</v>
      </c>
      <c r="S84" s="25" t="s">
        <v>1538</v>
      </c>
      <c r="T84" s="25" t="s">
        <v>15</v>
      </c>
      <c r="U84" s="25" t="s">
        <v>17</v>
      </c>
      <c r="V84" s="26" t="s">
        <v>1195</v>
      </c>
    </row>
    <row r="85" spans="1:22" s="25" customFormat="1" ht="105" x14ac:dyDescent="0.25">
      <c r="A85" s="25">
        <v>84</v>
      </c>
      <c r="B85" s="27" t="s">
        <v>1480</v>
      </c>
      <c r="C85" s="25">
        <v>12</v>
      </c>
      <c r="D85" s="25">
        <v>7</v>
      </c>
      <c r="E85" s="25">
        <v>307</v>
      </c>
      <c r="F85" s="25" t="s">
        <v>861</v>
      </c>
      <c r="G85" s="25" t="s">
        <v>266</v>
      </c>
      <c r="H85" s="25" t="s">
        <v>267</v>
      </c>
      <c r="I85" s="25" t="s">
        <v>1434</v>
      </c>
      <c r="J85" s="25">
        <v>278</v>
      </c>
      <c r="K85" s="25" t="s">
        <v>1453</v>
      </c>
      <c r="L85" s="25">
        <v>280</v>
      </c>
      <c r="M85" s="25" t="s">
        <v>860</v>
      </c>
      <c r="N85" s="26" t="s">
        <v>859</v>
      </c>
      <c r="O85" s="25">
        <v>45.937736000000001</v>
      </c>
      <c r="P85" s="25">
        <v>10.633381999999999</v>
      </c>
      <c r="Q85">
        <v>-2.0063</v>
      </c>
      <c r="R85">
        <v>25.411300000000001</v>
      </c>
      <c r="S85" s="25" t="s">
        <v>1538</v>
      </c>
      <c r="T85" s="25" t="s">
        <v>15</v>
      </c>
      <c r="U85" s="25" t="s">
        <v>18</v>
      </c>
      <c r="V85" s="26" t="s">
        <v>866</v>
      </c>
    </row>
    <row r="86" spans="1:22" s="25" customFormat="1" ht="30" x14ac:dyDescent="0.25">
      <c r="A86" s="25">
        <v>85</v>
      </c>
      <c r="B86" s="27" t="s">
        <v>1178</v>
      </c>
      <c r="C86" s="25">
        <v>2</v>
      </c>
      <c r="D86" s="25">
        <v>1</v>
      </c>
      <c r="E86" s="25">
        <v>307</v>
      </c>
      <c r="F86" s="25" t="s">
        <v>861</v>
      </c>
      <c r="G86" s="25" t="s">
        <v>266</v>
      </c>
      <c r="H86" s="25" t="s">
        <v>267</v>
      </c>
      <c r="I86" s="25" t="s">
        <v>1434</v>
      </c>
      <c r="J86" s="25">
        <v>278</v>
      </c>
      <c r="K86" s="25" t="s">
        <v>1453</v>
      </c>
      <c r="L86" s="25">
        <v>280</v>
      </c>
      <c r="M86" s="25" t="s">
        <v>1173</v>
      </c>
      <c r="N86" s="26" t="s">
        <v>1190</v>
      </c>
      <c r="O86" s="25">
        <v>46.035532000000003</v>
      </c>
      <c r="P86" s="25">
        <v>9.8970219999999998</v>
      </c>
      <c r="Q86">
        <v>-1.5497000000000001</v>
      </c>
      <c r="R86">
        <v>25.160499999999999</v>
      </c>
      <c r="S86" s="25" t="s">
        <v>1538</v>
      </c>
      <c r="T86" s="25" t="s">
        <v>15</v>
      </c>
      <c r="U86" s="25" t="s">
        <v>17</v>
      </c>
      <c r="V86" s="26" t="s">
        <v>1174</v>
      </c>
    </row>
    <row r="87" spans="1:22" s="25" customFormat="1" x14ac:dyDescent="0.25">
      <c r="A87" s="25">
        <v>86</v>
      </c>
      <c r="B87" s="27" t="s">
        <v>1189</v>
      </c>
      <c r="C87" s="25">
        <v>2</v>
      </c>
      <c r="D87" s="25">
        <v>2</v>
      </c>
      <c r="E87" s="25">
        <v>307</v>
      </c>
      <c r="F87" s="25" t="s">
        <v>861</v>
      </c>
      <c r="G87" s="25" t="s">
        <v>266</v>
      </c>
      <c r="H87" s="25" t="s">
        <v>267</v>
      </c>
      <c r="I87" s="25" t="s">
        <v>1434</v>
      </c>
      <c r="J87" s="25">
        <v>278</v>
      </c>
      <c r="K87" s="25" t="s">
        <v>1453</v>
      </c>
      <c r="L87" s="25">
        <v>280</v>
      </c>
      <c r="M87" s="25" t="s">
        <v>1173</v>
      </c>
      <c r="N87" s="26" t="s">
        <v>1190</v>
      </c>
      <c r="O87" s="25">
        <v>46.045251</v>
      </c>
      <c r="P87" s="25">
        <v>9.9074299999999997</v>
      </c>
      <c r="Q87">
        <v>-1.5490999999999999</v>
      </c>
      <c r="R87">
        <v>25.172599999999999</v>
      </c>
      <c r="S87" s="25" t="s">
        <v>1538</v>
      </c>
      <c r="T87" s="25" t="s">
        <v>15</v>
      </c>
      <c r="U87" s="25" t="s">
        <v>18</v>
      </c>
      <c r="V87" s="26" t="s">
        <v>1191</v>
      </c>
    </row>
    <row r="88" spans="1:22" s="25" customFormat="1" ht="30" x14ac:dyDescent="0.25">
      <c r="A88" s="25">
        <v>87</v>
      </c>
      <c r="B88" s="27" t="s">
        <v>1181</v>
      </c>
      <c r="C88" s="25">
        <v>3</v>
      </c>
      <c r="D88" s="25">
        <v>3</v>
      </c>
      <c r="E88" s="25">
        <v>307</v>
      </c>
      <c r="F88" s="25" t="s">
        <v>861</v>
      </c>
      <c r="G88" s="25" t="s">
        <v>24</v>
      </c>
      <c r="H88" s="25" t="s">
        <v>185</v>
      </c>
      <c r="I88" s="25" t="s">
        <v>186</v>
      </c>
      <c r="J88" s="25">
        <v>311</v>
      </c>
      <c r="K88" s="25" t="s">
        <v>1799</v>
      </c>
      <c r="L88" s="25">
        <v>320</v>
      </c>
      <c r="M88" s="25" t="s">
        <v>1183</v>
      </c>
      <c r="N88" s="26" t="s">
        <v>1184</v>
      </c>
      <c r="O88" s="25">
        <v>39.294058</v>
      </c>
      <c r="P88" s="25">
        <v>8.5182500000000001</v>
      </c>
      <c r="Q88">
        <v>-10.5258</v>
      </c>
      <c r="R88">
        <v>13.9581</v>
      </c>
      <c r="S88" s="25" t="s">
        <v>1538</v>
      </c>
      <c r="T88" s="25" t="s">
        <v>15</v>
      </c>
      <c r="U88" s="25" t="s">
        <v>17</v>
      </c>
      <c r="V88" s="26" t="s">
        <v>1182</v>
      </c>
    </row>
    <row r="89" spans="1:22" s="25" customFormat="1" ht="45" x14ac:dyDescent="0.25">
      <c r="A89" s="25">
        <v>88</v>
      </c>
      <c r="B89" s="27" t="s">
        <v>887</v>
      </c>
      <c r="C89" s="25">
        <v>3</v>
      </c>
      <c r="D89" s="25">
        <v>2</v>
      </c>
      <c r="E89" s="25">
        <v>307</v>
      </c>
      <c r="F89" s="25" t="s">
        <v>861</v>
      </c>
      <c r="G89" s="25" t="s">
        <v>266</v>
      </c>
      <c r="H89" s="25" t="s">
        <v>267</v>
      </c>
      <c r="I89" s="25" t="s">
        <v>1434</v>
      </c>
      <c r="J89" s="25">
        <v>278</v>
      </c>
      <c r="K89" s="25" t="s">
        <v>1453</v>
      </c>
      <c r="L89" s="25">
        <v>280</v>
      </c>
      <c r="M89" s="25" t="s">
        <v>886</v>
      </c>
      <c r="N89" s="26" t="s">
        <v>885</v>
      </c>
      <c r="O89" s="25">
        <v>46.436137000000002</v>
      </c>
      <c r="P89" s="26">
        <v>11.044832</v>
      </c>
      <c r="Q89">
        <v>-1.9039999999999999</v>
      </c>
      <c r="R89">
        <v>25.976500000000001</v>
      </c>
      <c r="S89" s="25" t="s">
        <v>1538</v>
      </c>
      <c r="T89" s="25" t="s">
        <v>15</v>
      </c>
      <c r="U89" s="25" t="s">
        <v>18</v>
      </c>
      <c r="V89" s="26" t="s">
        <v>883</v>
      </c>
    </row>
    <row r="90" spans="1:22" s="25" customFormat="1" ht="45" x14ac:dyDescent="0.25">
      <c r="A90" s="25">
        <v>89</v>
      </c>
      <c r="B90" s="27" t="s">
        <v>1488</v>
      </c>
      <c r="C90" s="25">
        <v>6</v>
      </c>
      <c r="D90" s="25">
        <v>5</v>
      </c>
      <c r="E90" s="25">
        <v>104</v>
      </c>
      <c r="F90" s="25" t="s">
        <v>1199</v>
      </c>
      <c r="G90" s="25" t="s">
        <v>24</v>
      </c>
      <c r="H90" s="25" t="s">
        <v>185</v>
      </c>
      <c r="I90" s="25" t="s">
        <v>212</v>
      </c>
      <c r="J90" s="25">
        <v>319</v>
      </c>
      <c r="K90" s="25" t="s">
        <v>1799</v>
      </c>
      <c r="L90" s="25">
        <v>320</v>
      </c>
      <c r="M90" s="26" t="s">
        <v>1528</v>
      </c>
      <c r="N90" s="26" t="s">
        <v>1198</v>
      </c>
      <c r="O90" s="25">
        <v>17.544827999999999</v>
      </c>
      <c r="P90" s="25">
        <v>-97.113767999999993</v>
      </c>
      <c r="Q90">
        <v>-16.661200000000001</v>
      </c>
      <c r="R90">
        <v>-52.5595</v>
      </c>
      <c r="S90" s="25" t="s">
        <v>1536</v>
      </c>
      <c r="T90" s="26" t="s">
        <v>13</v>
      </c>
      <c r="U90" s="25" t="s">
        <v>16</v>
      </c>
      <c r="V90" s="26" t="s">
        <v>1200</v>
      </c>
    </row>
    <row r="91" spans="1:22" s="25" customFormat="1" x14ac:dyDescent="0.25">
      <c r="A91" s="25">
        <v>90</v>
      </c>
      <c r="B91" s="27" t="s">
        <v>640</v>
      </c>
      <c r="C91" s="25">
        <v>1</v>
      </c>
      <c r="D91" s="25">
        <v>1</v>
      </c>
      <c r="E91" s="25">
        <v>707</v>
      </c>
      <c r="F91" s="25" t="s">
        <v>647</v>
      </c>
      <c r="G91" s="25" t="s">
        <v>266</v>
      </c>
      <c r="H91" s="25" t="s">
        <v>267</v>
      </c>
      <c r="J91" s="25">
        <v>286</v>
      </c>
      <c r="K91" s="25" t="s">
        <v>1453</v>
      </c>
      <c r="L91" s="25">
        <v>280</v>
      </c>
      <c r="M91" s="25" t="s">
        <v>644</v>
      </c>
      <c r="N91" s="26" t="s">
        <v>645</v>
      </c>
      <c r="O91" s="25">
        <v>33.578558000000001</v>
      </c>
      <c r="P91" s="25">
        <v>-6.2388060000000003</v>
      </c>
      <c r="Q91">
        <v>-0.73609999999999998</v>
      </c>
      <c r="R91">
        <v>5.0449999999999999</v>
      </c>
      <c r="S91" s="25" t="s">
        <v>1538</v>
      </c>
      <c r="T91" s="25" t="s">
        <v>14</v>
      </c>
      <c r="U91" s="25" t="s">
        <v>17</v>
      </c>
      <c r="V91" s="26" t="s">
        <v>646</v>
      </c>
    </row>
    <row r="92" spans="1:22" s="25" customFormat="1" ht="45" x14ac:dyDescent="0.25">
      <c r="A92" s="25">
        <v>91</v>
      </c>
      <c r="B92" s="27" t="s">
        <v>1202</v>
      </c>
      <c r="C92" s="25">
        <v>4</v>
      </c>
      <c r="D92" s="25">
        <v>4</v>
      </c>
      <c r="E92" s="25">
        <v>707</v>
      </c>
      <c r="F92" s="25" t="s">
        <v>647</v>
      </c>
      <c r="G92" s="25" t="s">
        <v>266</v>
      </c>
      <c r="H92" s="25" t="s">
        <v>267</v>
      </c>
      <c r="I92" s="25" t="s">
        <v>1432</v>
      </c>
      <c r="J92" s="25">
        <v>287</v>
      </c>
      <c r="K92" s="25" t="s">
        <v>1453</v>
      </c>
      <c r="L92" s="25">
        <v>280</v>
      </c>
      <c r="M92" s="25" t="s">
        <v>1204</v>
      </c>
      <c r="N92" s="26" t="s">
        <v>1203</v>
      </c>
      <c r="O92" s="25">
        <v>31.896049999999999</v>
      </c>
      <c r="P92" s="25">
        <v>-8.3648559999999996</v>
      </c>
      <c r="Q92">
        <v>-0.56179999999999997</v>
      </c>
      <c r="R92">
        <v>2.5956999999999999</v>
      </c>
      <c r="S92" s="25" t="s">
        <v>1538</v>
      </c>
      <c r="T92" s="25" t="s">
        <v>14</v>
      </c>
      <c r="U92" s="25" t="s">
        <v>17</v>
      </c>
      <c r="V92" s="26" t="s">
        <v>1206</v>
      </c>
    </row>
    <row r="93" spans="1:22" s="25" customFormat="1" x14ac:dyDescent="0.25">
      <c r="A93" s="25">
        <v>92</v>
      </c>
      <c r="B93" s="27" t="s">
        <v>1213</v>
      </c>
      <c r="C93" s="25">
        <v>2</v>
      </c>
      <c r="D93" s="25">
        <v>2</v>
      </c>
      <c r="E93" s="25">
        <v>313</v>
      </c>
      <c r="F93" s="25" t="s">
        <v>26</v>
      </c>
      <c r="G93" s="25" t="s">
        <v>24</v>
      </c>
      <c r="H93" s="25" t="s">
        <v>23</v>
      </c>
      <c r="I93" s="25" t="s">
        <v>38</v>
      </c>
      <c r="J93" s="25">
        <v>327</v>
      </c>
      <c r="K93" s="25" t="s">
        <v>1799</v>
      </c>
      <c r="L93" s="25">
        <v>320</v>
      </c>
      <c r="M93" s="25" t="s">
        <v>27</v>
      </c>
      <c r="N93" s="26" t="s">
        <v>1214</v>
      </c>
      <c r="O93" s="25">
        <v>55.707706999999999</v>
      </c>
      <c r="P93" s="25">
        <v>-5.2174800000000001</v>
      </c>
      <c r="Q93">
        <v>0.96</v>
      </c>
      <c r="R93">
        <v>4.6345000000000001</v>
      </c>
      <c r="S93" s="25" t="s">
        <v>1538</v>
      </c>
      <c r="T93" s="26" t="s">
        <v>13</v>
      </c>
      <c r="U93" s="25" t="s">
        <v>17</v>
      </c>
      <c r="V93" s="26" t="s">
        <v>1461</v>
      </c>
    </row>
    <row r="94" spans="1:22" s="25" customFormat="1" ht="30" x14ac:dyDescent="0.25">
      <c r="A94" s="25">
        <v>93</v>
      </c>
      <c r="B94" s="27" t="s">
        <v>1232</v>
      </c>
      <c r="C94" s="25">
        <v>4</v>
      </c>
      <c r="D94" s="25">
        <v>4</v>
      </c>
      <c r="E94" s="25">
        <v>313</v>
      </c>
      <c r="F94" s="25" t="s">
        <v>26</v>
      </c>
      <c r="G94" s="25" t="s">
        <v>24</v>
      </c>
      <c r="H94" s="25" t="s">
        <v>23</v>
      </c>
      <c r="I94" s="25" t="s">
        <v>38</v>
      </c>
      <c r="J94" s="25">
        <v>327</v>
      </c>
      <c r="K94" s="25" t="s">
        <v>1799</v>
      </c>
      <c r="L94" s="25">
        <v>320</v>
      </c>
      <c r="M94" s="25" t="s">
        <v>27</v>
      </c>
      <c r="N94" s="26" t="s">
        <v>1214</v>
      </c>
      <c r="O94" s="25">
        <v>55.802028</v>
      </c>
      <c r="P94" s="25">
        <v>-4.264246</v>
      </c>
      <c r="Q94">
        <v>1.1131</v>
      </c>
      <c r="R94">
        <v>5.1573000000000002</v>
      </c>
      <c r="S94" s="25" t="s">
        <v>1538</v>
      </c>
      <c r="T94" s="25" t="s">
        <v>14</v>
      </c>
      <c r="U94" s="25" t="s">
        <v>17</v>
      </c>
      <c r="V94" s="26" t="s">
        <v>1233</v>
      </c>
    </row>
    <row r="95" spans="1:22" s="25" customFormat="1" ht="62.25" customHeight="1" x14ac:dyDescent="0.25">
      <c r="A95" s="25">
        <v>94</v>
      </c>
      <c r="B95" s="27" t="s">
        <v>28</v>
      </c>
      <c r="C95" s="25">
        <v>1</v>
      </c>
      <c r="D95" s="25">
        <v>1</v>
      </c>
      <c r="E95" s="25">
        <v>313</v>
      </c>
      <c r="F95" s="25" t="s">
        <v>26</v>
      </c>
      <c r="G95" s="25" t="s">
        <v>24</v>
      </c>
      <c r="H95" s="25" t="s">
        <v>23</v>
      </c>
      <c r="I95" s="25" t="s">
        <v>1450</v>
      </c>
      <c r="J95" s="25">
        <v>339</v>
      </c>
      <c r="K95" s="25" t="s">
        <v>1797</v>
      </c>
      <c r="L95" s="25">
        <v>340</v>
      </c>
      <c r="M95" s="25" t="s">
        <v>27</v>
      </c>
      <c r="N95" s="26" t="s">
        <v>1212</v>
      </c>
      <c r="O95" s="25">
        <v>56.332434999999997</v>
      </c>
      <c r="P95" s="25">
        <v>-2.7742439999999999</v>
      </c>
      <c r="Q95">
        <v>-4.1383000000000001</v>
      </c>
      <c r="R95">
        <v>-0.112</v>
      </c>
      <c r="S95" s="25" t="s">
        <v>1538</v>
      </c>
      <c r="T95" s="25" t="s">
        <v>14</v>
      </c>
      <c r="U95" s="25" t="s">
        <v>18</v>
      </c>
      <c r="V95" s="26" t="s">
        <v>1210</v>
      </c>
    </row>
    <row r="96" spans="1:22" s="25" customFormat="1" x14ac:dyDescent="0.25">
      <c r="A96" s="25">
        <v>95</v>
      </c>
      <c r="B96" s="27" t="s">
        <v>98</v>
      </c>
      <c r="C96" s="25">
        <v>2</v>
      </c>
      <c r="D96" s="25">
        <v>2</v>
      </c>
      <c r="E96" s="25">
        <v>313</v>
      </c>
      <c r="F96" s="25" t="s">
        <v>26</v>
      </c>
      <c r="G96" s="25" t="s">
        <v>24</v>
      </c>
      <c r="H96" s="25" t="s">
        <v>23</v>
      </c>
      <c r="I96" s="25" t="s">
        <v>1450</v>
      </c>
      <c r="J96" s="25">
        <v>339</v>
      </c>
      <c r="K96" s="25" t="s">
        <v>1797</v>
      </c>
      <c r="L96" s="25">
        <v>340</v>
      </c>
      <c r="M96" s="25" t="s">
        <v>27</v>
      </c>
      <c r="N96" s="25" t="s">
        <v>25</v>
      </c>
      <c r="O96" s="25">
        <v>57.684952000000003</v>
      </c>
      <c r="P96" s="25">
        <v>-2.686788</v>
      </c>
      <c r="Q96">
        <v>-2.7957000000000001</v>
      </c>
      <c r="R96">
        <v>-0.28220000000000001</v>
      </c>
      <c r="S96" s="25" t="s">
        <v>1538</v>
      </c>
      <c r="T96" s="26" t="s">
        <v>13</v>
      </c>
      <c r="U96" s="25" t="s">
        <v>17</v>
      </c>
      <c r="V96" s="26" t="s">
        <v>22</v>
      </c>
    </row>
    <row r="97" spans="1:22" s="25" customFormat="1" ht="90" x14ac:dyDescent="0.25">
      <c r="A97" s="25">
        <v>96</v>
      </c>
      <c r="B97" s="27" t="s">
        <v>1481</v>
      </c>
      <c r="C97" s="25">
        <v>8</v>
      </c>
      <c r="D97" s="25">
        <v>5</v>
      </c>
      <c r="E97" s="25">
        <v>701</v>
      </c>
      <c r="F97" s="25" t="s">
        <v>236</v>
      </c>
      <c r="G97" s="25" t="s">
        <v>24</v>
      </c>
      <c r="H97" s="25" t="s">
        <v>185</v>
      </c>
      <c r="J97" s="25">
        <v>310</v>
      </c>
      <c r="K97" s="25" t="s">
        <v>1798</v>
      </c>
      <c r="L97" s="25">
        <v>300</v>
      </c>
      <c r="M97" s="26" t="s">
        <v>235</v>
      </c>
      <c r="N97" s="26" t="s">
        <v>234</v>
      </c>
      <c r="O97" s="25">
        <v>-27.937280999999999</v>
      </c>
      <c r="P97" s="25">
        <v>31.191949999999999</v>
      </c>
      <c r="Q97">
        <v>-71.659700000000001</v>
      </c>
      <c r="R97">
        <v>-48.533000000000001</v>
      </c>
      <c r="S97" s="25" t="s">
        <v>1539</v>
      </c>
      <c r="T97" s="26" t="s">
        <v>13</v>
      </c>
      <c r="U97" s="25" t="s">
        <v>16</v>
      </c>
      <c r="V97" s="26" t="s">
        <v>756</v>
      </c>
    </row>
    <row r="98" spans="1:22" s="25" customFormat="1" ht="75" x14ac:dyDescent="0.25">
      <c r="A98" s="25">
        <v>97</v>
      </c>
      <c r="B98" s="27" t="s">
        <v>1482</v>
      </c>
      <c r="C98" s="25">
        <v>6</v>
      </c>
      <c r="D98" s="25">
        <v>5</v>
      </c>
      <c r="E98" s="25">
        <v>701</v>
      </c>
      <c r="F98" s="25" t="s">
        <v>236</v>
      </c>
      <c r="G98" s="25" t="s">
        <v>266</v>
      </c>
      <c r="H98" s="25" t="s">
        <v>267</v>
      </c>
      <c r="J98" s="25">
        <v>286</v>
      </c>
      <c r="K98" s="25" t="s">
        <v>1453</v>
      </c>
      <c r="L98" s="25">
        <v>280</v>
      </c>
      <c r="M98" s="26" t="s">
        <v>235</v>
      </c>
      <c r="N98" s="26" t="s">
        <v>1443</v>
      </c>
      <c r="O98" s="25">
        <v>-33.191667000000002</v>
      </c>
      <c r="P98" s="25">
        <v>20.833333</v>
      </c>
      <c r="Q98">
        <v>-58.739899999999999</v>
      </c>
      <c r="R98">
        <v>-45.114899999999999</v>
      </c>
      <c r="S98" s="25" t="s">
        <v>1539</v>
      </c>
      <c r="T98" s="26" t="s">
        <v>13</v>
      </c>
      <c r="U98" s="25" t="s">
        <v>16</v>
      </c>
      <c r="V98" s="26" t="s">
        <v>767</v>
      </c>
    </row>
    <row r="99" spans="1:22" s="25" customFormat="1" ht="105" x14ac:dyDescent="0.25">
      <c r="A99" s="25">
        <v>98</v>
      </c>
      <c r="B99" s="27" t="s">
        <v>1523</v>
      </c>
      <c r="C99" s="25">
        <v>9</v>
      </c>
      <c r="D99" s="25">
        <v>7</v>
      </c>
      <c r="E99" s="25">
        <v>701</v>
      </c>
      <c r="F99" s="25" t="s">
        <v>236</v>
      </c>
      <c r="G99" s="25" t="s">
        <v>266</v>
      </c>
      <c r="H99" s="25" t="s">
        <v>267</v>
      </c>
      <c r="I99" s="25" t="s">
        <v>1434</v>
      </c>
      <c r="J99" s="25">
        <v>278</v>
      </c>
      <c r="K99" s="25" t="s">
        <v>1453</v>
      </c>
      <c r="L99" s="25">
        <v>280</v>
      </c>
      <c r="M99" s="26" t="s">
        <v>235</v>
      </c>
      <c r="N99" s="26" t="s">
        <v>441</v>
      </c>
      <c r="O99" s="25">
        <v>-27.893415000000001</v>
      </c>
      <c r="P99" s="25">
        <v>31.517064999999999</v>
      </c>
      <c r="Q99">
        <v>-66.781700000000001</v>
      </c>
      <c r="R99">
        <v>-29.805399999999999</v>
      </c>
      <c r="S99" s="25" t="s">
        <v>1539</v>
      </c>
      <c r="T99" s="26" t="s">
        <v>13</v>
      </c>
      <c r="U99" s="25" t="s">
        <v>16</v>
      </c>
      <c r="V99" s="26" t="s">
        <v>768</v>
      </c>
    </row>
    <row r="100" spans="1:22" s="25" customFormat="1" x14ac:dyDescent="0.25">
      <c r="A100" s="25">
        <v>99</v>
      </c>
      <c r="B100" s="20" t="s">
        <v>36</v>
      </c>
      <c r="C100" s="19">
        <v>1</v>
      </c>
      <c r="D100" s="19">
        <v>1</v>
      </c>
      <c r="E100" s="25">
        <v>304</v>
      </c>
      <c r="F100" s="19" t="s">
        <v>203</v>
      </c>
      <c r="G100" s="19" t="s">
        <v>24</v>
      </c>
      <c r="H100" s="19" t="s">
        <v>185</v>
      </c>
      <c r="I100" s="19" t="s">
        <v>1444</v>
      </c>
      <c r="J100" s="19">
        <v>305</v>
      </c>
      <c r="K100" s="25" t="s">
        <v>1798</v>
      </c>
      <c r="L100" s="19">
        <v>300</v>
      </c>
      <c r="M100" s="21" t="s">
        <v>333</v>
      </c>
      <c r="N100" s="21" t="s">
        <v>334</v>
      </c>
      <c r="O100" s="19">
        <v>38.659128000000003</v>
      </c>
      <c r="P100" s="19">
        <v>-4.1795390000000001</v>
      </c>
      <c r="Q100">
        <v>-8.1370000000000005</v>
      </c>
      <c r="R100">
        <v>10.0679</v>
      </c>
      <c r="S100" s="19" t="s">
        <v>1537</v>
      </c>
      <c r="T100" s="26" t="s">
        <v>13</v>
      </c>
      <c r="U100" s="19" t="s">
        <v>17</v>
      </c>
      <c r="V100" s="21" t="s">
        <v>332</v>
      </c>
    </row>
    <row r="101" spans="1:22" s="25" customFormat="1" x14ac:dyDescent="0.25">
      <c r="A101" s="25">
        <v>100</v>
      </c>
      <c r="B101" s="27" t="s">
        <v>632</v>
      </c>
      <c r="C101" s="25">
        <v>2</v>
      </c>
      <c r="D101" s="25">
        <v>2</v>
      </c>
      <c r="E101" s="25">
        <v>304</v>
      </c>
      <c r="F101" s="25" t="s">
        <v>203</v>
      </c>
      <c r="G101" s="25" t="s">
        <v>266</v>
      </c>
      <c r="H101" s="25" t="s">
        <v>267</v>
      </c>
      <c r="I101" s="25" t="s">
        <v>1432</v>
      </c>
      <c r="J101" s="25">
        <v>287</v>
      </c>
      <c r="K101" s="25" t="s">
        <v>1453</v>
      </c>
      <c r="L101" s="25">
        <v>280</v>
      </c>
      <c r="M101" s="25" t="s">
        <v>633</v>
      </c>
      <c r="N101" s="26" t="s">
        <v>630</v>
      </c>
      <c r="O101" s="25">
        <v>43.133249999999997</v>
      </c>
      <c r="P101" s="25">
        <v>-5.2871579999999998</v>
      </c>
      <c r="Q101">
        <v>3.2625999999999999</v>
      </c>
      <c r="R101">
        <v>15.188599999999999</v>
      </c>
      <c r="S101" s="25" t="s">
        <v>1538</v>
      </c>
      <c r="T101" s="25" t="s">
        <v>14</v>
      </c>
      <c r="U101" s="25" t="s">
        <v>17</v>
      </c>
      <c r="V101" s="26" t="s">
        <v>631</v>
      </c>
    </row>
    <row r="102" spans="1:22" s="25" customFormat="1" ht="45" x14ac:dyDescent="0.25">
      <c r="A102" s="25">
        <v>101</v>
      </c>
      <c r="B102" s="27" t="s">
        <v>695</v>
      </c>
      <c r="C102" s="25">
        <v>4</v>
      </c>
      <c r="D102" s="25">
        <v>4</v>
      </c>
      <c r="E102" s="25">
        <v>304</v>
      </c>
      <c r="F102" s="25" t="s">
        <v>203</v>
      </c>
      <c r="G102" s="25" t="s">
        <v>266</v>
      </c>
      <c r="H102" s="25" t="s">
        <v>267</v>
      </c>
      <c r="J102" s="25">
        <v>286</v>
      </c>
      <c r="K102" s="25" t="s">
        <v>1453</v>
      </c>
      <c r="L102" s="25">
        <v>280</v>
      </c>
      <c r="M102" s="25" t="s">
        <v>633</v>
      </c>
      <c r="N102" s="26" t="s">
        <v>694</v>
      </c>
      <c r="O102" s="25">
        <v>43.133249999999997</v>
      </c>
      <c r="P102" s="25">
        <v>-5.2871579999999998</v>
      </c>
      <c r="Q102">
        <v>3.2625999999999999</v>
      </c>
      <c r="R102">
        <v>15.188599999999999</v>
      </c>
      <c r="S102" s="25" t="s">
        <v>1538</v>
      </c>
      <c r="T102" s="25" t="s">
        <v>14</v>
      </c>
      <c r="U102" s="25" t="s">
        <v>17</v>
      </c>
      <c r="V102" s="26" t="s">
        <v>631</v>
      </c>
    </row>
    <row r="103" spans="1:22" s="25" customFormat="1" ht="60" x14ac:dyDescent="0.25">
      <c r="A103" s="25">
        <v>102</v>
      </c>
      <c r="B103" s="27" t="s">
        <v>1512</v>
      </c>
      <c r="C103" s="25">
        <v>5</v>
      </c>
      <c r="D103" s="25">
        <v>3</v>
      </c>
      <c r="E103" s="25">
        <v>304</v>
      </c>
      <c r="F103" s="25" t="s">
        <v>203</v>
      </c>
      <c r="G103" s="25" t="s">
        <v>24</v>
      </c>
      <c r="H103" s="25" t="s">
        <v>185</v>
      </c>
      <c r="I103" s="25" t="s">
        <v>186</v>
      </c>
      <c r="J103" s="25">
        <v>311</v>
      </c>
      <c r="K103" s="25" t="s">
        <v>1799</v>
      </c>
      <c r="L103" s="25">
        <v>320</v>
      </c>
      <c r="M103" s="26" t="s">
        <v>205</v>
      </c>
      <c r="N103" s="26" t="s">
        <v>204</v>
      </c>
      <c r="O103" s="25">
        <v>42.828018</v>
      </c>
      <c r="P103" s="25">
        <v>-4.7451290000000004</v>
      </c>
      <c r="Q103">
        <v>-9.7390000000000008</v>
      </c>
      <c r="R103">
        <v>8.8346999999999998</v>
      </c>
      <c r="S103" s="25" t="s">
        <v>1538</v>
      </c>
      <c r="T103" s="26" t="s">
        <v>13</v>
      </c>
      <c r="U103" s="25" t="s">
        <v>16</v>
      </c>
      <c r="V103" s="26" t="s">
        <v>1207</v>
      </c>
    </row>
    <row r="104" spans="1:22" s="25" customFormat="1" ht="135" x14ac:dyDescent="0.25">
      <c r="A104" s="25">
        <v>103</v>
      </c>
      <c r="B104" s="27" t="s">
        <v>1511</v>
      </c>
      <c r="C104" s="25">
        <v>12</v>
      </c>
      <c r="D104" s="25">
        <v>6</v>
      </c>
      <c r="E104" s="25">
        <v>202</v>
      </c>
      <c r="F104" s="25" t="s">
        <v>924</v>
      </c>
      <c r="G104" s="25" t="s">
        <v>24</v>
      </c>
      <c r="H104" s="25" t="s">
        <v>185</v>
      </c>
      <c r="J104" s="25">
        <v>310</v>
      </c>
      <c r="K104" s="25" t="s">
        <v>1798</v>
      </c>
      <c r="L104" s="25">
        <v>300</v>
      </c>
      <c r="M104" s="25" t="s">
        <v>927</v>
      </c>
      <c r="N104" s="26" t="s">
        <v>923</v>
      </c>
      <c r="O104" s="25">
        <v>-32.504860999999998</v>
      </c>
      <c r="P104" s="26">
        <v>-54.126193999999998</v>
      </c>
      <c r="Q104">
        <v>-54.136499999999998</v>
      </c>
      <c r="R104">
        <v>-46.298999999999999</v>
      </c>
      <c r="S104" s="25" t="s">
        <v>1539</v>
      </c>
      <c r="T104" s="25" t="s">
        <v>15</v>
      </c>
      <c r="U104" s="25" t="s">
        <v>17</v>
      </c>
      <c r="V104" s="26" t="s">
        <v>926</v>
      </c>
    </row>
    <row r="105" spans="1:22" s="25" customFormat="1" ht="30" x14ac:dyDescent="0.25">
      <c r="A105" s="25">
        <v>104</v>
      </c>
      <c r="B105" s="27" t="s">
        <v>524</v>
      </c>
      <c r="C105" s="25">
        <v>2</v>
      </c>
      <c r="D105" s="25">
        <v>2</v>
      </c>
      <c r="E105" s="25">
        <v>133</v>
      </c>
      <c r="F105" s="25" t="s">
        <v>92</v>
      </c>
      <c r="G105" s="25" t="s">
        <v>266</v>
      </c>
      <c r="H105" s="25" t="s">
        <v>267</v>
      </c>
      <c r="I105" s="25" t="s">
        <v>1432</v>
      </c>
      <c r="J105" s="25">
        <v>287</v>
      </c>
      <c r="K105" s="25" t="s">
        <v>1453</v>
      </c>
      <c r="L105" s="25">
        <v>280</v>
      </c>
      <c r="M105" s="25" t="s">
        <v>1440</v>
      </c>
      <c r="N105" s="26" t="s">
        <v>525</v>
      </c>
      <c r="O105" s="25">
        <v>34.766992000000002</v>
      </c>
      <c r="P105" s="25">
        <v>-107.14648699999999</v>
      </c>
      <c r="Q105">
        <v>8.0962999999999994</v>
      </c>
      <c r="R105">
        <v>-37.3491</v>
      </c>
      <c r="S105" s="25" t="s">
        <v>1536</v>
      </c>
      <c r="T105" s="26" t="s">
        <v>13</v>
      </c>
      <c r="U105" s="25" t="s">
        <v>16</v>
      </c>
      <c r="V105" s="26" t="s">
        <v>526</v>
      </c>
    </row>
    <row r="106" spans="1:22" s="25" customFormat="1" ht="75" x14ac:dyDescent="0.25">
      <c r="A106" s="25">
        <v>105</v>
      </c>
      <c r="B106" s="27" t="s">
        <v>1470</v>
      </c>
      <c r="C106" s="25">
        <v>6</v>
      </c>
      <c r="D106" s="25">
        <v>4</v>
      </c>
      <c r="E106" s="25">
        <v>101</v>
      </c>
      <c r="F106" s="25" t="s">
        <v>92</v>
      </c>
      <c r="G106" s="25" t="s">
        <v>266</v>
      </c>
      <c r="H106" s="25" t="s">
        <v>267</v>
      </c>
      <c r="I106" s="25" t="s">
        <v>1432</v>
      </c>
      <c r="J106" s="25">
        <v>287</v>
      </c>
      <c r="K106" s="25" t="s">
        <v>1453</v>
      </c>
      <c r="L106" s="25">
        <v>280</v>
      </c>
      <c r="M106" s="25" t="s">
        <v>1440</v>
      </c>
      <c r="N106" s="26" t="s">
        <v>525</v>
      </c>
      <c r="O106" s="25">
        <v>34.126840000000001</v>
      </c>
      <c r="P106" s="25">
        <v>-106.794161</v>
      </c>
      <c r="Q106">
        <v>5.6429</v>
      </c>
      <c r="R106">
        <v>-33.965800000000002</v>
      </c>
      <c r="S106" s="25" t="s">
        <v>1536</v>
      </c>
      <c r="T106" s="25" t="s">
        <v>14</v>
      </c>
      <c r="U106" s="25" t="s">
        <v>17</v>
      </c>
      <c r="V106" s="26" t="s">
        <v>654</v>
      </c>
    </row>
    <row r="107" spans="1:22" s="25" customFormat="1" ht="90" x14ac:dyDescent="0.25">
      <c r="A107" s="25">
        <v>106</v>
      </c>
      <c r="B107" s="27" t="s">
        <v>1471</v>
      </c>
      <c r="C107" s="25">
        <v>7</v>
      </c>
      <c r="D107" s="25">
        <v>4</v>
      </c>
      <c r="E107" s="25">
        <v>101</v>
      </c>
      <c r="F107" s="25" t="s">
        <v>92</v>
      </c>
      <c r="G107" s="25" t="s">
        <v>266</v>
      </c>
      <c r="H107" s="25" t="s">
        <v>267</v>
      </c>
      <c r="I107" s="25" t="s">
        <v>1432</v>
      </c>
      <c r="J107" s="25">
        <v>287</v>
      </c>
      <c r="K107" s="25" t="s">
        <v>1453</v>
      </c>
      <c r="L107" s="25">
        <v>280</v>
      </c>
      <c r="M107" s="25" t="s">
        <v>1440</v>
      </c>
      <c r="N107" s="26" t="s">
        <v>525</v>
      </c>
      <c r="O107" s="25">
        <v>33.349176999999997</v>
      </c>
      <c r="P107" s="25">
        <v>-107.093051</v>
      </c>
      <c r="Q107">
        <v>5.14</v>
      </c>
      <c r="R107">
        <v>-34.611800000000002</v>
      </c>
      <c r="S107" s="25" t="s">
        <v>1536</v>
      </c>
      <c r="T107" s="25" t="s">
        <v>14</v>
      </c>
      <c r="U107" s="25" t="s">
        <v>17</v>
      </c>
      <c r="V107" s="26" t="s">
        <v>752</v>
      </c>
    </row>
    <row r="108" spans="1:22" s="25" customFormat="1" x14ac:dyDescent="0.25">
      <c r="A108" s="25">
        <v>107</v>
      </c>
      <c r="B108" s="27" t="s">
        <v>807</v>
      </c>
      <c r="C108" s="25">
        <v>1</v>
      </c>
      <c r="D108" s="25">
        <v>1</v>
      </c>
      <c r="E108" s="25">
        <v>101</v>
      </c>
      <c r="F108" s="25" t="s">
        <v>92</v>
      </c>
      <c r="G108" s="25" t="s">
        <v>266</v>
      </c>
      <c r="H108" s="25" t="s">
        <v>267</v>
      </c>
      <c r="J108" s="25">
        <v>286</v>
      </c>
      <c r="K108" s="25" t="s">
        <v>1453</v>
      </c>
      <c r="L108" s="25">
        <v>280</v>
      </c>
      <c r="M108" s="25" t="s">
        <v>1436</v>
      </c>
      <c r="N108" s="26" t="s">
        <v>804</v>
      </c>
      <c r="O108" s="25">
        <v>41.016373999999999</v>
      </c>
      <c r="P108" s="25">
        <v>-105.691281</v>
      </c>
      <c r="Q108">
        <v>10.8523</v>
      </c>
      <c r="R108">
        <v>-29.323799999999999</v>
      </c>
      <c r="S108" s="25" t="s">
        <v>1536</v>
      </c>
      <c r="T108" s="25" t="s">
        <v>14</v>
      </c>
      <c r="U108" s="25" t="s">
        <v>18</v>
      </c>
      <c r="V108" s="26" t="s">
        <v>805</v>
      </c>
    </row>
    <row r="109" spans="1:22" s="25" customFormat="1" x14ac:dyDescent="0.25">
      <c r="A109" s="25">
        <v>108</v>
      </c>
      <c r="B109" s="27" t="s">
        <v>36</v>
      </c>
      <c r="C109" s="25">
        <v>1</v>
      </c>
      <c r="D109" s="25">
        <v>1</v>
      </c>
      <c r="E109" s="25">
        <v>133</v>
      </c>
      <c r="F109" s="25" t="s">
        <v>92</v>
      </c>
      <c r="G109" s="25" t="s">
        <v>266</v>
      </c>
      <c r="H109" s="25" t="s">
        <v>267</v>
      </c>
      <c r="J109" s="25">
        <v>286</v>
      </c>
      <c r="K109" s="25" t="s">
        <v>1453</v>
      </c>
      <c r="L109" s="25">
        <v>280</v>
      </c>
      <c r="M109" s="25" t="s">
        <v>1438</v>
      </c>
      <c r="N109" s="26" t="s">
        <v>1437</v>
      </c>
      <c r="O109" s="25">
        <v>37.337693999999999</v>
      </c>
      <c r="P109" s="25">
        <v>-110.23260399999999</v>
      </c>
      <c r="Q109">
        <v>11.6431</v>
      </c>
      <c r="R109">
        <v>-37.857799999999997</v>
      </c>
      <c r="S109" s="25" t="s">
        <v>1536</v>
      </c>
      <c r="T109" s="25" t="s">
        <v>14</v>
      </c>
      <c r="U109" s="25" t="s">
        <v>18</v>
      </c>
      <c r="V109" s="26" t="s">
        <v>803</v>
      </c>
    </row>
    <row r="110" spans="1:22" s="25" customFormat="1" ht="30" x14ac:dyDescent="0.25">
      <c r="A110" s="25">
        <v>109</v>
      </c>
      <c r="B110" s="27" t="s">
        <v>569</v>
      </c>
      <c r="C110" s="25">
        <v>3</v>
      </c>
      <c r="D110" s="25">
        <v>3</v>
      </c>
      <c r="E110" s="25">
        <v>101</v>
      </c>
      <c r="F110" s="25" t="s">
        <v>92</v>
      </c>
      <c r="G110" s="25" t="s">
        <v>266</v>
      </c>
      <c r="H110" s="25" t="s">
        <v>267</v>
      </c>
      <c r="I110" s="25" t="s">
        <v>1434</v>
      </c>
      <c r="J110" s="25">
        <v>278</v>
      </c>
      <c r="K110" s="25" t="s">
        <v>1453</v>
      </c>
      <c r="L110" s="25">
        <v>280</v>
      </c>
      <c r="M110" s="25" t="s">
        <v>1439</v>
      </c>
      <c r="N110" s="26" t="s">
        <v>572</v>
      </c>
      <c r="O110" s="25">
        <v>33.788252</v>
      </c>
      <c r="P110" s="25">
        <v>-99.185900000000004</v>
      </c>
      <c r="Q110">
        <v>1.9882</v>
      </c>
      <c r="R110">
        <v>-28.799399999999999</v>
      </c>
      <c r="S110" s="25" t="s">
        <v>1538</v>
      </c>
      <c r="T110" s="26" t="s">
        <v>13</v>
      </c>
      <c r="U110" s="25" t="s">
        <v>17</v>
      </c>
      <c r="V110" s="26" t="s">
        <v>571</v>
      </c>
    </row>
    <row r="111" spans="1:22" s="25" customFormat="1" ht="105" x14ac:dyDescent="0.25">
      <c r="A111" s="25">
        <v>110</v>
      </c>
      <c r="B111" s="27" t="s">
        <v>1479</v>
      </c>
      <c r="C111" s="25">
        <v>10</v>
      </c>
      <c r="D111" s="25">
        <v>7</v>
      </c>
      <c r="E111" s="25">
        <v>101</v>
      </c>
      <c r="F111" s="25" t="s">
        <v>92</v>
      </c>
      <c r="G111" s="25" t="s">
        <v>266</v>
      </c>
      <c r="H111" s="25" t="s">
        <v>267</v>
      </c>
      <c r="I111" s="25" t="s">
        <v>1434</v>
      </c>
      <c r="J111" s="25">
        <v>278</v>
      </c>
      <c r="K111" s="25" t="s">
        <v>1453</v>
      </c>
      <c r="L111" s="25">
        <v>280</v>
      </c>
      <c r="M111" s="25" t="s">
        <v>1440</v>
      </c>
      <c r="N111" s="26" t="s">
        <v>1569</v>
      </c>
      <c r="O111" s="25">
        <v>32.366219000000001</v>
      </c>
      <c r="P111" s="26">
        <v>-100.001859</v>
      </c>
      <c r="Q111">
        <v>1.1099000000000001</v>
      </c>
      <c r="R111">
        <v>-30.110600000000002</v>
      </c>
      <c r="S111" s="25" t="s">
        <v>1538</v>
      </c>
      <c r="T111" s="25" t="s">
        <v>15</v>
      </c>
      <c r="U111" s="25" t="s">
        <v>18</v>
      </c>
      <c r="V111" s="26" t="s">
        <v>821</v>
      </c>
    </row>
    <row r="112" spans="1:22" s="25" customFormat="1" ht="90" x14ac:dyDescent="0.25">
      <c r="A112" s="25">
        <v>111</v>
      </c>
      <c r="B112" s="27" t="s">
        <v>716</v>
      </c>
      <c r="C112" s="25">
        <v>7</v>
      </c>
      <c r="D112" s="25">
        <v>4</v>
      </c>
      <c r="E112" s="25">
        <v>133</v>
      </c>
      <c r="F112" s="25" t="s">
        <v>92</v>
      </c>
      <c r="G112" s="25" t="s">
        <v>266</v>
      </c>
      <c r="H112" s="25" t="s">
        <v>267</v>
      </c>
      <c r="I112" s="25" t="s">
        <v>1434</v>
      </c>
      <c r="J112" s="25">
        <v>278</v>
      </c>
      <c r="K112" s="25" t="s">
        <v>1453</v>
      </c>
      <c r="L112" s="25">
        <v>280</v>
      </c>
      <c r="M112" s="25" t="s">
        <v>1526</v>
      </c>
      <c r="N112" s="26" t="s">
        <v>715</v>
      </c>
      <c r="O112" s="25">
        <v>35.835306000000003</v>
      </c>
      <c r="P112" s="25">
        <v>-112.510446</v>
      </c>
      <c r="Q112">
        <v>11.5611</v>
      </c>
      <c r="R112">
        <v>-40.272500000000001</v>
      </c>
      <c r="S112" s="25" t="s">
        <v>1536</v>
      </c>
      <c r="T112" s="25" t="s">
        <v>14</v>
      </c>
      <c r="U112" s="25" t="s">
        <v>18</v>
      </c>
      <c r="V112" s="26" t="s">
        <v>1354</v>
      </c>
    </row>
    <row r="113" spans="1:22" s="25" customFormat="1" x14ac:dyDescent="0.25">
      <c r="A113" s="25">
        <v>112</v>
      </c>
      <c r="B113" s="27" t="s">
        <v>1251</v>
      </c>
      <c r="C113" s="25">
        <v>1</v>
      </c>
      <c r="D113" s="25">
        <v>1</v>
      </c>
      <c r="E113" s="25">
        <v>101</v>
      </c>
      <c r="F113" s="25" t="s">
        <v>92</v>
      </c>
      <c r="G113" s="25" t="s">
        <v>24</v>
      </c>
      <c r="H113" s="25" t="s">
        <v>185</v>
      </c>
      <c r="I113" s="25" t="s">
        <v>313</v>
      </c>
      <c r="J113" s="25">
        <v>301</v>
      </c>
      <c r="K113" s="25" t="s">
        <v>1798</v>
      </c>
      <c r="L113" s="25">
        <v>300</v>
      </c>
      <c r="M113" s="25" t="s">
        <v>97</v>
      </c>
      <c r="N113" s="26" t="s">
        <v>1250</v>
      </c>
      <c r="O113" s="25">
        <v>38.34308</v>
      </c>
      <c r="P113" s="25">
        <v>-82.599798000000007</v>
      </c>
      <c r="Q113">
        <v>-6.8112000000000004</v>
      </c>
      <c r="R113">
        <v>-18.515999999999998</v>
      </c>
      <c r="S113" s="25" t="s">
        <v>1538</v>
      </c>
      <c r="T113" s="25" t="s">
        <v>15</v>
      </c>
      <c r="U113" s="25" t="s">
        <v>18</v>
      </c>
      <c r="V113" s="26" t="s">
        <v>1249</v>
      </c>
    </row>
    <row r="114" spans="1:22" s="25" customFormat="1" ht="45" x14ac:dyDescent="0.25">
      <c r="A114" s="25">
        <v>113</v>
      </c>
      <c r="B114" s="27" t="s">
        <v>772</v>
      </c>
      <c r="C114" s="25">
        <v>3</v>
      </c>
      <c r="D114" s="25">
        <v>1</v>
      </c>
      <c r="E114" s="25">
        <v>133</v>
      </c>
      <c r="F114" s="25" t="s">
        <v>92</v>
      </c>
      <c r="G114" s="25" t="s">
        <v>266</v>
      </c>
      <c r="H114" s="25" t="s">
        <v>267</v>
      </c>
      <c r="I114" s="25" t="s">
        <v>1434</v>
      </c>
      <c r="J114" s="25">
        <v>278</v>
      </c>
      <c r="K114" s="25" t="s">
        <v>1453</v>
      </c>
      <c r="L114" s="25">
        <v>280</v>
      </c>
      <c r="M114" s="26" t="s">
        <v>1442</v>
      </c>
      <c r="N114" s="26" t="s">
        <v>1441</v>
      </c>
      <c r="O114" s="25">
        <v>36.988166999999997</v>
      </c>
      <c r="P114" s="25">
        <v>-110.23512100000001</v>
      </c>
      <c r="Q114">
        <v>11.365</v>
      </c>
      <c r="R114">
        <v>-38.073900000000002</v>
      </c>
      <c r="S114" s="25" t="s">
        <v>1536</v>
      </c>
      <c r="T114" s="25" t="s">
        <v>14</v>
      </c>
      <c r="U114" s="25" t="s">
        <v>18</v>
      </c>
      <c r="V114" s="26" t="s">
        <v>1355</v>
      </c>
    </row>
    <row r="115" spans="1:22" s="25" customFormat="1" ht="45" x14ac:dyDescent="0.25">
      <c r="A115" s="25">
        <v>114</v>
      </c>
      <c r="B115" s="27" t="s">
        <v>189</v>
      </c>
      <c r="C115" s="25">
        <v>4</v>
      </c>
      <c r="D115" s="25">
        <v>4</v>
      </c>
      <c r="E115" s="25">
        <v>101</v>
      </c>
      <c r="F115" s="25" t="s">
        <v>92</v>
      </c>
      <c r="G115" s="25" t="s">
        <v>24</v>
      </c>
      <c r="H115" s="25" t="s">
        <v>185</v>
      </c>
      <c r="I115" s="25" t="s">
        <v>186</v>
      </c>
      <c r="J115" s="25">
        <v>311</v>
      </c>
      <c r="K115" s="25" t="s">
        <v>1799</v>
      </c>
      <c r="L115" s="25">
        <v>320</v>
      </c>
      <c r="M115" s="26" t="s">
        <v>187</v>
      </c>
      <c r="N115" s="26" t="s">
        <v>184</v>
      </c>
      <c r="O115" s="25">
        <v>38.35989</v>
      </c>
      <c r="P115" s="25">
        <f>-87.128953</f>
        <v>-87.128952999999996</v>
      </c>
      <c r="Q115">
        <v>-10.378399999999999</v>
      </c>
      <c r="R115">
        <v>-26.6692</v>
      </c>
      <c r="S115" s="25" t="s">
        <v>1538</v>
      </c>
      <c r="T115" s="26" t="s">
        <v>13</v>
      </c>
      <c r="U115" s="25" t="s">
        <v>16</v>
      </c>
      <c r="V115" s="26" t="s">
        <v>188</v>
      </c>
    </row>
    <row r="116" spans="1:22" s="25" customFormat="1" ht="30" x14ac:dyDescent="0.25">
      <c r="A116" s="25">
        <v>115</v>
      </c>
      <c r="B116" s="27" t="s">
        <v>575</v>
      </c>
      <c r="C116" s="25">
        <v>3</v>
      </c>
      <c r="D116" s="25">
        <v>3</v>
      </c>
      <c r="E116" s="25">
        <v>134</v>
      </c>
      <c r="F116" s="25" t="s">
        <v>92</v>
      </c>
      <c r="G116" s="25" t="s">
        <v>266</v>
      </c>
      <c r="H116" s="25" t="s">
        <v>267</v>
      </c>
      <c r="J116" s="25">
        <v>286</v>
      </c>
      <c r="K116" s="25" t="s">
        <v>1453</v>
      </c>
      <c r="L116" s="25">
        <v>280</v>
      </c>
      <c r="M116" s="25" t="s">
        <v>1527</v>
      </c>
      <c r="N116" s="26" t="s">
        <v>573</v>
      </c>
      <c r="O116" s="25">
        <v>31.614720999999999</v>
      </c>
      <c r="P116" s="25">
        <v>-108.364896</v>
      </c>
      <c r="Q116">
        <v>4.3205</v>
      </c>
      <c r="R116">
        <v>-36.485700000000001</v>
      </c>
      <c r="S116" s="25" t="s">
        <v>1536</v>
      </c>
      <c r="T116" s="26" t="s">
        <v>13</v>
      </c>
      <c r="U116" s="25" t="s">
        <v>17</v>
      </c>
      <c r="V116" s="26" t="s">
        <v>769</v>
      </c>
    </row>
    <row r="117" spans="1:22" s="25" customFormat="1" x14ac:dyDescent="0.25">
      <c r="A117" s="25">
        <v>116</v>
      </c>
      <c r="B117" s="27" t="s">
        <v>28</v>
      </c>
      <c r="C117" s="25">
        <v>1</v>
      </c>
      <c r="D117" s="25">
        <v>1</v>
      </c>
      <c r="E117" s="25">
        <v>101</v>
      </c>
      <c r="F117" s="25" t="s">
        <v>92</v>
      </c>
      <c r="G117" s="25" t="s">
        <v>24</v>
      </c>
      <c r="H117" s="25" t="s">
        <v>185</v>
      </c>
      <c r="J117" s="25">
        <v>310</v>
      </c>
      <c r="K117" s="25" t="s">
        <v>1798</v>
      </c>
      <c r="L117" s="25">
        <v>300</v>
      </c>
      <c r="M117" s="26" t="s">
        <v>383</v>
      </c>
      <c r="N117" s="26" t="s">
        <v>381</v>
      </c>
      <c r="O117" s="25">
        <v>36.17</v>
      </c>
      <c r="P117" s="25">
        <v>-105.46</v>
      </c>
      <c r="Q117">
        <v>0.49390000000000001</v>
      </c>
      <c r="R117">
        <v>-35.307099999999998</v>
      </c>
      <c r="S117" s="25" t="s">
        <v>1538</v>
      </c>
      <c r="T117" s="25" t="s">
        <v>14</v>
      </c>
      <c r="U117" s="25" t="s">
        <v>17</v>
      </c>
      <c r="V117" s="26" t="s">
        <v>382</v>
      </c>
    </row>
    <row r="118" spans="1:22" s="25" customFormat="1" ht="75" x14ac:dyDescent="0.25">
      <c r="A118" s="25">
        <v>117</v>
      </c>
      <c r="B118" s="27" t="s">
        <v>1483</v>
      </c>
      <c r="C118" s="25">
        <v>6</v>
      </c>
      <c r="D118" s="25">
        <v>3</v>
      </c>
      <c r="E118" s="25">
        <v>133</v>
      </c>
      <c r="F118" s="25" t="s">
        <v>92</v>
      </c>
      <c r="G118" s="25" t="s">
        <v>24</v>
      </c>
      <c r="H118" s="25" t="s">
        <v>185</v>
      </c>
      <c r="J118" s="25">
        <v>310</v>
      </c>
      <c r="K118" s="25" t="s">
        <v>1798</v>
      </c>
      <c r="L118" s="25">
        <v>300</v>
      </c>
      <c r="M118" s="26" t="s">
        <v>383</v>
      </c>
      <c r="N118" s="26" t="s">
        <v>381</v>
      </c>
      <c r="O118" s="25">
        <v>36.219842</v>
      </c>
      <c r="P118" s="25">
        <v>-106.3253</v>
      </c>
      <c r="Q118">
        <v>2.9462999999999999</v>
      </c>
      <c r="R118">
        <v>-39.148299999999999</v>
      </c>
      <c r="S118" s="25" t="s">
        <v>1538</v>
      </c>
      <c r="T118" s="25" t="s">
        <v>15</v>
      </c>
      <c r="U118" s="25" t="s">
        <v>17</v>
      </c>
      <c r="V118" s="26" t="s">
        <v>1257</v>
      </c>
    </row>
    <row r="119" spans="1:22" s="25" customFormat="1" ht="60" x14ac:dyDescent="0.25">
      <c r="A119" s="25">
        <v>118</v>
      </c>
      <c r="B119" s="27" t="s">
        <v>191</v>
      </c>
      <c r="C119" s="25">
        <v>6</v>
      </c>
      <c r="D119" s="25">
        <v>6</v>
      </c>
      <c r="E119" s="25">
        <v>101</v>
      </c>
      <c r="F119" s="25" t="s">
        <v>92</v>
      </c>
      <c r="G119" s="25" t="s">
        <v>24</v>
      </c>
      <c r="H119" s="25" t="s">
        <v>185</v>
      </c>
      <c r="I119" s="25" t="s">
        <v>212</v>
      </c>
      <c r="J119" s="25">
        <v>319</v>
      </c>
      <c r="K119" s="25" t="s">
        <v>1799</v>
      </c>
      <c r="L119" s="25">
        <v>320</v>
      </c>
      <c r="M119" s="26" t="s">
        <v>97</v>
      </c>
      <c r="N119" s="26" t="s">
        <v>190</v>
      </c>
      <c r="O119" s="25">
        <v>36.497762999999999</v>
      </c>
      <c r="P119" s="25">
        <v>-85.022614000000004</v>
      </c>
      <c r="Q119">
        <v>-12.8063</v>
      </c>
      <c r="R119">
        <v>-26.048500000000001</v>
      </c>
      <c r="S119" s="25" t="s">
        <v>1538</v>
      </c>
      <c r="T119" s="26" t="s">
        <v>13</v>
      </c>
      <c r="U119" s="25" t="s">
        <v>16</v>
      </c>
      <c r="V119" s="26" t="s">
        <v>192</v>
      </c>
    </row>
    <row r="120" spans="1:22" s="25" customFormat="1" x14ac:dyDescent="0.25">
      <c r="A120" s="25">
        <v>119</v>
      </c>
      <c r="B120" s="27" t="s">
        <v>28</v>
      </c>
      <c r="C120" s="25">
        <v>1</v>
      </c>
      <c r="D120" s="25">
        <v>1</v>
      </c>
      <c r="E120" s="25">
        <v>133</v>
      </c>
      <c r="F120" s="25" t="s">
        <v>92</v>
      </c>
      <c r="G120" s="25" t="s">
        <v>24</v>
      </c>
      <c r="H120" s="25" t="s">
        <v>185</v>
      </c>
      <c r="I120" s="25" t="s">
        <v>313</v>
      </c>
      <c r="J120" s="25">
        <v>301</v>
      </c>
      <c r="K120" s="25" t="s">
        <v>1798</v>
      </c>
      <c r="L120" s="25">
        <v>300</v>
      </c>
      <c r="M120" s="25" t="s">
        <v>1438</v>
      </c>
      <c r="N120" s="26" t="s">
        <v>1076</v>
      </c>
      <c r="O120" s="25">
        <v>37.244306999999999</v>
      </c>
      <c r="P120" s="25">
        <v>-109.73989400000001</v>
      </c>
      <c r="Q120">
        <v>5.4966999999999997</v>
      </c>
      <c r="R120">
        <v>-40.578099999999999</v>
      </c>
      <c r="S120" s="25" t="s">
        <v>1538</v>
      </c>
      <c r="T120" s="25" t="s">
        <v>14</v>
      </c>
      <c r="U120" s="25" t="s">
        <v>18</v>
      </c>
      <c r="V120" s="26" t="s">
        <v>1077</v>
      </c>
    </row>
    <row r="121" spans="1:22" s="25" customFormat="1" x14ac:dyDescent="0.25">
      <c r="A121" s="25">
        <v>120</v>
      </c>
      <c r="B121" s="27" t="s">
        <v>308</v>
      </c>
      <c r="C121" s="25">
        <v>1</v>
      </c>
      <c r="D121" s="25">
        <v>1</v>
      </c>
      <c r="E121" s="25">
        <v>101</v>
      </c>
      <c r="F121" s="25" t="s">
        <v>92</v>
      </c>
      <c r="G121" s="25" t="s">
        <v>266</v>
      </c>
      <c r="H121" s="25" t="s">
        <v>267</v>
      </c>
      <c r="I121" s="25" t="s">
        <v>1434</v>
      </c>
      <c r="J121" s="25">
        <v>278</v>
      </c>
      <c r="K121" s="25" t="s">
        <v>1453</v>
      </c>
      <c r="L121" s="25">
        <v>280</v>
      </c>
      <c r="M121" s="25" t="s">
        <v>1529</v>
      </c>
      <c r="N121" s="26" t="s">
        <v>790</v>
      </c>
      <c r="O121" s="25">
        <v>40.066625000000002</v>
      </c>
      <c r="P121" s="25">
        <v>-105.304261</v>
      </c>
      <c r="Q121">
        <v>9.9007000000000005</v>
      </c>
      <c r="R121">
        <v>-29.616599999999998</v>
      </c>
      <c r="S121" s="25" t="s">
        <v>1536</v>
      </c>
      <c r="T121" s="25" t="s">
        <v>14</v>
      </c>
      <c r="U121" s="25" t="s">
        <v>18</v>
      </c>
      <c r="V121" s="26" t="s">
        <v>800</v>
      </c>
    </row>
    <row r="122" spans="1:22" s="25" customFormat="1" ht="30" x14ac:dyDescent="0.25">
      <c r="A122" s="25">
        <v>121</v>
      </c>
      <c r="B122" s="27" t="s">
        <v>211</v>
      </c>
      <c r="C122" s="25">
        <v>3</v>
      </c>
      <c r="D122" s="25">
        <v>3</v>
      </c>
      <c r="E122" s="25">
        <v>101</v>
      </c>
      <c r="F122" s="25" t="s">
        <v>92</v>
      </c>
      <c r="G122" s="25" t="s">
        <v>24</v>
      </c>
      <c r="H122" s="25" t="s">
        <v>185</v>
      </c>
      <c r="I122" s="25" t="s">
        <v>212</v>
      </c>
      <c r="J122" s="25">
        <v>319</v>
      </c>
      <c r="K122" s="25" t="s">
        <v>1799</v>
      </c>
      <c r="L122" s="25">
        <v>320</v>
      </c>
      <c r="M122" s="26" t="s">
        <v>187</v>
      </c>
      <c r="N122" s="26" t="s">
        <v>210</v>
      </c>
      <c r="O122" s="25">
        <v>38.35989</v>
      </c>
      <c r="P122" s="25">
        <f>-87.128953</f>
        <v>-87.128952999999996</v>
      </c>
      <c r="Q122">
        <v>-10.378399999999999</v>
      </c>
      <c r="R122">
        <v>-26.6692</v>
      </c>
      <c r="S122" s="25" t="s">
        <v>1538</v>
      </c>
      <c r="T122" s="26" t="s">
        <v>13</v>
      </c>
      <c r="U122" s="25" t="s">
        <v>16</v>
      </c>
      <c r="V122" s="26" t="s">
        <v>188</v>
      </c>
    </row>
    <row r="123" spans="1:22" s="25" customFormat="1" ht="45" x14ac:dyDescent="0.25">
      <c r="A123" s="25">
        <v>122</v>
      </c>
      <c r="B123" s="27" t="s">
        <v>1462</v>
      </c>
      <c r="C123" s="25">
        <v>3</v>
      </c>
      <c r="D123" s="25">
        <v>3</v>
      </c>
      <c r="E123" s="25">
        <v>101</v>
      </c>
      <c r="F123" s="25" t="s">
        <v>92</v>
      </c>
      <c r="G123" s="25" t="s">
        <v>24</v>
      </c>
      <c r="H123" s="25" t="s">
        <v>185</v>
      </c>
      <c r="I123" s="25" t="s">
        <v>212</v>
      </c>
      <c r="J123" s="25">
        <v>319</v>
      </c>
      <c r="K123" s="25" t="s">
        <v>1799</v>
      </c>
      <c r="L123" s="25">
        <v>320</v>
      </c>
      <c r="M123" s="26" t="s">
        <v>187</v>
      </c>
      <c r="N123" s="26" t="s">
        <v>210</v>
      </c>
      <c r="O123" s="25">
        <v>38.35989</v>
      </c>
      <c r="P123" s="25">
        <f>-87.128953</f>
        <v>-87.128952999999996</v>
      </c>
      <c r="Q123">
        <v>-10.378399999999999</v>
      </c>
      <c r="R123">
        <v>-26.6692</v>
      </c>
      <c r="S123" s="25" t="s">
        <v>1538</v>
      </c>
      <c r="T123" s="25" t="s">
        <v>14</v>
      </c>
      <c r="U123" s="25" t="s">
        <v>17</v>
      </c>
      <c r="V123" s="26" t="s">
        <v>188</v>
      </c>
    </row>
    <row r="124" spans="1:22" s="25" customFormat="1" ht="75" x14ac:dyDescent="0.25">
      <c r="A124" s="25">
        <v>123</v>
      </c>
      <c r="B124" s="27" t="s">
        <v>1495</v>
      </c>
      <c r="C124" s="25">
        <v>7</v>
      </c>
      <c r="D124" s="25">
        <v>5</v>
      </c>
      <c r="E124" s="25">
        <v>101</v>
      </c>
      <c r="F124" s="25" t="s">
        <v>92</v>
      </c>
      <c r="G124" s="25" t="s">
        <v>24</v>
      </c>
      <c r="H124" s="25" t="s">
        <v>185</v>
      </c>
      <c r="I124" s="25" t="s">
        <v>212</v>
      </c>
      <c r="J124" s="25">
        <v>319</v>
      </c>
      <c r="K124" s="25" t="s">
        <v>1799</v>
      </c>
      <c r="L124" s="25">
        <v>320</v>
      </c>
      <c r="M124" s="26" t="s">
        <v>187</v>
      </c>
      <c r="N124" s="26" t="s">
        <v>210</v>
      </c>
      <c r="O124" s="25">
        <v>38.523404999999997</v>
      </c>
      <c r="P124" s="25">
        <v>-86.591188000000002</v>
      </c>
      <c r="Q124">
        <v>-10.434699999999999</v>
      </c>
      <c r="R124">
        <v>-26.2134</v>
      </c>
      <c r="S124" s="25" t="s">
        <v>1538</v>
      </c>
      <c r="T124" s="26" t="s">
        <v>13</v>
      </c>
      <c r="U124" s="25" t="s">
        <v>17</v>
      </c>
      <c r="V124" s="26" t="s">
        <v>758</v>
      </c>
    </row>
    <row r="125" spans="1:22" s="25" customFormat="1" ht="90" x14ac:dyDescent="0.25">
      <c r="A125" s="25">
        <v>124</v>
      </c>
      <c r="B125" s="27" t="s">
        <v>1497</v>
      </c>
      <c r="C125" s="25">
        <v>11</v>
      </c>
      <c r="D125" s="25">
        <v>7</v>
      </c>
      <c r="E125" s="25">
        <v>101</v>
      </c>
      <c r="F125" s="25" t="s">
        <v>92</v>
      </c>
      <c r="G125" s="25" t="s">
        <v>24</v>
      </c>
      <c r="H125" s="25" t="s">
        <v>23</v>
      </c>
      <c r="I125" s="25" t="s">
        <v>38</v>
      </c>
      <c r="J125" s="25">
        <v>327</v>
      </c>
      <c r="K125" s="25" t="s">
        <v>1799</v>
      </c>
      <c r="L125" s="25">
        <v>320</v>
      </c>
      <c r="M125" s="25" t="s">
        <v>97</v>
      </c>
      <c r="N125" s="26" t="s">
        <v>119</v>
      </c>
      <c r="O125" s="25">
        <v>40.688775</v>
      </c>
      <c r="P125" s="25">
        <v>-76.135204000000002</v>
      </c>
      <c r="Q125">
        <v>-11.742599999999999</v>
      </c>
      <c r="R125">
        <v>-17.823599999999999</v>
      </c>
      <c r="S125" s="25" t="s">
        <v>1538</v>
      </c>
      <c r="T125" s="25" t="s">
        <v>14</v>
      </c>
      <c r="U125" s="25" t="s">
        <v>17</v>
      </c>
      <c r="V125" s="26" t="s">
        <v>1263</v>
      </c>
    </row>
    <row r="126" spans="1:22" s="25" customFormat="1" ht="75" x14ac:dyDescent="0.25">
      <c r="A126" s="25">
        <v>125</v>
      </c>
      <c r="B126" s="27" t="s">
        <v>1498</v>
      </c>
      <c r="C126" s="25">
        <v>6</v>
      </c>
      <c r="D126" s="25">
        <v>5</v>
      </c>
      <c r="E126" s="25">
        <v>101</v>
      </c>
      <c r="F126" s="25" t="s">
        <v>92</v>
      </c>
      <c r="G126" s="25" t="s">
        <v>24</v>
      </c>
      <c r="H126" s="25" t="s">
        <v>185</v>
      </c>
      <c r="I126" s="25" t="s">
        <v>186</v>
      </c>
      <c r="J126" s="25">
        <v>311</v>
      </c>
      <c r="K126" s="25" t="s">
        <v>1799</v>
      </c>
      <c r="L126" s="25">
        <v>320</v>
      </c>
      <c r="M126" s="26" t="s">
        <v>302</v>
      </c>
      <c r="N126" s="26" t="s">
        <v>301</v>
      </c>
      <c r="O126" s="25">
        <v>35.250768999999998</v>
      </c>
      <c r="P126" s="25">
        <v>-94.946358000000004</v>
      </c>
      <c r="Q126">
        <v>-9.7486999999999995</v>
      </c>
      <c r="R126">
        <v>-33.735100000000003</v>
      </c>
      <c r="S126" s="25" t="s">
        <v>1538</v>
      </c>
      <c r="T126" s="26" t="s">
        <v>13</v>
      </c>
      <c r="U126" s="25" t="s">
        <v>17</v>
      </c>
      <c r="V126" s="26" t="s">
        <v>303</v>
      </c>
    </row>
    <row r="127" spans="1:22" s="25" customFormat="1" x14ac:dyDescent="0.25">
      <c r="A127" s="25">
        <v>126</v>
      </c>
      <c r="B127" s="27" t="s">
        <v>403</v>
      </c>
      <c r="C127" s="25">
        <v>1</v>
      </c>
      <c r="D127" s="25">
        <v>1</v>
      </c>
      <c r="E127" s="25">
        <v>101</v>
      </c>
      <c r="F127" s="25" t="s">
        <v>92</v>
      </c>
      <c r="G127" s="25" t="s">
        <v>24</v>
      </c>
      <c r="H127" s="25" t="s">
        <v>185</v>
      </c>
      <c r="I127" s="25" t="s">
        <v>313</v>
      </c>
      <c r="J127" s="25">
        <v>301</v>
      </c>
      <c r="K127" s="25" t="s">
        <v>1798</v>
      </c>
      <c r="L127" s="25">
        <v>300</v>
      </c>
      <c r="M127" s="26" t="s">
        <v>97</v>
      </c>
      <c r="N127" s="26" t="s">
        <v>402</v>
      </c>
      <c r="O127" s="25">
        <v>39.295000000000002</v>
      </c>
      <c r="P127" s="25">
        <v>-81.93</v>
      </c>
      <c r="Q127">
        <v>-6.1299000000000001</v>
      </c>
      <c r="R127">
        <v>-17.665400000000002</v>
      </c>
      <c r="S127" s="25" t="s">
        <v>1538</v>
      </c>
      <c r="T127" s="25" t="s">
        <v>14</v>
      </c>
      <c r="U127" s="25" t="s">
        <v>17</v>
      </c>
      <c r="V127" s="26" t="s">
        <v>401</v>
      </c>
    </row>
    <row r="128" spans="1:22" s="25" customFormat="1" ht="45" x14ac:dyDescent="0.25">
      <c r="A128" s="25">
        <v>127</v>
      </c>
      <c r="B128" s="27" t="s">
        <v>1464</v>
      </c>
      <c r="C128" s="25">
        <v>5</v>
      </c>
      <c r="D128" s="25">
        <v>5</v>
      </c>
      <c r="E128" s="25">
        <v>101</v>
      </c>
      <c r="F128" s="25" t="s">
        <v>92</v>
      </c>
      <c r="G128" s="25" t="s">
        <v>24</v>
      </c>
      <c r="H128" s="25" t="s">
        <v>185</v>
      </c>
      <c r="I128" s="25" t="s">
        <v>212</v>
      </c>
      <c r="J128" s="25">
        <v>319</v>
      </c>
      <c r="K128" s="25" t="s">
        <v>1799</v>
      </c>
      <c r="L128" s="25">
        <v>320</v>
      </c>
      <c r="M128" s="26" t="s">
        <v>97</v>
      </c>
      <c r="N128" s="26" t="s">
        <v>201</v>
      </c>
      <c r="O128" s="25">
        <v>33.812252000000001</v>
      </c>
      <c r="P128" s="25">
        <f>-87.164963</f>
        <v>-87.164963</v>
      </c>
      <c r="Q128">
        <v>-14.348800000000001</v>
      </c>
      <c r="R128">
        <v>-28.94</v>
      </c>
      <c r="S128" s="25" t="s">
        <v>1538</v>
      </c>
      <c r="T128" s="26" t="s">
        <v>13</v>
      </c>
      <c r="U128" s="25" t="s">
        <v>16</v>
      </c>
      <c r="V128" s="26" t="s">
        <v>1463</v>
      </c>
    </row>
    <row r="129" spans="1:22" s="25" customFormat="1" ht="75" x14ac:dyDescent="0.25">
      <c r="A129" s="25">
        <v>128</v>
      </c>
      <c r="B129" s="27" t="s">
        <v>1505</v>
      </c>
      <c r="C129" s="25">
        <v>8</v>
      </c>
      <c r="D129" s="25">
        <v>5</v>
      </c>
      <c r="E129" s="25">
        <v>101</v>
      </c>
      <c r="F129" s="25" t="s">
        <v>92</v>
      </c>
      <c r="G129" s="25" t="s">
        <v>24</v>
      </c>
      <c r="H129" s="25" t="s">
        <v>185</v>
      </c>
      <c r="I129" s="25" t="s">
        <v>212</v>
      </c>
      <c r="J129" s="25">
        <v>319</v>
      </c>
      <c r="K129" s="25" t="s">
        <v>1799</v>
      </c>
      <c r="L129" s="25">
        <v>320</v>
      </c>
      <c r="M129" s="26" t="s">
        <v>97</v>
      </c>
      <c r="N129" s="26" t="s">
        <v>201</v>
      </c>
      <c r="O129" s="25">
        <v>33.812252000000001</v>
      </c>
      <c r="P129" s="25">
        <f>-87.164963</f>
        <v>-87.164963</v>
      </c>
      <c r="Q129">
        <v>-14.348800000000001</v>
      </c>
      <c r="R129">
        <v>-28.94</v>
      </c>
      <c r="S129" s="25" t="s">
        <v>1538</v>
      </c>
      <c r="T129" s="26" t="s">
        <v>13</v>
      </c>
      <c r="U129" s="25" t="s">
        <v>17</v>
      </c>
      <c r="V129" s="26" t="s">
        <v>1465</v>
      </c>
    </row>
    <row r="130" spans="1:22" s="25" customFormat="1" ht="135" x14ac:dyDescent="0.25">
      <c r="A130" s="25">
        <v>129</v>
      </c>
      <c r="B130" s="27" t="s">
        <v>1507</v>
      </c>
      <c r="C130" s="25">
        <v>13</v>
      </c>
      <c r="D130" s="25">
        <v>6</v>
      </c>
      <c r="E130" s="25">
        <v>108</v>
      </c>
      <c r="F130" s="25" t="s">
        <v>92</v>
      </c>
      <c r="G130" s="25" t="s">
        <v>24</v>
      </c>
      <c r="H130" s="25" t="s">
        <v>185</v>
      </c>
      <c r="I130" s="25" t="s">
        <v>186</v>
      </c>
      <c r="J130" s="25">
        <v>311</v>
      </c>
      <c r="K130" s="25" t="s">
        <v>1799</v>
      </c>
      <c r="L130" s="25">
        <v>320</v>
      </c>
      <c r="M130" s="25" t="s">
        <v>391</v>
      </c>
      <c r="N130" s="26" t="s">
        <v>1267</v>
      </c>
      <c r="O130" s="25">
        <v>42.014491</v>
      </c>
      <c r="P130" s="25">
        <v>-71.357562999999999</v>
      </c>
      <c r="Q130">
        <v>-11.5837</v>
      </c>
      <c r="R130">
        <v>-13.923400000000001</v>
      </c>
      <c r="S130" s="25" t="s">
        <v>1538</v>
      </c>
      <c r="T130" s="25" t="s">
        <v>15</v>
      </c>
      <c r="U130" s="25" t="s">
        <v>17</v>
      </c>
      <c r="V130" s="26" t="s">
        <v>1278</v>
      </c>
    </row>
    <row r="131" spans="1:22" s="25" customFormat="1" ht="240" x14ac:dyDescent="0.25">
      <c r="A131" s="25">
        <v>130</v>
      </c>
      <c r="B131" s="27" t="s">
        <v>1508</v>
      </c>
      <c r="C131" s="25">
        <v>19</v>
      </c>
      <c r="D131" s="25">
        <v>9</v>
      </c>
      <c r="E131" s="25">
        <v>101</v>
      </c>
      <c r="F131" s="25" t="s">
        <v>92</v>
      </c>
      <c r="G131" s="25" t="s">
        <v>266</v>
      </c>
      <c r="H131" s="25" t="s">
        <v>267</v>
      </c>
      <c r="I131" s="25" t="s">
        <v>1452</v>
      </c>
      <c r="J131" s="25">
        <v>294</v>
      </c>
      <c r="K131" s="25" t="s">
        <v>1798</v>
      </c>
      <c r="L131" s="25">
        <v>300</v>
      </c>
      <c r="M131" s="25" t="s">
        <v>1530</v>
      </c>
      <c r="N131" s="26" t="s">
        <v>528</v>
      </c>
      <c r="O131" s="25">
        <v>32.476754999999997</v>
      </c>
      <c r="P131" s="25">
        <v>-106.797602</v>
      </c>
      <c r="Q131">
        <v>-1.7399</v>
      </c>
      <c r="R131">
        <v>-38.448999999999998</v>
      </c>
      <c r="S131" s="25" t="s">
        <v>1538</v>
      </c>
      <c r="T131" s="26" t="s">
        <v>13</v>
      </c>
      <c r="U131" s="25" t="s">
        <v>17</v>
      </c>
      <c r="V131" s="26" t="s">
        <v>913</v>
      </c>
    </row>
    <row r="132" spans="1:22" s="25" customFormat="1" ht="75" x14ac:dyDescent="0.25">
      <c r="A132" s="25">
        <v>131</v>
      </c>
      <c r="B132" s="27" t="s">
        <v>1513</v>
      </c>
      <c r="C132" s="25">
        <v>5</v>
      </c>
      <c r="D132" s="25">
        <v>4</v>
      </c>
      <c r="E132" s="25">
        <v>101</v>
      </c>
      <c r="F132" s="25" t="s">
        <v>92</v>
      </c>
      <c r="G132" s="25" t="s">
        <v>266</v>
      </c>
      <c r="H132" s="25" t="s">
        <v>267</v>
      </c>
      <c r="I132" s="25" t="s">
        <v>1452</v>
      </c>
      <c r="J132" s="25">
        <v>294</v>
      </c>
      <c r="K132" s="25" t="s">
        <v>1798</v>
      </c>
      <c r="L132" s="25">
        <v>300</v>
      </c>
      <c r="M132" s="25" t="s">
        <v>1439</v>
      </c>
      <c r="N132" s="26" t="s">
        <v>651</v>
      </c>
      <c r="O132" s="25">
        <v>32.099584999999998</v>
      </c>
      <c r="P132" s="25">
        <v>-106.76058</v>
      </c>
      <c r="Q132">
        <v>-2.0552000000000001</v>
      </c>
      <c r="R132">
        <v>-38.658499999999997</v>
      </c>
      <c r="S132" s="25" t="s">
        <v>1538</v>
      </c>
      <c r="T132" s="25" t="s">
        <v>14</v>
      </c>
      <c r="U132" s="25" t="s">
        <v>17</v>
      </c>
      <c r="V132" s="26" t="s">
        <v>648</v>
      </c>
    </row>
    <row r="133" spans="1:22" s="25" customFormat="1" x14ac:dyDescent="0.25">
      <c r="A133" s="25">
        <v>132</v>
      </c>
      <c r="B133" s="27" t="s">
        <v>96</v>
      </c>
      <c r="C133" s="25">
        <v>1</v>
      </c>
      <c r="D133" s="25">
        <v>1</v>
      </c>
      <c r="E133" s="25">
        <v>101</v>
      </c>
      <c r="F133" s="25" t="s">
        <v>92</v>
      </c>
      <c r="G133" s="25" t="s">
        <v>24</v>
      </c>
      <c r="H133" s="25" t="s">
        <v>23</v>
      </c>
      <c r="I133" s="25" t="s">
        <v>1433</v>
      </c>
      <c r="J133" s="25">
        <v>353</v>
      </c>
      <c r="K133" s="25" t="s">
        <v>1796</v>
      </c>
      <c r="L133" s="25">
        <v>360</v>
      </c>
      <c r="M133" s="25" t="s">
        <v>97</v>
      </c>
      <c r="N133" s="26" t="s">
        <v>93</v>
      </c>
      <c r="O133" s="25">
        <v>41.414721999999998</v>
      </c>
      <c r="P133" s="25">
        <v>-78.943611000000004</v>
      </c>
      <c r="Q133">
        <v>-28.277899999999999</v>
      </c>
      <c r="R133">
        <v>-27.726400000000002</v>
      </c>
      <c r="S133" s="25" t="s">
        <v>1536</v>
      </c>
      <c r="T133" s="26" t="s">
        <v>13</v>
      </c>
      <c r="U133" s="25" t="s">
        <v>17</v>
      </c>
      <c r="V133" s="26" t="s">
        <v>91</v>
      </c>
    </row>
    <row r="134" spans="1:22" s="25" customFormat="1" ht="150" x14ac:dyDescent="0.25">
      <c r="A134" s="25">
        <v>133</v>
      </c>
      <c r="B134" s="27" t="s">
        <v>1544</v>
      </c>
      <c r="C134" s="25">
        <v>13</v>
      </c>
      <c r="D134" s="25">
        <v>5</v>
      </c>
      <c r="E134" s="25">
        <v>101</v>
      </c>
      <c r="F134" s="25" t="s">
        <v>92</v>
      </c>
      <c r="G134" s="25" t="s">
        <v>24</v>
      </c>
      <c r="H134" s="25" t="s">
        <v>185</v>
      </c>
      <c r="I134" s="25" t="s">
        <v>313</v>
      </c>
      <c r="J134" s="25">
        <v>301</v>
      </c>
      <c r="K134" s="25" t="s">
        <v>1798</v>
      </c>
      <c r="L134" s="25">
        <v>300</v>
      </c>
      <c r="M134" s="26" t="s">
        <v>314</v>
      </c>
      <c r="N134" s="26" t="s">
        <v>312</v>
      </c>
      <c r="O134" s="25">
        <v>38.540559999999999</v>
      </c>
      <c r="P134" s="25">
        <v>-95.257447999999997</v>
      </c>
      <c r="Q134">
        <v>-2.1387</v>
      </c>
      <c r="R134">
        <v>-27.282399999999999</v>
      </c>
      <c r="S134" s="25" t="s">
        <v>1538</v>
      </c>
      <c r="T134" s="26" t="s">
        <v>13</v>
      </c>
      <c r="U134" s="25" t="s">
        <v>17</v>
      </c>
      <c r="V134" s="26" t="s">
        <v>912</v>
      </c>
    </row>
    <row r="135" spans="1:22" s="25" customFormat="1" ht="180" x14ac:dyDescent="0.25">
      <c r="A135" s="25">
        <v>134</v>
      </c>
      <c r="B135" s="27" t="s">
        <v>1524</v>
      </c>
      <c r="C135" s="25">
        <v>16</v>
      </c>
      <c r="D135" s="25">
        <v>9</v>
      </c>
      <c r="E135" s="25">
        <v>108</v>
      </c>
      <c r="F135" s="25" t="s">
        <v>92</v>
      </c>
      <c r="G135" s="25" t="s">
        <v>24</v>
      </c>
      <c r="H135" s="25" t="s">
        <v>185</v>
      </c>
      <c r="I135" s="25" t="s">
        <v>212</v>
      </c>
      <c r="J135" s="25">
        <v>319</v>
      </c>
      <c r="K135" s="25" t="s">
        <v>1799</v>
      </c>
      <c r="L135" s="25">
        <v>320</v>
      </c>
      <c r="M135" s="25" t="s">
        <v>391</v>
      </c>
      <c r="N135" s="26" t="s">
        <v>390</v>
      </c>
      <c r="O135" s="25">
        <v>41.994224000000003</v>
      </c>
      <c r="P135" s="25">
        <v>-71.351927000000003</v>
      </c>
      <c r="Q135">
        <v>-11.6043</v>
      </c>
      <c r="R135">
        <v>-13.925000000000001</v>
      </c>
      <c r="S135" s="25" t="s">
        <v>1537</v>
      </c>
      <c r="T135" s="25" t="s">
        <v>14</v>
      </c>
      <c r="U135" s="25" t="s">
        <v>17</v>
      </c>
      <c r="V135" s="26" t="s">
        <v>1469</v>
      </c>
    </row>
    <row r="136" spans="1:22" s="25" customFormat="1" ht="60" x14ac:dyDescent="0.25">
      <c r="A136" s="25">
        <v>135</v>
      </c>
      <c r="B136" s="27" t="s">
        <v>1525</v>
      </c>
      <c r="C136" s="25">
        <v>7</v>
      </c>
      <c r="D136" s="25">
        <v>6</v>
      </c>
      <c r="E136" s="25">
        <v>101</v>
      </c>
      <c r="F136" s="25" t="s">
        <v>92</v>
      </c>
      <c r="G136" s="25" t="s">
        <v>266</v>
      </c>
      <c r="H136" s="25" t="s">
        <v>267</v>
      </c>
      <c r="I136" s="25" t="s">
        <v>1276</v>
      </c>
      <c r="J136" s="25">
        <v>296</v>
      </c>
      <c r="K136" s="25" t="s">
        <v>1798</v>
      </c>
      <c r="L136" s="25">
        <v>300</v>
      </c>
      <c r="M136" s="26" t="s">
        <v>1277</v>
      </c>
      <c r="N136" s="26" t="s">
        <v>1275</v>
      </c>
      <c r="O136" s="25">
        <v>39.265808</v>
      </c>
      <c r="P136" s="25">
        <v>-81.646902999999995</v>
      </c>
      <c r="Q136">
        <v>-6.2390999999999996</v>
      </c>
      <c r="R136">
        <v>-17.472100000000001</v>
      </c>
      <c r="S136" s="25" t="s">
        <v>1538</v>
      </c>
      <c r="T136" s="25" t="s">
        <v>14</v>
      </c>
      <c r="U136" s="25" t="s">
        <v>17</v>
      </c>
      <c r="V136" s="26" t="s">
        <v>1274</v>
      </c>
    </row>
    <row r="137" spans="1:22" s="25" customFormat="1" x14ac:dyDescent="0.25">
      <c r="A137" s="25">
        <v>136</v>
      </c>
      <c r="B137" s="27" t="s">
        <v>96</v>
      </c>
      <c r="C137" s="25">
        <v>1</v>
      </c>
      <c r="D137" s="25">
        <v>1</v>
      </c>
      <c r="E137" s="25">
        <v>315</v>
      </c>
      <c r="F137" s="25" t="s">
        <v>372</v>
      </c>
      <c r="G137" s="25" t="s">
        <v>24</v>
      </c>
      <c r="H137" s="25" t="s">
        <v>185</v>
      </c>
      <c r="I137" s="25" t="s">
        <v>212</v>
      </c>
      <c r="J137" s="25">
        <v>319</v>
      </c>
      <c r="K137" s="25" t="s">
        <v>1799</v>
      </c>
      <c r="L137" s="25">
        <v>320</v>
      </c>
      <c r="M137" s="26" t="s">
        <v>40</v>
      </c>
      <c r="N137" s="26" t="s">
        <v>283</v>
      </c>
      <c r="O137" s="25">
        <v>53.311681999999998</v>
      </c>
      <c r="P137" s="25">
        <v>-3.272087</v>
      </c>
      <c r="Q137">
        <v>-1.2862</v>
      </c>
      <c r="R137">
        <v>6.0381</v>
      </c>
      <c r="S137" s="25" t="s">
        <v>1538</v>
      </c>
      <c r="T137" s="25" t="s">
        <v>14</v>
      </c>
      <c r="U137" s="25" t="s">
        <v>17</v>
      </c>
      <c r="V137" s="26" t="s">
        <v>373</v>
      </c>
    </row>
    <row r="138" spans="1:22" s="25" customFormat="1" x14ac:dyDescent="0.25">
      <c r="B138" s="27"/>
      <c r="N138" s="26"/>
      <c r="V138" s="26"/>
    </row>
    <row r="140" spans="1:22" x14ac:dyDescent="0.25">
      <c r="N140" s="1"/>
    </row>
  </sheetData>
  <autoFilter ref="A1:V137" xr:uid="{00000000-0009-0000-0000-000000000000}">
    <sortState xmlns:xlrd2="http://schemas.microsoft.com/office/spreadsheetml/2017/richdata2" ref="A2:V137">
      <sortCondition ref="A1:A137"/>
    </sortState>
  </autoFilter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77"/>
  <sheetViews>
    <sheetView zoomScale="73" zoomScaleNormal="73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6" bestFit="1" customWidth="1"/>
    <col min="2" max="2" width="16.7109375" style="9" bestFit="1" customWidth="1"/>
    <col min="3" max="3" width="14" style="8" bestFit="1" customWidth="1"/>
    <col min="4" max="4" width="20.85546875" style="6" bestFit="1" customWidth="1"/>
    <col min="5" max="5" width="10.5703125" style="10" bestFit="1" customWidth="1"/>
    <col min="6" max="7" width="14.28515625" bestFit="1" customWidth="1"/>
    <col min="8" max="8" width="15" bestFit="1" customWidth="1"/>
    <col min="9" max="9" width="14.42578125" bestFit="1" customWidth="1"/>
    <col min="10" max="10" width="14.85546875" bestFit="1" customWidth="1"/>
    <col min="11" max="11" width="19.5703125" bestFit="1" customWidth="1"/>
    <col min="12" max="12" width="15" bestFit="1" customWidth="1"/>
    <col min="13" max="13" width="22" bestFit="1" customWidth="1"/>
    <col min="14" max="14" width="9" bestFit="1" customWidth="1"/>
    <col min="15" max="15" width="26.7109375" bestFit="1" customWidth="1"/>
    <col min="16" max="16" width="31.85546875" bestFit="1" customWidth="1"/>
    <col min="17" max="17" width="12.42578125" bestFit="1" customWidth="1"/>
    <col min="18" max="18" width="13.7109375" bestFit="1" customWidth="1"/>
    <col min="19" max="19" width="11.85546875" bestFit="1" customWidth="1"/>
    <col min="20" max="20" width="13.42578125" bestFit="1" customWidth="1"/>
    <col min="21" max="21" width="13.42578125" customWidth="1"/>
    <col min="22" max="22" width="11.42578125" bestFit="1" customWidth="1"/>
    <col min="23" max="23" width="11.140625" bestFit="1" customWidth="1"/>
    <col min="24" max="24" width="12.7109375" bestFit="1" customWidth="1"/>
    <col min="25" max="25" width="13.85546875" bestFit="1" customWidth="1"/>
  </cols>
  <sheetData>
    <row r="1" spans="1:25" x14ac:dyDescent="0.25">
      <c r="A1" s="2" t="s">
        <v>237</v>
      </c>
      <c r="B1" s="11" t="s">
        <v>7</v>
      </c>
      <c r="C1" s="12" t="s">
        <v>57</v>
      </c>
      <c r="D1" s="2" t="s">
        <v>1332</v>
      </c>
      <c r="E1" s="2" t="s">
        <v>1570</v>
      </c>
      <c r="F1" s="2" t="s">
        <v>9</v>
      </c>
      <c r="G1" s="2" t="s">
        <v>10</v>
      </c>
      <c r="H1" s="2" t="s">
        <v>11</v>
      </c>
      <c r="I1" s="2" t="s">
        <v>4</v>
      </c>
      <c r="J1" s="2" t="s">
        <v>5</v>
      </c>
      <c r="K1" s="2" t="s">
        <v>3</v>
      </c>
      <c r="L1" s="2" t="s">
        <v>1628</v>
      </c>
      <c r="M1" s="2" t="s">
        <v>1531</v>
      </c>
      <c r="N1" s="2" t="s">
        <v>1532</v>
      </c>
      <c r="O1" s="2" t="s">
        <v>2</v>
      </c>
      <c r="P1" s="2" t="s">
        <v>12</v>
      </c>
      <c r="Q1" s="2" t="s">
        <v>19</v>
      </c>
      <c r="R1" s="2" t="s">
        <v>20</v>
      </c>
      <c r="S1" s="2" t="s">
        <v>1533</v>
      </c>
      <c r="T1" s="2" t="s">
        <v>1534</v>
      </c>
      <c r="U1" s="2" t="s">
        <v>1789</v>
      </c>
      <c r="V1" s="2" t="s">
        <v>6</v>
      </c>
      <c r="W1" s="2" t="s">
        <v>21</v>
      </c>
      <c r="X1" s="2" t="s">
        <v>1540</v>
      </c>
      <c r="Y1" s="2" t="s">
        <v>0</v>
      </c>
    </row>
    <row r="2" spans="1:25" x14ac:dyDescent="0.25">
      <c r="A2" s="4">
        <v>1</v>
      </c>
      <c r="B2" s="9">
        <v>34388</v>
      </c>
      <c r="C2" s="8" t="s">
        <v>94</v>
      </c>
      <c r="D2" s="6" t="s">
        <v>96</v>
      </c>
      <c r="E2" s="10">
        <v>6</v>
      </c>
      <c r="F2">
        <v>788.65791058478806</v>
      </c>
      <c r="G2">
        <v>258.45244467999402</v>
      </c>
      <c r="H2" t="s">
        <v>92</v>
      </c>
      <c r="I2" t="s">
        <v>24</v>
      </c>
      <c r="J2" t="s">
        <v>23</v>
      </c>
      <c r="K2" t="s">
        <v>1433</v>
      </c>
      <c r="L2">
        <v>353</v>
      </c>
      <c r="M2" t="s">
        <v>1796</v>
      </c>
      <c r="N2">
        <v>360</v>
      </c>
      <c r="O2" t="s">
        <v>97</v>
      </c>
      <c r="P2" s="1" t="s">
        <v>93</v>
      </c>
      <c r="Q2" s="25">
        <v>41.414721999999998</v>
      </c>
      <c r="R2" s="25">
        <v>-78.943611000000004</v>
      </c>
      <c r="S2">
        <v>-28.277899999999999</v>
      </c>
      <c r="T2">
        <v>-27.726400000000002</v>
      </c>
      <c r="U2">
        <v>28.277899999999999</v>
      </c>
      <c r="V2" t="s">
        <v>1536</v>
      </c>
      <c r="W2" t="s">
        <v>13</v>
      </c>
      <c r="X2" t="s">
        <v>17</v>
      </c>
      <c r="Y2" t="s">
        <v>91</v>
      </c>
    </row>
    <row r="3" spans="1:25" x14ac:dyDescent="0.25">
      <c r="A3" s="4">
        <v>10</v>
      </c>
      <c r="B3" s="9" t="s">
        <v>117</v>
      </c>
      <c r="C3" s="8" t="s">
        <v>116</v>
      </c>
      <c r="D3" s="6" t="s">
        <v>64</v>
      </c>
      <c r="E3" s="10">
        <v>8</v>
      </c>
      <c r="F3">
        <v>5.5019037298976299</v>
      </c>
      <c r="G3">
        <v>0.96827993928216904</v>
      </c>
      <c r="H3" t="s">
        <v>113</v>
      </c>
      <c r="I3" t="s">
        <v>24</v>
      </c>
      <c r="J3" t="s">
        <v>23</v>
      </c>
      <c r="K3" t="s">
        <v>1433</v>
      </c>
      <c r="L3">
        <v>353</v>
      </c>
      <c r="M3" t="s">
        <v>1796</v>
      </c>
      <c r="N3">
        <v>360</v>
      </c>
      <c r="O3" t="s">
        <v>112</v>
      </c>
      <c r="P3" s="1" t="s">
        <v>111</v>
      </c>
      <c r="Q3" s="25">
        <v>-36.979253999999997</v>
      </c>
      <c r="R3" s="25">
        <v>146.12697399999999</v>
      </c>
      <c r="S3">
        <v>-36.3765</v>
      </c>
      <c r="T3">
        <v>139.39320000000001</v>
      </c>
      <c r="U3">
        <v>36.3765</v>
      </c>
      <c r="V3" t="s">
        <v>1537</v>
      </c>
      <c r="W3" t="s">
        <v>14</v>
      </c>
      <c r="X3" t="s">
        <v>17</v>
      </c>
      <c r="Y3" t="s">
        <v>114</v>
      </c>
    </row>
    <row r="4" spans="1:25" x14ac:dyDescent="0.25">
      <c r="A4" s="4">
        <v>31</v>
      </c>
      <c r="B4" s="9" t="s">
        <v>117</v>
      </c>
      <c r="C4" s="8" t="s">
        <v>116</v>
      </c>
      <c r="D4" s="6" t="s">
        <v>60</v>
      </c>
      <c r="E4" s="10">
        <v>5</v>
      </c>
      <c r="F4">
        <v>4.54625112188402</v>
      </c>
      <c r="G4">
        <v>0.50625435571415001</v>
      </c>
      <c r="H4" t="s">
        <v>113</v>
      </c>
      <c r="I4" t="s">
        <v>24</v>
      </c>
      <c r="J4" t="s">
        <v>23</v>
      </c>
      <c r="K4" t="s">
        <v>1433</v>
      </c>
      <c r="L4">
        <v>353</v>
      </c>
      <c r="M4" t="s">
        <v>1796</v>
      </c>
      <c r="N4">
        <v>360</v>
      </c>
      <c r="O4" t="s">
        <v>112</v>
      </c>
      <c r="P4" s="1" t="s">
        <v>111</v>
      </c>
      <c r="Q4" s="25">
        <v>-36.979253999999997</v>
      </c>
      <c r="R4" s="25">
        <v>146.12697399999999</v>
      </c>
      <c r="S4">
        <v>-36.3765</v>
      </c>
      <c r="T4">
        <v>139.39320000000001</v>
      </c>
      <c r="U4">
        <v>36.3765</v>
      </c>
      <c r="V4" t="s">
        <v>1537</v>
      </c>
      <c r="W4" t="s">
        <v>14</v>
      </c>
      <c r="X4" t="s">
        <v>17</v>
      </c>
      <c r="Y4" t="s">
        <v>114</v>
      </c>
    </row>
    <row r="5" spans="1:25" x14ac:dyDescent="0.25">
      <c r="A5" s="4">
        <v>32</v>
      </c>
      <c r="B5" s="9" t="s">
        <v>144</v>
      </c>
      <c r="C5" s="8" t="s">
        <v>49</v>
      </c>
      <c r="D5" s="6" t="s">
        <v>64</v>
      </c>
      <c r="E5" s="10">
        <v>8</v>
      </c>
      <c r="F5">
        <v>5.6198719542613</v>
      </c>
      <c r="G5">
        <v>0.85894583570310301</v>
      </c>
      <c r="H5" t="s">
        <v>140</v>
      </c>
      <c r="I5" t="s">
        <v>24</v>
      </c>
      <c r="J5" t="s">
        <v>23</v>
      </c>
      <c r="K5" t="s">
        <v>1433</v>
      </c>
      <c r="L5">
        <v>353</v>
      </c>
      <c r="M5" t="s">
        <v>1796</v>
      </c>
      <c r="N5">
        <v>360</v>
      </c>
      <c r="O5" t="s">
        <v>142</v>
      </c>
      <c r="P5" s="1" t="s">
        <v>141</v>
      </c>
      <c r="Q5" s="25">
        <v>45.945411</v>
      </c>
      <c r="R5" s="25">
        <v>-64.606589</v>
      </c>
      <c r="S5">
        <v>-25.666599999999999</v>
      </c>
      <c r="T5">
        <v>-15.3903</v>
      </c>
      <c r="U5">
        <v>25.666599999999999</v>
      </c>
      <c r="V5" t="s">
        <v>1537</v>
      </c>
      <c r="W5" t="s">
        <v>14</v>
      </c>
      <c r="X5" t="s">
        <v>17</v>
      </c>
      <c r="Y5" t="s">
        <v>143</v>
      </c>
    </row>
    <row r="6" spans="1:25" x14ac:dyDescent="0.25">
      <c r="A6" s="4">
        <v>33</v>
      </c>
      <c r="B6" s="9" t="s">
        <v>145</v>
      </c>
      <c r="C6" s="8" t="s">
        <v>49</v>
      </c>
      <c r="D6" s="6" t="s">
        <v>60</v>
      </c>
      <c r="E6" s="10">
        <v>5</v>
      </c>
      <c r="F6">
        <v>9.6111671951950708</v>
      </c>
      <c r="G6">
        <v>0.88731579757465395</v>
      </c>
      <c r="H6" t="s">
        <v>140</v>
      </c>
      <c r="I6" t="s">
        <v>24</v>
      </c>
      <c r="J6" t="s">
        <v>23</v>
      </c>
      <c r="K6" t="s">
        <v>1433</v>
      </c>
      <c r="L6">
        <v>353</v>
      </c>
      <c r="M6" t="s">
        <v>1796</v>
      </c>
      <c r="N6">
        <v>360</v>
      </c>
      <c r="O6" t="s">
        <v>142</v>
      </c>
      <c r="P6" s="1" t="s">
        <v>141</v>
      </c>
      <c r="Q6" s="25">
        <v>45.945411</v>
      </c>
      <c r="R6" s="25">
        <v>-64.606589</v>
      </c>
      <c r="S6">
        <v>-25.666599999999999</v>
      </c>
      <c r="T6">
        <v>-15.3903</v>
      </c>
      <c r="U6">
        <v>25.666599999999999</v>
      </c>
      <c r="V6" t="s">
        <v>1537</v>
      </c>
      <c r="W6" t="s">
        <v>14</v>
      </c>
      <c r="X6" t="s">
        <v>17</v>
      </c>
      <c r="Y6" t="s">
        <v>143</v>
      </c>
    </row>
    <row r="7" spans="1:25" x14ac:dyDescent="0.25">
      <c r="A7" s="4">
        <v>36</v>
      </c>
      <c r="B7" s="9" t="s">
        <v>146</v>
      </c>
      <c r="C7" s="8" t="s">
        <v>49</v>
      </c>
      <c r="D7" s="6" t="s">
        <v>64</v>
      </c>
      <c r="E7" s="10">
        <v>8</v>
      </c>
      <c r="F7">
        <v>2.2150875710946698</v>
      </c>
      <c r="G7">
        <v>0.34631040872162899</v>
      </c>
      <c r="H7" t="s">
        <v>140</v>
      </c>
      <c r="I7" t="s">
        <v>24</v>
      </c>
      <c r="J7" t="s">
        <v>23</v>
      </c>
      <c r="K7" t="s">
        <v>1433</v>
      </c>
      <c r="L7">
        <v>353</v>
      </c>
      <c r="M7" t="s">
        <v>1796</v>
      </c>
      <c r="N7">
        <v>360</v>
      </c>
      <c r="O7" t="s">
        <v>142</v>
      </c>
      <c r="P7" s="1" t="s">
        <v>141</v>
      </c>
      <c r="Q7" s="25">
        <v>45.945411</v>
      </c>
      <c r="R7" s="25">
        <v>-64.606589</v>
      </c>
      <c r="S7">
        <v>-25.666599999999999</v>
      </c>
      <c r="T7">
        <v>-15.3903</v>
      </c>
      <c r="U7">
        <v>25.666599999999999</v>
      </c>
      <c r="V7" t="s">
        <v>1537</v>
      </c>
      <c r="W7" t="s">
        <v>14</v>
      </c>
      <c r="X7" t="s">
        <v>17</v>
      </c>
      <c r="Y7" t="s">
        <v>143</v>
      </c>
    </row>
    <row r="8" spans="1:25" x14ac:dyDescent="0.25">
      <c r="A8" s="4">
        <v>40</v>
      </c>
      <c r="B8" s="9" t="s">
        <v>146</v>
      </c>
      <c r="C8" s="8" t="s">
        <v>49</v>
      </c>
      <c r="D8" s="6" t="s">
        <v>60</v>
      </c>
      <c r="E8" s="10">
        <v>5</v>
      </c>
      <c r="F8">
        <v>2.7835069375997099</v>
      </c>
      <c r="G8">
        <v>0.25241491674250699</v>
      </c>
      <c r="H8" t="s">
        <v>140</v>
      </c>
      <c r="I8" t="s">
        <v>24</v>
      </c>
      <c r="J8" t="s">
        <v>23</v>
      </c>
      <c r="K8" t="s">
        <v>1433</v>
      </c>
      <c r="L8">
        <v>353</v>
      </c>
      <c r="M8" t="s">
        <v>1796</v>
      </c>
      <c r="N8">
        <v>360</v>
      </c>
      <c r="O8" t="s">
        <v>142</v>
      </c>
      <c r="P8" s="1" t="s">
        <v>141</v>
      </c>
      <c r="Q8" s="25">
        <v>45.945411</v>
      </c>
      <c r="R8" s="25">
        <v>-64.606589</v>
      </c>
      <c r="S8">
        <v>-25.666599999999999</v>
      </c>
      <c r="T8">
        <v>-15.3903</v>
      </c>
      <c r="U8">
        <v>25.666599999999999</v>
      </c>
      <c r="V8" t="s">
        <v>1537</v>
      </c>
      <c r="W8" t="s">
        <v>14</v>
      </c>
      <c r="X8" t="s">
        <v>17</v>
      </c>
      <c r="Y8" t="s">
        <v>143</v>
      </c>
    </row>
    <row r="9" spans="1:25" x14ac:dyDescent="0.25">
      <c r="A9" s="4">
        <v>41</v>
      </c>
      <c r="B9" s="9" t="s">
        <v>147</v>
      </c>
      <c r="C9" s="8" t="s">
        <v>49</v>
      </c>
      <c r="D9" s="6" t="s">
        <v>28</v>
      </c>
      <c r="E9" s="10">
        <v>6</v>
      </c>
      <c r="F9">
        <v>10.1558715124962</v>
      </c>
      <c r="G9">
        <v>3.79830179302754</v>
      </c>
      <c r="H9" t="s">
        <v>140</v>
      </c>
      <c r="I9" t="s">
        <v>24</v>
      </c>
      <c r="J9" t="s">
        <v>23</v>
      </c>
      <c r="K9" t="s">
        <v>1433</v>
      </c>
      <c r="L9">
        <v>353</v>
      </c>
      <c r="M9" t="s">
        <v>1796</v>
      </c>
      <c r="N9">
        <v>360</v>
      </c>
      <c r="O9" t="s">
        <v>142</v>
      </c>
      <c r="P9" s="1" t="s">
        <v>141</v>
      </c>
      <c r="Q9" s="25">
        <v>45.945411</v>
      </c>
      <c r="R9" s="25">
        <v>-64.606589</v>
      </c>
      <c r="S9">
        <v>-25.666599999999999</v>
      </c>
      <c r="T9">
        <v>-15.3903</v>
      </c>
      <c r="U9">
        <v>25.666599999999999</v>
      </c>
      <c r="V9" t="s">
        <v>1537</v>
      </c>
      <c r="W9" t="s">
        <v>14</v>
      </c>
      <c r="X9" t="s">
        <v>17</v>
      </c>
      <c r="Y9" t="s">
        <v>143</v>
      </c>
    </row>
    <row r="10" spans="1:25" x14ac:dyDescent="0.25">
      <c r="A10" s="4">
        <v>43</v>
      </c>
      <c r="B10" s="9" t="s">
        <v>148</v>
      </c>
      <c r="C10" s="8" t="s">
        <v>49</v>
      </c>
      <c r="D10" s="6" t="s">
        <v>60</v>
      </c>
      <c r="E10" s="10">
        <v>5</v>
      </c>
      <c r="F10">
        <v>3.4330402018963699</v>
      </c>
      <c r="G10">
        <v>0.54384441156850405</v>
      </c>
      <c r="H10" t="s">
        <v>140</v>
      </c>
      <c r="I10" t="s">
        <v>24</v>
      </c>
      <c r="J10" t="s">
        <v>23</v>
      </c>
      <c r="K10" t="s">
        <v>1433</v>
      </c>
      <c r="L10">
        <v>353</v>
      </c>
      <c r="M10" t="s">
        <v>1796</v>
      </c>
      <c r="N10">
        <v>360</v>
      </c>
      <c r="O10" t="s">
        <v>142</v>
      </c>
      <c r="P10" s="1" t="s">
        <v>141</v>
      </c>
      <c r="Q10" s="25">
        <v>45.945411</v>
      </c>
      <c r="R10" s="25">
        <v>-64.606589</v>
      </c>
      <c r="S10">
        <v>-25.666599999999999</v>
      </c>
      <c r="T10">
        <v>-15.3903</v>
      </c>
      <c r="U10">
        <v>25.666599999999999</v>
      </c>
      <c r="V10" t="s">
        <v>1537</v>
      </c>
      <c r="W10" t="s">
        <v>14</v>
      </c>
      <c r="X10" t="s">
        <v>17</v>
      </c>
      <c r="Y10" t="s">
        <v>143</v>
      </c>
    </row>
    <row r="11" spans="1:25" x14ac:dyDescent="0.25">
      <c r="A11" s="4">
        <v>44</v>
      </c>
      <c r="B11" s="9" t="s">
        <v>149</v>
      </c>
      <c r="C11" s="8" t="s">
        <v>49</v>
      </c>
      <c r="D11" s="6" t="s">
        <v>28</v>
      </c>
      <c r="E11" s="10">
        <v>6</v>
      </c>
      <c r="F11">
        <v>5.2276117564662004</v>
      </c>
      <c r="G11">
        <v>1.6986459888307299</v>
      </c>
      <c r="H11" t="s">
        <v>140</v>
      </c>
      <c r="I11" t="s">
        <v>24</v>
      </c>
      <c r="J11" t="s">
        <v>23</v>
      </c>
      <c r="K11" t="s">
        <v>1433</v>
      </c>
      <c r="L11">
        <v>353</v>
      </c>
      <c r="M11" t="s">
        <v>1796</v>
      </c>
      <c r="N11">
        <v>360</v>
      </c>
      <c r="O11" t="s">
        <v>142</v>
      </c>
      <c r="P11" s="1" t="s">
        <v>141</v>
      </c>
      <c r="Q11" s="25">
        <v>45.945411</v>
      </c>
      <c r="R11" s="25">
        <v>-64.606589</v>
      </c>
      <c r="S11">
        <v>-25.666599999999999</v>
      </c>
      <c r="T11">
        <v>-15.3903</v>
      </c>
      <c r="U11">
        <v>25.666599999999999</v>
      </c>
      <c r="V11" t="s">
        <v>1537</v>
      </c>
      <c r="W11" t="s">
        <v>14</v>
      </c>
      <c r="X11" t="s">
        <v>17</v>
      </c>
      <c r="Y11" t="s">
        <v>143</v>
      </c>
    </row>
    <row r="12" spans="1:25" x14ac:dyDescent="0.25">
      <c r="A12" s="4">
        <v>45</v>
      </c>
      <c r="B12" s="9" t="s">
        <v>82</v>
      </c>
      <c r="C12" s="8" t="s">
        <v>49</v>
      </c>
      <c r="D12" s="6" t="s">
        <v>60</v>
      </c>
      <c r="E12" s="10">
        <v>5</v>
      </c>
      <c r="F12">
        <v>4.3591732890552297</v>
      </c>
      <c r="G12">
        <v>0.31650716035732301</v>
      </c>
      <c r="H12" t="s">
        <v>140</v>
      </c>
      <c r="I12" t="s">
        <v>24</v>
      </c>
      <c r="J12" t="s">
        <v>23</v>
      </c>
      <c r="K12" t="s">
        <v>1433</v>
      </c>
      <c r="L12">
        <v>353</v>
      </c>
      <c r="M12" t="s">
        <v>1796</v>
      </c>
      <c r="N12">
        <v>360</v>
      </c>
      <c r="O12" t="s">
        <v>142</v>
      </c>
      <c r="P12" s="1" t="s">
        <v>141</v>
      </c>
      <c r="Q12" s="25">
        <v>45.945411</v>
      </c>
      <c r="R12" s="25">
        <v>-64.606589</v>
      </c>
      <c r="S12">
        <v>-25.666599999999999</v>
      </c>
      <c r="T12">
        <v>-15.3903</v>
      </c>
      <c r="U12">
        <v>25.666599999999999</v>
      </c>
      <c r="V12" t="s">
        <v>1537</v>
      </c>
      <c r="W12" t="s">
        <v>14</v>
      </c>
      <c r="X12" t="s">
        <v>17</v>
      </c>
      <c r="Y12" t="s">
        <v>143</v>
      </c>
    </row>
    <row r="13" spans="1:25" x14ac:dyDescent="0.25">
      <c r="A13" s="4">
        <v>46</v>
      </c>
      <c r="B13" s="9" t="s">
        <v>82</v>
      </c>
      <c r="C13" s="8" t="s">
        <v>49</v>
      </c>
      <c r="D13" s="6" t="s">
        <v>64</v>
      </c>
      <c r="E13" s="10">
        <v>8</v>
      </c>
      <c r="F13">
        <v>3.95455483389452</v>
      </c>
      <c r="G13">
        <v>0.417310616586481</v>
      </c>
      <c r="H13" t="s">
        <v>140</v>
      </c>
      <c r="I13" t="s">
        <v>24</v>
      </c>
      <c r="J13" t="s">
        <v>23</v>
      </c>
      <c r="K13" t="s">
        <v>1433</v>
      </c>
      <c r="L13">
        <v>353</v>
      </c>
      <c r="M13" t="s">
        <v>1796</v>
      </c>
      <c r="N13">
        <v>360</v>
      </c>
      <c r="O13" t="s">
        <v>142</v>
      </c>
      <c r="P13" s="1" t="s">
        <v>141</v>
      </c>
      <c r="Q13" s="25">
        <v>45.945411</v>
      </c>
      <c r="R13" s="25">
        <v>-64.606589</v>
      </c>
      <c r="S13">
        <v>-25.666599999999999</v>
      </c>
      <c r="T13">
        <v>-15.3903</v>
      </c>
      <c r="U13">
        <v>25.666599999999999</v>
      </c>
      <c r="V13" t="s">
        <v>1537</v>
      </c>
      <c r="W13" t="s">
        <v>14</v>
      </c>
      <c r="X13" t="s">
        <v>17</v>
      </c>
      <c r="Y13" t="s">
        <v>143</v>
      </c>
    </row>
    <row r="14" spans="1:25" x14ac:dyDescent="0.25">
      <c r="A14" s="4">
        <v>49</v>
      </c>
      <c r="B14" s="9" t="s">
        <v>31</v>
      </c>
      <c r="C14" s="8" t="s">
        <v>29</v>
      </c>
      <c r="D14" s="6" t="s">
        <v>28</v>
      </c>
      <c r="E14" s="10">
        <v>6</v>
      </c>
      <c r="F14">
        <v>235</v>
      </c>
      <c r="G14">
        <v>150</v>
      </c>
      <c r="H14" t="s">
        <v>26</v>
      </c>
      <c r="I14" t="s">
        <v>24</v>
      </c>
      <c r="J14" t="s">
        <v>23</v>
      </c>
      <c r="K14" t="s">
        <v>1450</v>
      </c>
      <c r="L14">
        <v>339</v>
      </c>
      <c r="M14" t="s">
        <v>1800</v>
      </c>
      <c r="N14">
        <v>340</v>
      </c>
      <c r="O14" t="s">
        <v>27</v>
      </c>
      <c r="P14" t="s">
        <v>25</v>
      </c>
      <c r="Q14" s="25">
        <v>57.684952000000003</v>
      </c>
      <c r="R14" s="25">
        <v>-2.686788</v>
      </c>
      <c r="S14">
        <v>-2.7957000000000001</v>
      </c>
      <c r="T14">
        <v>-0.28220000000000001</v>
      </c>
      <c r="U14">
        <v>2.7957000000000001</v>
      </c>
      <c r="V14" t="s">
        <v>1538</v>
      </c>
      <c r="W14" t="s">
        <v>13</v>
      </c>
      <c r="X14" t="s">
        <v>17</v>
      </c>
      <c r="Y14" t="s">
        <v>22</v>
      </c>
    </row>
    <row r="15" spans="1:25" x14ac:dyDescent="0.25">
      <c r="A15" s="4">
        <v>50</v>
      </c>
      <c r="B15" s="9" t="s">
        <v>32</v>
      </c>
      <c r="C15" s="8" t="s">
        <v>29</v>
      </c>
      <c r="D15" s="6" t="s">
        <v>28</v>
      </c>
      <c r="E15" s="10">
        <v>6</v>
      </c>
      <c r="F15">
        <v>210</v>
      </c>
      <c r="G15">
        <v>135</v>
      </c>
      <c r="H15" t="s">
        <v>26</v>
      </c>
      <c r="I15" t="s">
        <v>24</v>
      </c>
      <c r="J15" t="s">
        <v>23</v>
      </c>
      <c r="K15" t="s">
        <v>1450</v>
      </c>
      <c r="L15">
        <v>339</v>
      </c>
      <c r="M15" t="s">
        <v>1800</v>
      </c>
      <c r="N15">
        <v>340</v>
      </c>
      <c r="O15" t="s">
        <v>27</v>
      </c>
      <c r="P15" t="s">
        <v>25</v>
      </c>
      <c r="Q15" s="25">
        <v>57.684952000000003</v>
      </c>
      <c r="R15" s="25">
        <v>-2.686788</v>
      </c>
      <c r="S15">
        <v>-2.7957000000000001</v>
      </c>
      <c r="T15">
        <v>-0.28220000000000001</v>
      </c>
      <c r="U15">
        <v>2.7957000000000001</v>
      </c>
      <c r="V15" t="s">
        <v>1538</v>
      </c>
      <c r="W15" t="s">
        <v>13</v>
      </c>
      <c r="X15" t="s">
        <v>17</v>
      </c>
      <c r="Y15" t="s">
        <v>22</v>
      </c>
    </row>
    <row r="16" spans="1:25" x14ac:dyDescent="0.25">
      <c r="A16" s="4">
        <v>51</v>
      </c>
      <c r="B16" s="9" t="s">
        <v>33</v>
      </c>
      <c r="C16" s="8" t="s">
        <v>29</v>
      </c>
      <c r="D16" s="6" t="s">
        <v>28</v>
      </c>
      <c r="E16" s="10">
        <v>6</v>
      </c>
      <c r="F16">
        <v>210</v>
      </c>
      <c r="G16">
        <v>150</v>
      </c>
      <c r="H16" t="s">
        <v>26</v>
      </c>
      <c r="I16" t="s">
        <v>24</v>
      </c>
      <c r="J16" t="s">
        <v>23</v>
      </c>
      <c r="K16" t="s">
        <v>1450</v>
      </c>
      <c r="L16">
        <v>339</v>
      </c>
      <c r="M16" t="s">
        <v>1800</v>
      </c>
      <c r="N16">
        <v>340</v>
      </c>
      <c r="O16" t="s">
        <v>27</v>
      </c>
      <c r="P16" t="s">
        <v>25</v>
      </c>
      <c r="Q16" s="25">
        <v>57.684952000000003</v>
      </c>
      <c r="R16" s="25">
        <v>-2.686788</v>
      </c>
      <c r="S16">
        <v>-2.7957000000000001</v>
      </c>
      <c r="T16">
        <v>-0.28220000000000001</v>
      </c>
      <c r="U16">
        <v>2.7957000000000001</v>
      </c>
      <c r="V16" t="s">
        <v>1538</v>
      </c>
      <c r="W16" t="s">
        <v>13</v>
      </c>
      <c r="X16" t="s">
        <v>17</v>
      </c>
      <c r="Y16" t="s">
        <v>22</v>
      </c>
    </row>
    <row r="17" spans="1:25" x14ac:dyDescent="0.25">
      <c r="A17" s="4">
        <v>52</v>
      </c>
      <c r="B17" s="9" t="s">
        <v>34</v>
      </c>
      <c r="C17" s="8" t="s">
        <v>29</v>
      </c>
      <c r="D17" s="6" t="s">
        <v>28</v>
      </c>
      <c r="E17" s="10">
        <v>6</v>
      </c>
      <c r="F17">
        <v>220</v>
      </c>
      <c r="G17">
        <v>140</v>
      </c>
      <c r="H17" t="s">
        <v>26</v>
      </c>
      <c r="I17" t="s">
        <v>24</v>
      </c>
      <c r="J17" t="s">
        <v>23</v>
      </c>
      <c r="K17" t="s">
        <v>1450</v>
      </c>
      <c r="L17">
        <v>339</v>
      </c>
      <c r="M17" t="s">
        <v>1800</v>
      </c>
      <c r="N17">
        <v>340</v>
      </c>
      <c r="O17" t="s">
        <v>27</v>
      </c>
      <c r="P17" t="s">
        <v>25</v>
      </c>
      <c r="Q17" s="25">
        <v>57.684952000000003</v>
      </c>
      <c r="R17" s="25">
        <v>-2.686788</v>
      </c>
      <c r="S17">
        <v>-2.7957000000000001</v>
      </c>
      <c r="T17">
        <v>-0.28220000000000001</v>
      </c>
      <c r="U17">
        <v>2.7957000000000001</v>
      </c>
      <c r="V17" t="s">
        <v>1538</v>
      </c>
      <c r="W17" t="s">
        <v>13</v>
      </c>
      <c r="X17" t="s">
        <v>17</v>
      </c>
      <c r="Y17" t="s">
        <v>22</v>
      </c>
    </row>
    <row r="18" spans="1:25" x14ac:dyDescent="0.25">
      <c r="A18" s="4">
        <v>53</v>
      </c>
      <c r="B18" s="9" t="s">
        <v>35</v>
      </c>
      <c r="C18" s="8" t="s">
        <v>29</v>
      </c>
      <c r="D18" s="6" t="s">
        <v>28</v>
      </c>
      <c r="E18" s="10">
        <v>6</v>
      </c>
      <c r="F18">
        <v>300</v>
      </c>
      <c r="G18">
        <v>190</v>
      </c>
      <c r="H18" t="s">
        <v>26</v>
      </c>
      <c r="I18" t="s">
        <v>24</v>
      </c>
      <c r="J18" t="s">
        <v>23</v>
      </c>
      <c r="K18" t="s">
        <v>1450</v>
      </c>
      <c r="L18">
        <v>339</v>
      </c>
      <c r="M18" t="s">
        <v>1800</v>
      </c>
      <c r="N18">
        <v>340</v>
      </c>
      <c r="O18" t="s">
        <v>27</v>
      </c>
      <c r="P18" t="s">
        <v>25</v>
      </c>
      <c r="Q18" s="25">
        <v>57.684952000000003</v>
      </c>
      <c r="R18" s="25">
        <v>-2.686788</v>
      </c>
      <c r="S18">
        <v>-2.7957000000000001</v>
      </c>
      <c r="T18">
        <v>-0.28220000000000001</v>
      </c>
      <c r="U18">
        <v>2.7957000000000001</v>
      </c>
      <c r="V18" t="s">
        <v>1538</v>
      </c>
      <c r="W18" t="s">
        <v>13</v>
      </c>
      <c r="X18" t="s">
        <v>17</v>
      </c>
      <c r="Y18" t="s">
        <v>22</v>
      </c>
    </row>
    <row r="19" spans="1:25" x14ac:dyDescent="0.25">
      <c r="A19" s="4">
        <v>54</v>
      </c>
      <c r="B19" s="9" t="s">
        <v>149</v>
      </c>
      <c r="C19" s="8" t="s">
        <v>29</v>
      </c>
      <c r="D19" s="6" t="s">
        <v>28</v>
      </c>
      <c r="E19" s="10">
        <v>6</v>
      </c>
      <c r="F19">
        <v>427.175395123165</v>
      </c>
      <c r="G19">
        <v>267.2145610444</v>
      </c>
      <c r="H19" t="s">
        <v>26</v>
      </c>
      <c r="I19" t="s">
        <v>24</v>
      </c>
      <c r="J19" t="s">
        <v>23</v>
      </c>
      <c r="K19" t="s">
        <v>1450</v>
      </c>
      <c r="L19">
        <v>339</v>
      </c>
      <c r="M19" t="s">
        <v>1800</v>
      </c>
      <c r="N19">
        <v>340</v>
      </c>
      <c r="O19" t="s">
        <v>27</v>
      </c>
      <c r="P19" s="1" t="s">
        <v>1212</v>
      </c>
      <c r="Q19" s="25">
        <v>56.332434999999997</v>
      </c>
      <c r="R19" s="25">
        <v>-2.7742439999999999</v>
      </c>
      <c r="S19">
        <v>-4.1383000000000001</v>
      </c>
      <c r="T19">
        <v>-0.112</v>
      </c>
      <c r="U19">
        <v>4.1383000000000001</v>
      </c>
      <c r="V19" t="s">
        <v>1538</v>
      </c>
      <c r="W19" t="s">
        <v>14</v>
      </c>
      <c r="X19" t="s">
        <v>18</v>
      </c>
      <c r="Y19" s="1" t="s">
        <v>1210</v>
      </c>
    </row>
    <row r="20" spans="1:25" x14ac:dyDescent="0.25">
      <c r="A20" s="4">
        <v>56</v>
      </c>
      <c r="B20" s="9" t="s">
        <v>596</v>
      </c>
      <c r="C20" s="8" t="s">
        <v>594</v>
      </c>
      <c r="D20" s="6" t="s">
        <v>64</v>
      </c>
      <c r="E20" s="10">
        <v>8</v>
      </c>
      <c r="F20">
        <v>4.9441429165418196</v>
      </c>
      <c r="G20">
        <v>0.57474493965996698</v>
      </c>
      <c r="H20" t="s">
        <v>52</v>
      </c>
      <c r="I20" t="s">
        <v>24</v>
      </c>
      <c r="J20" t="s">
        <v>185</v>
      </c>
      <c r="K20" t="s">
        <v>186</v>
      </c>
      <c r="L20">
        <v>311</v>
      </c>
      <c r="M20" t="s">
        <v>1799</v>
      </c>
      <c r="N20">
        <v>320</v>
      </c>
      <c r="O20" t="s">
        <v>54</v>
      </c>
      <c r="P20" s="1" t="s">
        <v>590</v>
      </c>
      <c r="Q20" s="25">
        <v>-30.218527000000002</v>
      </c>
      <c r="R20" s="25">
        <v>-67.263153000000003</v>
      </c>
      <c r="S20">
        <v>-51.452100000000002</v>
      </c>
      <c r="T20">
        <v>-65.910499999999999</v>
      </c>
      <c r="U20">
        <v>51.452100000000002</v>
      </c>
      <c r="V20" t="s">
        <v>1539</v>
      </c>
      <c r="W20" t="s">
        <v>14</v>
      </c>
      <c r="X20" t="s">
        <v>17</v>
      </c>
      <c r="Y20" s="1" t="s">
        <v>593</v>
      </c>
    </row>
    <row r="21" spans="1:25" x14ac:dyDescent="0.25">
      <c r="A21" s="4">
        <v>57</v>
      </c>
      <c r="B21" s="9" t="s">
        <v>597</v>
      </c>
      <c r="C21" s="8" t="s">
        <v>594</v>
      </c>
      <c r="D21" s="6" t="s">
        <v>64</v>
      </c>
      <c r="E21" s="10">
        <v>8</v>
      </c>
      <c r="F21">
        <v>9.5025378062216301</v>
      </c>
      <c r="G21">
        <v>0.30012171223237599</v>
      </c>
      <c r="H21" t="s">
        <v>52</v>
      </c>
      <c r="I21" t="s">
        <v>24</v>
      </c>
      <c r="J21" t="s">
        <v>185</v>
      </c>
      <c r="K21" t="s">
        <v>186</v>
      </c>
      <c r="L21">
        <v>311</v>
      </c>
      <c r="M21" t="s">
        <v>1799</v>
      </c>
      <c r="N21">
        <v>320</v>
      </c>
      <c r="O21" t="s">
        <v>54</v>
      </c>
      <c r="P21" s="1" t="s">
        <v>590</v>
      </c>
      <c r="Q21" s="25">
        <v>-30.218527000000002</v>
      </c>
      <c r="R21" s="25">
        <v>-67.263153000000003</v>
      </c>
      <c r="S21">
        <v>-51.452100000000002</v>
      </c>
      <c r="T21">
        <v>-65.910499999999999</v>
      </c>
      <c r="U21">
        <v>51.452100000000002</v>
      </c>
      <c r="V21" t="s">
        <v>1539</v>
      </c>
      <c r="W21" t="s">
        <v>14</v>
      </c>
      <c r="X21" t="s">
        <v>17</v>
      </c>
      <c r="Y21" s="1" t="s">
        <v>593</v>
      </c>
    </row>
    <row r="22" spans="1:25" x14ac:dyDescent="0.25">
      <c r="A22" s="4">
        <v>58</v>
      </c>
      <c r="B22" s="9" t="s">
        <v>597</v>
      </c>
      <c r="C22" s="8" t="s">
        <v>594</v>
      </c>
      <c r="D22" s="6" t="s">
        <v>64</v>
      </c>
      <c r="E22" s="10">
        <v>8</v>
      </c>
      <c r="F22">
        <v>5.8062260608170098</v>
      </c>
      <c r="G22">
        <v>0.32893541875686499</v>
      </c>
      <c r="H22" t="s">
        <v>52</v>
      </c>
      <c r="I22" t="s">
        <v>24</v>
      </c>
      <c r="J22" t="s">
        <v>185</v>
      </c>
      <c r="K22" t="s">
        <v>186</v>
      </c>
      <c r="L22">
        <v>311</v>
      </c>
      <c r="M22" t="s">
        <v>1799</v>
      </c>
      <c r="N22">
        <v>320</v>
      </c>
      <c r="O22" t="s">
        <v>54</v>
      </c>
      <c r="P22" s="1" t="s">
        <v>590</v>
      </c>
      <c r="Q22" s="25">
        <v>-30.218527000000002</v>
      </c>
      <c r="R22" s="25">
        <v>-67.263153000000003</v>
      </c>
      <c r="S22">
        <v>-51.452100000000002</v>
      </c>
      <c r="T22">
        <v>-65.910499999999999</v>
      </c>
      <c r="U22">
        <v>51.452100000000002</v>
      </c>
      <c r="V22" t="s">
        <v>1539</v>
      </c>
      <c r="W22" t="s">
        <v>14</v>
      </c>
      <c r="X22" t="s">
        <v>17</v>
      </c>
      <c r="Y22" s="1" t="s">
        <v>593</v>
      </c>
    </row>
    <row r="23" spans="1:25" x14ac:dyDescent="0.25">
      <c r="A23" s="4">
        <v>60</v>
      </c>
      <c r="B23" s="9" t="s">
        <v>596</v>
      </c>
      <c r="C23" s="8" t="s">
        <v>594</v>
      </c>
      <c r="D23" s="6" t="s">
        <v>60</v>
      </c>
      <c r="E23" s="10">
        <v>5</v>
      </c>
      <c r="F23">
        <v>1.4648829293064101</v>
      </c>
      <c r="G23">
        <v>0.20296828940480399</v>
      </c>
      <c r="H23" t="s">
        <v>52</v>
      </c>
      <c r="I23" t="s">
        <v>24</v>
      </c>
      <c r="J23" t="s">
        <v>185</v>
      </c>
      <c r="K23" t="s">
        <v>186</v>
      </c>
      <c r="L23">
        <v>311</v>
      </c>
      <c r="M23" t="s">
        <v>1799</v>
      </c>
      <c r="N23">
        <v>320</v>
      </c>
      <c r="O23" t="s">
        <v>54</v>
      </c>
      <c r="P23" s="1" t="s">
        <v>590</v>
      </c>
      <c r="Q23" s="25">
        <v>-30.218527000000002</v>
      </c>
      <c r="R23" s="25">
        <v>-67.263153000000003</v>
      </c>
      <c r="S23">
        <v>-51.452100000000002</v>
      </c>
      <c r="T23">
        <v>-65.910499999999999</v>
      </c>
      <c r="U23">
        <v>51.452100000000002</v>
      </c>
      <c r="V23" t="s">
        <v>1539</v>
      </c>
      <c r="W23" t="s">
        <v>14</v>
      </c>
      <c r="X23" t="s">
        <v>17</v>
      </c>
      <c r="Y23" s="1" t="s">
        <v>593</v>
      </c>
    </row>
    <row r="24" spans="1:25" x14ac:dyDescent="0.25">
      <c r="A24" s="4">
        <v>62</v>
      </c>
      <c r="B24" s="9" t="s">
        <v>598</v>
      </c>
      <c r="C24" s="8" t="s">
        <v>594</v>
      </c>
      <c r="D24" s="6" t="s">
        <v>64</v>
      </c>
      <c r="E24" s="10">
        <v>8</v>
      </c>
      <c r="F24">
        <v>4.8942862911553799</v>
      </c>
      <c r="G24">
        <v>0.395002732240259</v>
      </c>
      <c r="H24" t="s">
        <v>52</v>
      </c>
      <c r="I24" t="s">
        <v>24</v>
      </c>
      <c r="J24" t="s">
        <v>185</v>
      </c>
      <c r="K24" t="s">
        <v>186</v>
      </c>
      <c r="L24">
        <v>311</v>
      </c>
      <c r="M24" t="s">
        <v>1799</v>
      </c>
      <c r="N24">
        <v>320</v>
      </c>
      <c r="O24" t="s">
        <v>54</v>
      </c>
      <c r="P24" s="1" t="s">
        <v>590</v>
      </c>
      <c r="Q24" s="25">
        <v>-30.218527000000002</v>
      </c>
      <c r="R24" s="25">
        <v>-67.263153000000003</v>
      </c>
      <c r="S24">
        <v>-51.452100000000002</v>
      </c>
      <c r="T24">
        <v>-65.910499999999999</v>
      </c>
      <c r="U24">
        <v>51.452100000000002</v>
      </c>
      <c r="V24" t="s">
        <v>1539</v>
      </c>
      <c r="W24" t="s">
        <v>14</v>
      </c>
      <c r="X24" t="s">
        <v>17</v>
      </c>
      <c r="Y24" s="1" t="s">
        <v>593</v>
      </c>
    </row>
    <row r="25" spans="1:25" x14ac:dyDescent="0.25">
      <c r="A25" s="4">
        <v>63</v>
      </c>
      <c r="B25" s="9" t="s">
        <v>598</v>
      </c>
      <c r="C25" s="8" t="s">
        <v>594</v>
      </c>
      <c r="D25" s="6" t="s">
        <v>60</v>
      </c>
      <c r="E25" s="10">
        <v>5</v>
      </c>
      <c r="F25">
        <v>3.6936451829125101</v>
      </c>
      <c r="G25">
        <v>0.27045430648104302</v>
      </c>
      <c r="H25" t="s">
        <v>52</v>
      </c>
      <c r="I25" t="s">
        <v>24</v>
      </c>
      <c r="J25" t="s">
        <v>185</v>
      </c>
      <c r="K25" t="s">
        <v>186</v>
      </c>
      <c r="L25">
        <v>311</v>
      </c>
      <c r="M25" t="s">
        <v>1799</v>
      </c>
      <c r="N25">
        <v>320</v>
      </c>
      <c r="O25" t="s">
        <v>54</v>
      </c>
      <c r="P25" s="1" t="s">
        <v>590</v>
      </c>
      <c r="Q25" s="25">
        <v>-30.218527000000002</v>
      </c>
      <c r="R25" s="25">
        <v>-67.263153000000003</v>
      </c>
      <c r="S25">
        <v>-51.452100000000002</v>
      </c>
      <c r="T25">
        <v>-65.910499999999999</v>
      </c>
      <c r="U25">
        <v>51.452100000000002</v>
      </c>
      <c r="V25" t="s">
        <v>1539</v>
      </c>
      <c r="W25" t="s">
        <v>14</v>
      </c>
      <c r="X25" t="s">
        <v>17</v>
      </c>
      <c r="Y25" s="1" t="s">
        <v>593</v>
      </c>
    </row>
    <row r="26" spans="1:25" x14ac:dyDescent="0.25">
      <c r="A26" s="4">
        <v>64</v>
      </c>
      <c r="B26" s="9" t="s">
        <v>103</v>
      </c>
      <c r="C26" s="8" t="s">
        <v>100</v>
      </c>
      <c r="D26" s="6" t="s">
        <v>28</v>
      </c>
      <c r="E26" s="10">
        <v>6</v>
      </c>
      <c r="F26">
        <v>387.64765378677203</v>
      </c>
      <c r="G26">
        <v>235.40506125240401</v>
      </c>
      <c r="H26" t="s">
        <v>26</v>
      </c>
      <c r="I26" t="s">
        <v>24</v>
      </c>
      <c r="J26" t="s">
        <v>23</v>
      </c>
      <c r="K26" t="s">
        <v>38</v>
      </c>
      <c r="L26">
        <v>327</v>
      </c>
      <c r="M26" t="s">
        <v>1799</v>
      </c>
      <c r="N26">
        <v>320</v>
      </c>
      <c r="O26" t="s">
        <v>27</v>
      </c>
      <c r="P26" s="1" t="s">
        <v>1214</v>
      </c>
      <c r="Q26" s="25">
        <v>55.707706999999999</v>
      </c>
      <c r="R26" s="25">
        <v>-5.2174800000000001</v>
      </c>
      <c r="S26">
        <v>0.96</v>
      </c>
      <c r="T26">
        <v>4.6345000000000001</v>
      </c>
      <c r="U26">
        <v>0.96</v>
      </c>
      <c r="V26" t="s">
        <v>1538</v>
      </c>
      <c r="W26" t="s">
        <v>13</v>
      </c>
      <c r="X26" t="s">
        <v>17</v>
      </c>
      <c r="Y26" t="s">
        <v>99</v>
      </c>
    </row>
    <row r="27" spans="1:25" x14ac:dyDescent="0.25">
      <c r="A27" s="4">
        <v>65</v>
      </c>
      <c r="B27" s="9" t="s">
        <v>102</v>
      </c>
      <c r="C27" s="8" t="s">
        <v>100</v>
      </c>
      <c r="D27" s="6" t="s">
        <v>28</v>
      </c>
      <c r="E27" s="10">
        <v>6</v>
      </c>
      <c r="F27">
        <v>346.86729136526901</v>
      </c>
      <c r="G27">
        <v>198.91218783870301</v>
      </c>
      <c r="H27" t="s">
        <v>26</v>
      </c>
      <c r="I27" t="s">
        <v>24</v>
      </c>
      <c r="J27" t="s">
        <v>23</v>
      </c>
      <c r="K27" t="s">
        <v>38</v>
      </c>
      <c r="L27">
        <v>327</v>
      </c>
      <c r="M27" t="s">
        <v>1799</v>
      </c>
      <c r="N27">
        <v>320</v>
      </c>
      <c r="O27" t="s">
        <v>27</v>
      </c>
      <c r="P27" s="1" t="s">
        <v>1214</v>
      </c>
      <c r="Q27" s="25">
        <v>55.707706999999999</v>
      </c>
      <c r="R27" s="25">
        <v>-5.2174800000000001</v>
      </c>
      <c r="S27">
        <v>0.96</v>
      </c>
      <c r="T27">
        <v>4.6345000000000001</v>
      </c>
      <c r="U27">
        <v>0.96</v>
      </c>
      <c r="V27" t="s">
        <v>1538</v>
      </c>
      <c r="W27" t="s">
        <v>13</v>
      </c>
      <c r="X27" t="s">
        <v>17</v>
      </c>
      <c r="Y27" t="s">
        <v>99</v>
      </c>
    </row>
    <row r="28" spans="1:25" x14ac:dyDescent="0.25">
      <c r="A28" s="4">
        <v>66</v>
      </c>
      <c r="B28" s="9">
        <v>11570</v>
      </c>
      <c r="C28" s="8" t="s">
        <v>70</v>
      </c>
      <c r="D28" s="6" t="s">
        <v>850</v>
      </c>
      <c r="E28" s="10">
        <v>6</v>
      </c>
      <c r="F28">
        <v>12.1395583034907</v>
      </c>
      <c r="G28">
        <v>4.3252675788759003</v>
      </c>
      <c r="H28" t="s">
        <v>52</v>
      </c>
      <c r="I28" t="s">
        <v>24</v>
      </c>
      <c r="J28" t="s">
        <v>185</v>
      </c>
      <c r="K28" t="s">
        <v>186</v>
      </c>
      <c r="L28">
        <v>311</v>
      </c>
      <c r="M28" t="s">
        <v>1799</v>
      </c>
      <c r="N28">
        <v>320</v>
      </c>
      <c r="O28" t="s">
        <v>54</v>
      </c>
      <c r="P28" s="1" t="s">
        <v>590</v>
      </c>
      <c r="Q28" s="25">
        <v>-29.350256999999999</v>
      </c>
      <c r="R28" s="25">
        <v>-67.780035999999996</v>
      </c>
      <c r="S28">
        <v>-50.5062</v>
      </c>
      <c r="T28">
        <v>-65.520499999999998</v>
      </c>
      <c r="U28">
        <v>50.5062</v>
      </c>
      <c r="V28" t="s">
        <v>1539</v>
      </c>
      <c r="W28" t="s">
        <v>15</v>
      </c>
      <c r="X28" t="s">
        <v>18</v>
      </c>
      <c r="Y28" s="1" t="s">
        <v>849</v>
      </c>
    </row>
    <row r="29" spans="1:25" x14ac:dyDescent="0.25">
      <c r="A29" s="4">
        <v>67</v>
      </c>
      <c r="B29" s="9">
        <v>11564</v>
      </c>
      <c r="C29" s="8" t="s">
        <v>70</v>
      </c>
      <c r="D29" s="6" t="s">
        <v>59</v>
      </c>
      <c r="E29" s="10">
        <v>5</v>
      </c>
      <c r="F29">
        <v>13.734422637039</v>
      </c>
      <c r="G29">
        <v>9.0270701222669398</v>
      </c>
      <c r="H29" t="s">
        <v>52</v>
      </c>
      <c r="I29" t="s">
        <v>24</v>
      </c>
      <c r="J29" t="s">
        <v>185</v>
      </c>
      <c r="K29" t="s">
        <v>186</v>
      </c>
      <c r="L29">
        <v>311</v>
      </c>
      <c r="M29" t="s">
        <v>1799</v>
      </c>
      <c r="N29">
        <v>320</v>
      </c>
      <c r="O29" t="s">
        <v>54</v>
      </c>
      <c r="P29" s="1" t="s">
        <v>590</v>
      </c>
      <c r="Q29" s="25">
        <v>-29.350256999999999</v>
      </c>
      <c r="R29" s="25">
        <v>-67.780035999999996</v>
      </c>
      <c r="S29">
        <v>-50.5062</v>
      </c>
      <c r="T29">
        <v>-65.520499999999998</v>
      </c>
      <c r="U29">
        <v>50.5062</v>
      </c>
      <c r="V29" t="s">
        <v>1539</v>
      </c>
      <c r="W29" t="s">
        <v>15</v>
      </c>
      <c r="X29" t="s">
        <v>18</v>
      </c>
      <c r="Y29" s="1" t="s">
        <v>849</v>
      </c>
    </row>
    <row r="30" spans="1:25" x14ac:dyDescent="0.25">
      <c r="A30" s="4">
        <v>68</v>
      </c>
      <c r="B30" s="9">
        <v>11595</v>
      </c>
      <c r="C30" s="8" t="s">
        <v>70</v>
      </c>
      <c r="D30" s="6" t="s">
        <v>73</v>
      </c>
      <c r="E30" s="10">
        <v>6</v>
      </c>
      <c r="F30">
        <v>13.7211588838667</v>
      </c>
      <c r="G30">
        <v>3.9184182863812</v>
      </c>
      <c r="H30" t="s">
        <v>52</v>
      </c>
      <c r="I30" t="s">
        <v>24</v>
      </c>
      <c r="J30" t="s">
        <v>185</v>
      </c>
      <c r="K30" t="s">
        <v>186</v>
      </c>
      <c r="L30">
        <v>311</v>
      </c>
      <c r="M30" t="s">
        <v>1799</v>
      </c>
      <c r="N30">
        <v>320</v>
      </c>
      <c r="O30" t="s">
        <v>54</v>
      </c>
      <c r="P30" s="1" t="s">
        <v>590</v>
      </c>
      <c r="Q30" s="25">
        <v>-29.350256999999999</v>
      </c>
      <c r="R30" s="25">
        <v>-67.780035999999996</v>
      </c>
      <c r="S30">
        <v>-50.5062</v>
      </c>
      <c r="T30">
        <v>-65.520499999999998</v>
      </c>
      <c r="U30">
        <v>50.5062</v>
      </c>
      <c r="V30" t="s">
        <v>1539</v>
      </c>
      <c r="W30" t="s">
        <v>15</v>
      </c>
      <c r="X30" t="s">
        <v>18</v>
      </c>
      <c r="Y30" s="1" t="s">
        <v>849</v>
      </c>
    </row>
    <row r="31" spans="1:25" x14ac:dyDescent="0.25">
      <c r="A31" s="4">
        <v>70</v>
      </c>
      <c r="B31" s="9">
        <v>11566</v>
      </c>
      <c r="C31" s="8" t="s">
        <v>70</v>
      </c>
      <c r="D31" s="6" t="s">
        <v>319</v>
      </c>
      <c r="E31" s="10">
        <v>6</v>
      </c>
      <c r="F31">
        <v>18.343283610379</v>
      </c>
      <c r="G31">
        <v>6.0028887078512003</v>
      </c>
      <c r="H31" t="s">
        <v>52</v>
      </c>
      <c r="I31" t="s">
        <v>24</v>
      </c>
      <c r="J31" t="s">
        <v>185</v>
      </c>
      <c r="K31" t="s">
        <v>186</v>
      </c>
      <c r="L31">
        <v>311</v>
      </c>
      <c r="M31" t="s">
        <v>1799</v>
      </c>
      <c r="N31">
        <v>320</v>
      </c>
      <c r="O31" t="s">
        <v>54</v>
      </c>
      <c r="P31" s="1" t="s">
        <v>590</v>
      </c>
      <c r="Q31" s="25">
        <v>-29.350256999999999</v>
      </c>
      <c r="R31" s="25">
        <v>-67.780035999999996</v>
      </c>
      <c r="S31">
        <v>-50.5062</v>
      </c>
      <c r="T31">
        <v>-65.520499999999998</v>
      </c>
      <c r="U31">
        <v>50.5062</v>
      </c>
      <c r="V31" t="s">
        <v>1539</v>
      </c>
      <c r="W31" t="s">
        <v>15</v>
      </c>
      <c r="X31" t="s">
        <v>18</v>
      </c>
      <c r="Y31" s="1" t="s">
        <v>849</v>
      </c>
    </row>
    <row r="32" spans="1:25" x14ac:dyDescent="0.25">
      <c r="A32" s="4">
        <v>71</v>
      </c>
      <c r="B32" s="9">
        <v>11567</v>
      </c>
      <c r="C32" s="8" t="s">
        <v>70</v>
      </c>
      <c r="D32" s="6" t="s">
        <v>319</v>
      </c>
      <c r="E32" s="10">
        <v>6</v>
      </c>
      <c r="F32">
        <v>18.1682360286357</v>
      </c>
      <c r="G32">
        <v>5.7668889316773102</v>
      </c>
      <c r="H32" t="s">
        <v>52</v>
      </c>
      <c r="I32" t="s">
        <v>24</v>
      </c>
      <c r="J32" t="s">
        <v>185</v>
      </c>
      <c r="K32" t="s">
        <v>186</v>
      </c>
      <c r="L32">
        <v>311</v>
      </c>
      <c r="M32" t="s">
        <v>1799</v>
      </c>
      <c r="N32">
        <v>320</v>
      </c>
      <c r="O32" t="s">
        <v>54</v>
      </c>
      <c r="P32" s="1" t="s">
        <v>590</v>
      </c>
      <c r="Q32" s="25">
        <v>-29.350256999999999</v>
      </c>
      <c r="R32" s="25">
        <v>-67.780035999999996</v>
      </c>
      <c r="S32">
        <v>-50.5062</v>
      </c>
      <c r="T32">
        <v>-65.520499999999998</v>
      </c>
      <c r="U32">
        <v>50.5062</v>
      </c>
      <c r="V32" t="s">
        <v>1539</v>
      </c>
      <c r="W32" t="s">
        <v>15</v>
      </c>
      <c r="X32" t="s">
        <v>18</v>
      </c>
      <c r="Y32" s="1" t="s">
        <v>849</v>
      </c>
    </row>
    <row r="33" spans="1:25" x14ac:dyDescent="0.25">
      <c r="A33" s="4">
        <v>72</v>
      </c>
      <c r="B33" s="9">
        <v>11574</v>
      </c>
      <c r="C33" s="8" t="s">
        <v>70</v>
      </c>
      <c r="D33" s="6" t="s">
        <v>319</v>
      </c>
      <c r="E33" s="10">
        <v>6</v>
      </c>
      <c r="F33">
        <v>11.941442258740301</v>
      </c>
      <c r="G33">
        <v>6.6148814199285297</v>
      </c>
      <c r="H33" t="s">
        <v>52</v>
      </c>
      <c r="I33" t="s">
        <v>24</v>
      </c>
      <c r="J33" t="s">
        <v>185</v>
      </c>
      <c r="K33" t="s">
        <v>186</v>
      </c>
      <c r="L33">
        <v>311</v>
      </c>
      <c r="M33" t="s">
        <v>1799</v>
      </c>
      <c r="N33">
        <v>320</v>
      </c>
      <c r="O33" t="s">
        <v>54</v>
      </c>
      <c r="P33" s="1" t="s">
        <v>590</v>
      </c>
      <c r="Q33" s="25">
        <v>-29.350256999999999</v>
      </c>
      <c r="R33" s="25">
        <v>-67.780035999999996</v>
      </c>
      <c r="S33">
        <v>-50.5062</v>
      </c>
      <c r="T33">
        <v>-65.520499999999998</v>
      </c>
      <c r="U33">
        <v>50.5062</v>
      </c>
      <c r="V33" t="s">
        <v>1539</v>
      </c>
      <c r="W33" t="s">
        <v>15</v>
      </c>
      <c r="X33" t="s">
        <v>18</v>
      </c>
      <c r="Y33" s="1" t="s">
        <v>849</v>
      </c>
    </row>
    <row r="34" spans="1:25" x14ac:dyDescent="0.25">
      <c r="A34" s="4">
        <v>73</v>
      </c>
      <c r="B34" s="9" t="s">
        <v>178</v>
      </c>
      <c r="C34" s="8" t="s">
        <v>70</v>
      </c>
      <c r="D34" s="6" t="s">
        <v>130</v>
      </c>
      <c r="E34" s="10">
        <v>6</v>
      </c>
      <c r="F34">
        <v>10.174343018022</v>
      </c>
      <c r="G34">
        <v>2.82071945064797</v>
      </c>
      <c r="H34" t="s">
        <v>52</v>
      </c>
      <c r="I34" t="s">
        <v>24</v>
      </c>
      <c r="J34" t="s">
        <v>185</v>
      </c>
      <c r="K34" t="s">
        <v>186</v>
      </c>
      <c r="L34">
        <v>311</v>
      </c>
      <c r="M34" t="s">
        <v>1799</v>
      </c>
      <c r="N34">
        <v>320</v>
      </c>
      <c r="O34" t="s">
        <v>54</v>
      </c>
      <c r="P34" s="1" t="s">
        <v>590</v>
      </c>
      <c r="Q34" s="25">
        <v>-29.350256999999999</v>
      </c>
      <c r="R34" s="25">
        <v>-67.780035999999996</v>
      </c>
      <c r="S34">
        <v>-50.5062</v>
      </c>
      <c r="T34">
        <v>-65.520499999999998</v>
      </c>
      <c r="U34">
        <v>50.5062</v>
      </c>
      <c r="V34" t="s">
        <v>1539</v>
      </c>
      <c r="W34" t="s">
        <v>15</v>
      </c>
      <c r="X34" t="s">
        <v>18</v>
      </c>
      <c r="Y34" s="1" t="s">
        <v>849</v>
      </c>
    </row>
    <row r="35" spans="1:25" x14ac:dyDescent="0.25">
      <c r="A35" s="4">
        <v>75</v>
      </c>
      <c r="B35" s="9">
        <v>943</v>
      </c>
      <c r="C35" s="8" t="s">
        <v>109</v>
      </c>
      <c r="D35" s="6" t="s">
        <v>67</v>
      </c>
      <c r="E35" s="10">
        <v>6</v>
      </c>
      <c r="F35">
        <v>7.7907538817196098</v>
      </c>
      <c r="G35">
        <v>2.1285957746452402</v>
      </c>
      <c r="H35" t="s">
        <v>52</v>
      </c>
      <c r="I35" t="s">
        <v>24</v>
      </c>
      <c r="J35" t="s">
        <v>23</v>
      </c>
      <c r="K35" t="s">
        <v>38</v>
      </c>
      <c r="L35">
        <v>327</v>
      </c>
      <c r="M35" t="s">
        <v>1799</v>
      </c>
      <c r="N35">
        <v>320</v>
      </c>
      <c r="O35" t="s">
        <v>54</v>
      </c>
      <c r="P35" s="1" t="s">
        <v>53</v>
      </c>
      <c r="Q35" s="25">
        <v>-30.143283</v>
      </c>
      <c r="R35" s="25">
        <v>-68.544953000000007</v>
      </c>
      <c r="S35">
        <v>-49.843200000000003</v>
      </c>
      <c r="T35">
        <v>-65.590199999999996</v>
      </c>
      <c r="U35">
        <v>49.843200000000003</v>
      </c>
      <c r="V35" t="s">
        <v>1539</v>
      </c>
      <c r="W35" t="s">
        <v>13</v>
      </c>
      <c r="X35" t="s">
        <v>16</v>
      </c>
      <c r="Y35" t="s">
        <v>108</v>
      </c>
    </row>
    <row r="36" spans="1:25" x14ac:dyDescent="0.25">
      <c r="A36" s="4">
        <v>77</v>
      </c>
      <c r="B36" s="9">
        <v>946</v>
      </c>
      <c r="C36" s="8" t="s">
        <v>109</v>
      </c>
      <c r="D36" s="6" t="s">
        <v>60</v>
      </c>
      <c r="E36" s="10">
        <v>5</v>
      </c>
      <c r="F36">
        <v>6.07205793110648</v>
      </c>
      <c r="G36">
        <v>0.43677959372052599</v>
      </c>
      <c r="H36" t="s">
        <v>52</v>
      </c>
      <c r="I36" t="s">
        <v>24</v>
      </c>
      <c r="J36" t="s">
        <v>23</v>
      </c>
      <c r="K36" t="s">
        <v>38</v>
      </c>
      <c r="L36">
        <v>327</v>
      </c>
      <c r="M36" t="s">
        <v>1799</v>
      </c>
      <c r="N36">
        <v>320</v>
      </c>
      <c r="O36" t="s">
        <v>54</v>
      </c>
      <c r="P36" s="1" t="s">
        <v>53</v>
      </c>
      <c r="Q36" s="25">
        <v>-30.143283</v>
      </c>
      <c r="R36" s="25">
        <v>-68.544953000000007</v>
      </c>
      <c r="S36">
        <v>-49.843200000000003</v>
      </c>
      <c r="T36">
        <v>-65.590199999999996</v>
      </c>
      <c r="U36">
        <v>49.843200000000003</v>
      </c>
      <c r="V36" t="s">
        <v>1539</v>
      </c>
      <c r="W36" t="s">
        <v>13</v>
      </c>
      <c r="X36" t="s">
        <v>16</v>
      </c>
      <c r="Y36" t="s">
        <v>108</v>
      </c>
    </row>
    <row r="37" spans="1:25" x14ac:dyDescent="0.25">
      <c r="A37" s="4">
        <v>79</v>
      </c>
      <c r="B37" s="9">
        <v>13100</v>
      </c>
      <c r="C37" s="8" t="s">
        <v>70</v>
      </c>
      <c r="D37" s="6" t="s">
        <v>60</v>
      </c>
      <c r="E37" s="10">
        <v>5</v>
      </c>
      <c r="F37">
        <v>5.9739587257888198</v>
      </c>
      <c r="G37">
        <v>0.37490511415045202</v>
      </c>
      <c r="H37" t="s">
        <v>52</v>
      </c>
      <c r="I37" t="s">
        <v>24</v>
      </c>
      <c r="J37" t="s">
        <v>23</v>
      </c>
      <c r="K37" t="s">
        <v>38</v>
      </c>
      <c r="L37">
        <v>327</v>
      </c>
      <c r="M37" t="s">
        <v>1799</v>
      </c>
      <c r="N37">
        <v>320</v>
      </c>
      <c r="O37" t="s">
        <v>54</v>
      </c>
      <c r="P37" t="s">
        <v>53</v>
      </c>
      <c r="Q37" s="25">
        <v>-30.143283</v>
      </c>
      <c r="R37" s="25">
        <v>-68.544953000000007</v>
      </c>
      <c r="S37">
        <v>-49.843200000000003</v>
      </c>
      <c r="T37">
        <v>-65.590199999999996</v>
      </c>
      <c r="U37">
        <v>49.843200000000003</v>
      </c>
      <c r="V37" t="s">
        <v>1539</v>
      </c>
      <c r="W37" t="s">
        <v>13</v>
      </c>
      <c r="X37" t="s">
        <v>16</v>
      </c>
      <c r="Y37" s="1" t="s">
        <v>893</v>
      </c>
    </row>
    <row r="38" spans="1:25" x14ac:dyDescent="0.25">
      <c r="A38" s="4">
        <v>80</v>
      </c>
      <c r="B38" s="9">
        <v>12687</v>
      </c>
      <c r="C38" s="8" t="s">
        <v>70</v>
      </c>
      <c r="D38" s="6" t="s">
        <v>60</v>
      </c>
      <c r="E38" s="10">
        <v>5</v>
      </c>
      <c r="F38">
        <v>6.2981057521114696</v>
      </c>
      <c r="G38">
        <v>1.49893264906799</v>
      </c>
      <c r="H38" t="s">
        <v>52</v>
      </c>
      <c r="I38" t="s">
        <v>24</v>
      </c>
      <c r="J38" t="s">
        <v>23</v>
      </c>
      <c r="K38" t="s">
        <v>38</v>
      </c>
      <c r="L38">
        <v>327</v>
      </c>
      <c r="M38" t="s">
        <v>1799</v>
      </c>
      <c r="N38">
        <v>320</v>
      </c>
      <c r="O38" t="s">
        <v>54</v>
      </c>
      <c r="P38" t="s">
        <v>53</v>
      </c>
      <c r="Q38" s="25">
        <v>-30.143283</v>
      </c>
      <c r="R38" s="25">
        <v>-68.544953000000007</v>
      </c>
      <c r="S38">
        <v>-49.843200000000003</v>
      </c>
      <c r="T38">
        <v>-65.590199999999996</v>
      </c>
      <c r="U38">
        <v>49.843200000000003</v>
      </c>
      <c r="V38" t="s">
        <v>1539</v>
      </c>
      <c r="W38" t="s">
        <v>13</v>
      </c>
      <c r="X38" t="s">
        <v>16</v>
      </c>
      <c r="Y38" s="1" t="s">
        <v>893</v>
      </c>
    </row>
    <row r="39" spans="1:25" x14ac:dyDescent="0.25">
      <c r="A39" s="4">
        <v>85</v>
      </c>
      <c r="B39" s="9" t="s">
        <v>226</v>
      </c>
      <c r="C39" s="8" t="s">
        <v>49</v>
      </c>
      <c r="D39" s="10" t="s">
        <v>434</v>
      </c>
      <c r="E39" s="10">
        <v>6</v>
      </c>
      <c r="F39">
        <v>12.6696085601895</v>
      </c>
      <c r="G39">
        <v>6.0354713699366904</v>
      </c>
      <c r="H39" t="s">
        <v>52</v>
      </c>
      <c r="I39" t="s">
        <v>24</v>
      </c>
      <c r="J39" t="s">
        <v>185</v>
      </c>
      <c r="K39" t="s">
        <v>212</v>
      </c>
      <c r="L39">
        <v>319</v>
      </c>
      <c r="M39" t="s">
        <v>1799</v>
      </c>
      <c r="N39">
        <v>320</v>
      </c>
      <c r="O39" t="s">
        <v>903</v>
      </c>
      <c r="P39" s="1" t="s">
        <v>901</v>
      </c>
      <c r="Q39" s="25">
        <v>-31.555896000000001</v>
      </c>
      <c r="R39" s="25">
        <v>-69.278536000000003</v>
      </c>
      <c r="S39">
        <v>-50.481999999999999</v>
      </c>
      <c r="T39">
        <v>-67.789100000000005</v>
      </c>
      <c r="U39">
        <v>50.481999999999999</v>
      </c>
      <c r="V39" t="s">
        <v>1539</v>
      </c>
      <c r="W39" t="s">
        <v>13</v>
      </c>
      <c r="X39" t="s">
        <v>16</v>
      </c>
      <c r="Y39" s="1" t="s">
        <v>902</v>
      </c>
    </row>
    <row r="40" spans="1:25" x14ac:dyDescent="0.25">
      <c r="A40" s="4">
        <v>86</v>
      </c>
      <c r="B40" s="9" t="s">
        <v>910</v>
      </c>
      <c r="C40" s="8" t="s">
        <v>49</v>
      </c>
      <c r="D40" s="6" t="s">
        <v>73</v>
      </c>
      <c r="E40" s="10">
        <v>6</v>
      </c>
      <c r="F40">
        <v>10.6393852837233</v>
      </c>
      <c r="G40">
        <v>5.0215405407665497</v>
      </c>
      <c r="H40" t="s">
        <v>52</v>
      </c>
      <c r="I40" t="s">
        <v>24</v>
      </c>
      <c r="J40" t="s">
        <v>185</v>
      </c>
      <c r="K40" t="s">
        <v>212</v>
      </c>
      <c r="L40">
        <v>319</v>
      </c>
      <c r="M40" t="s">
        <v>1799</v>
      </c>
      <c r="N40">
        <v>320</v>
      </c>
      <c r="O40" t="s">
        <v>903</v>
      </c>
      <c r="P40" s="1" t="s">
        <v>901</v>
      </c>
      <c r="Q40" s="25">
        <v>-31.555896000000001</v>
      </c>
      <c r="R40" s="25">
        <v>-69.278536000000003</v>
      </c>
      <c r="S40">
        <v>-50.481999999999999</v>
      </c>
      <c r="T40">
        <v>-67.789100000000005</v>
      </c>
      <c r="U40">
        <v>50.481999999999999</v>
      </c>
      <c r="V40" t="s">
        <v>1539</v>
      </c>
      <c r="W40" t="s">
        <v>13</v>
      </c>
      <c r="X40" t="s">
        <v>16</v>
      </c>
      <c r="Y40" s="1" t="s">
        <v>908</v>
      </c>
    </row>
    <row r="41" spans="1:25" x14ac:dyDescent="0.25">
      <c r="A41" s="4">
        <v>87</v>
      </c>
      <c r="B41" s="9" t="s">
        <v>911</v>
      </c>
      <c r="C41" s="8" t="s">
        <v>49</v>
      </c>
      <c r="D41" s="10" t="s">
        <v>909</v>
      </c>
      <c r="E41" s="10">
        <v>7</v>
      </c>
      <c r="F41">
        <v>26.1338170802745</v>
      </c>
      <c r="G41">
        <v>2.8797482216729202</v>
      </c>
      <c r="H41" t="s">
        <v>52</v>
      </c>
      <c r="I41" t="s">
        <v>24</v>
      </c>
      <c r="J41" t="s">
        <v>185</v>
      </c>
      <c r="K41" t="s">
        <v>212</v>
      </c>
      <c r="L41">
        <v>319</v>
      </c>
      <c r="M41" t="s">
        <v>1799</v>
      </c>
      <c r="N41">
        <v>320</v>
      </c>
      <c r="O41" t="s">
        <v>903</v>
      </c>
      <c r="P41" s="1" t="s">
        <v>901</v>
      </c>
      <c r="Q41" s="25">
        <v>-31.555896000000001</v>
      </c>
      <c r="R41" s="25">
        <v>-69.278536000000003</v>
      </c>
      <c r="S41">
        <v>-50.481999999999999</v>
      </c>
      <c r="T41">
        <v>-67.789100000000005</v>
      </c>
      <c r="U41">
        <v>50.481999999999999</v>
      </c>
      <c r="V41" t="s">
        <v>1539</v>
      </c>
      <c r="W41" t="s">
        <v>13</v>
      </c>
      <c r="X41" t="s">
        <v>16</v>
      </c>
      <c r="Y41" s="1" t="s">
        <v>908</v>
      </c>
    </row>
    <row r="42" spans="1:25" x14ac:dyDescent="0.25">
      <c r="A42" s="4">
        <v>94</v>
      </c>
      <c r="B42" s="9" t="s">
        <v>123</v>
      </c>
      <c r="C42" s="8" t="s">
        <v>121</v>
      </c>
      <c r="D42" s="6" t="s">
        <v>60</v>
      </c>
      <c r="E42" s="10">
        <v>5</v>
      </c>
      <c r="F42">
        <v>1.8507804546865101</v>
      </c>
      <c r="G42">
        <v>0.25543629866842099</v>
      </c>
      <c r="H42" t="s">
        <v>92</v>
      </c>
      <c r="I42" t="s">
        <v>24</v>
      </c>
      <c r="J42" t="s">
        <v>23</v>
      </c>
      <c r="K42" t="s">
        <v>38</v>
      </c>
      <c r="L42">
        <v>327</v>
      </c>
      <c r="M42" t="s">
        <v>1799</v>
      </c>
      <c r="N42">
        <v>320</v>
      </c>
      <c r="O42" t="s">
        <v>97</v>
      </c>
      <c r="P42" s="1" t="s">
        <v>119</v>
      </c>
      <c r="Q42" s="25">
        <v>40.688775</v>
      </c>
      <c r="R42" s="25">
        <v>-76.135204000000002</v>
      </c>
      <c r="S42">
        <v>-11.742599999999999</v>
      </c>
      <c r="T42">
        <v>-17.823599999999999</v>
      </c>
      <c r="U42">
        <v>11.742599999999999</v>
      </c>
      <c r="V42" t="s">
        <v>1538</v>
      </c>
      <c r="W42" t="s">
        <v>14</v>
      </c>
      <c r="X42" t="s">
        <v>17</v>
      </c>
      <c r="Y42" t="s">
        <v>120</v>
      </c>
    </row>
    <row r="43" spans="1:25" x14ac:dyDescent="0.25">
      <c r="A43" s="4">
        <v>103</v>
      </c>
      <c r="B43" s="9" t="s">
        <v>123</v>
      </c>
      <c r="C43" s="8" t="s">
        <v>121</v>
      </c>
      <c r="D43" s="6" t="s">
        <v>64</v>
      </c>
      <c r="E43" s="10">
        <v>8</v>
      </c>
      <c r="F43">
        <v>2.3841586932357002</v>
      </c>
      <c r="G43">
        <v>0.33454378927330503</v>
      </c>
      <c r="H43" t="s">
        <v>92</v>
      </c>
      <c r="I43" t="s">
        <v>24</v>
      </c>
      <c r="J43" t="s">
        <v>23</v>
      </c>
      <c r="K43" t="s">
        <v>38</v>
      </c>
      <c r="L43">
        <v>327</v>
      </c>
      <c r="M43" t="s">
        <v>1799</v>
      </c>
      <c r="N43">
        <v>320</v>
      </c>
      <c r="O43" t="s">
        <v>97</v>
      </c>
      <c r="P43" s="1" t="s">
        <v>119</v>
      </c>
      <c r="Q43" s="25">
        <v>40.688775</v>
      </c>
      <c r="R43" s="25">
        <v>-76.135204000000002</v>
      </c>
      <c r="S43">
        <v>-11.742599999999999</v>
      </c>
      <c r="T43">
        <v>-17.823599999999999</v>
      </c>
      <c r="U43">
        <v>11.742599999999999</v>
      </c>
      <c r="V43" t="s">
        <v>1538</v>
      </c>
      <c r="W43" t="s">
        <v>14</v>
      </c>
      <c r="X43" t="s">
        <v>17</v>
      </c>
      <c r="Y43" t="s">
        <v>120</v>
      </c>
    </row>
    <row r="44" spans="1:25" x14ac:dyDescent="0.25">
      <c r="A44" s="4">
        <v>105</v>
      </c>
      <c r="B44" s="9" t="s">
        <v>124</v>
      </c>
      <c r="C44" s="8" t="s">
        <v>121</v>
      </c>
      <c r="D44" s="6" t="s">
        <v>28</v>
      </c>
      <c r="E44" s="10">
        <v>6</v>
      </c>
      <c r="F44">
        <v>4.3327197658654804</v>
      </c>
      <c r="G44">
        <v>1.0978207786196701</v>
      </c>
      <c r="H44" t="s">
        <v>92</v>
      </c>
      <c r="I44" t="s">
        <v>24</v>
      </c>
      <c r="J44" t="s">
        <v>23</v>
      </c>
      <c r="K44" t="s">
        <v>38</v>
      </c>
      <c r="L44">
        <v>327</v>
      </c>
      <c r="M44" t="s">
        <v>1799</v>
      </c>
      <c r="N44">
        <v>320</v>
      </c>
      <c r="O44" t="s">
        <v>97</v>
      </c>
      <c r="P44" s="1" t="s">
        <v>119</v>
      </c>
      <c r="Q44" s="25">
        <v>40.688775</v>
      </c>
      <c r="R44" s="25">
        <v>-76.135204000000002</v>
      </c>
      <c r="S44">
        <v>-11.742599999999999</v>
      </c>
      <c r="T44">
        <v>-17.823599999999999</v>
      </c>
      <c r="U44">
        <v>11.742599999999999</v>
      </c>
      <c r="V44" t="s">
        <v>1538</v>
      </c>
      <c r="W44" t="s">
        <v>14</v>
      </c>
      <c r="X44" t="s">
        <v>17</v>
      </c>
      <c r="Y44" t="s">
        <v>120</v>
      </c>
    </row>
    <row r="45" spans="1:25" x14ac:dyDescent="0.25">
      <c r="A45" s="4">
        <v>106</v>
      </c>
      <c r="B45" s="9" t="s">
        <v>125</v>
      </c>
      <c r="C45" s="8" t="s">
        <v>121</v>
      </c>
      <c r="D45" s="6" t="s">
        <v>28</v>
      </c>
      <c r="E45" s="10">
        <v>6</v>
      </c>
      <c r="F45">
        <v>3.4568196542509901</v>
      </c>
      <c r="G45">
        <v>2.3140936856140502</v>
      </c>
      <c r="H45" t="s">
        <v>92</v>
      </c>
      <c r="I45" t="s">
        <v>24</v>
      </c>
      <c r="J45" t="s">
        <v>23</v>
      </c>
      <c r="K45" t="s">
        <v>38</v>
      </c>
      <c r="L45">
        <v>327</v>
      </c>
      <c r="M45" t="s">
        <v>1799</v>
      </c>
      <c r="N45">
        <v>320</v>
      </c>
      <c r="O45" t="s">
        <v>97</v>
      </c>
      <c r="P45" s="1" t="s">
        <v>119</v>
      </c>
      <c r="Q45" s="25">
        <v>40.688775</v>
      </c>
      <c r="R45" s="25">
        <v>-76.135204000000002</v>
      </c>
      <c r="S45">
        <v>-11.742599999999999</v>
      </c>
      <c r="T45">
        <v>-17.823599999999999</v>
      </c>
      <c r="U45">
        <v>11.742599999999999</v>
      </c>
      <c r="V45" t="s">
        <v>1538</v>
      </c>
      <c r="W45" t="s">
        <v>14</v>
      </c>
      <c r="X45" t="s">
        <v>17</v>
      </c>
      <c r="Y45" t="s">
        <v>120</v>
      </c>
    </row>
    <row r="46" spans="1:25" x14ac:dyDescent="0.25">
      <c r="A46" s="4">
        <v>107</v>
      </c>
      <c r="B46" s="9" t="s">
        <v>126</v>
      </c>
      <c r="C46" s="8" t="s">
        <v>121</v>
      </c>
      <c r="D46" s="6" t="s">
        <v>28</v>
      </c>
      <c r="E46" s="10">
        <v>6</v>
      </c>
      <c r="F46">
        <v>7.62527143303077</v>
      </c>
      <c r="G46">
        <v>3.7067480254038201</v>
      </c>
      <c r="H46" t="s">
        <v>92</v>
      </c>
      <c r="I46" t="s">
        <v>24</v>
      </c>
      <c r="J46" t="s">
        <v>23</v>
      </c>
      <c r="K46" t="s">
        <v>38</v>
      </c>
      <c r="L46">
        <v>327</v>
      </c>
      <c r="M46" t="s">
        <v>1799</v>
      </c>
      <c r="N46">
        <v>320</v>
      </c>
      <c r="O46" t="s">
        <v>97</v>
      </c>
      <c r="P46" s="1" t="s">
        <v>119</v>
      </c>
      <c r="Q46" s="25">
        <v>40.688775</v>
      </c>
      <c r="R46" s="25">
        <v>-76.135204000000002</v>
      </c>
      <c r="S46">
        <v>-11.742599999999999</v>
      </c>
      <c r="T46">
        <v>-17.823599999999999</v>
      </c>
      <c r="U46">
        <v>11.742599999999999</v>
      </c>
      <c r="V46" t="s">
        <v>1538</v>
      </c>
      <c r="W46" t="s">
        <v>14</v>
      </c>
      <c r="X46" t="s">
        <v>17</v>
      </c>
      <c r="Y46" t="s">
        <v>120</v>
      </c>
    </row>
    <row r="47" spans="1:25" x14ac:dyDescent="0.25">
      <c r="A47" s="4">
        <v>108</v>
      </c>
      <c r="B47" s="9" t="s">
        <v>127</v>
      </c>
      <c r="C47" s="8" t="s">
        <v>121</v>
      </c>
      <c r="D47" s="6" t="s">
        <v>59</v>
      </c>
      <c r="E47" s="10">
        <v>5</v>
      </c>
      <c r="F47">
        <v>2.41541392989543</v>
      </c>
      <c r="G47">
        <v>0.84429538493699996</v>
      </c>
      <c r="H47" t="s">
        <v>92</v>
      </c>
      <c r="I47" t="s">
        <v>24</v>
      </c>
      <c r="J47" t="s">
        <v>23</v>
      </c>
      <c r="K47" t="s">
        <v>38</v>
      </c>
      <c r="L47">
        <v>327</v>
      </c>
      <c r="M47" t="s">
        <v>1799</v>
      </c>
      <c r="N47">
        <v>320</v>
      </c>
      <c r="O47" t="s">
        <v>97</v>
      </c>
      <c r="P47" s="1" t="s">
        <v>119</v>
      </c>
      <c r="Q47" s="25">
        <v>40.688775</v>
      </c>
      <c r="R47" s="25">
        <v>-76.135204000000002</v>
      </c>
      <c r="S47">
        <v>-11.742599999999999</v>
      </c>
      <c r="T47">
        <v>-17.823599999999999</v>
      </c>
      <c r="U47">
        <v>11.742599999999999</v>
      </c>
      <c r="V47" t="s">
        <v>1538</v>
      </c>
      <c r="W47" t="s">
        <v>14</v>
      </c>
      <c r="X47" t="s">
        <v>17</v>
      </c>
      <c r="Y47" t="s">
        <v>120</v>
      </c>
    </row>
    <row r="48" spans="1:25" x14ac:dyDescent="0.25">
      <c r="A48" s="4">
        <v>109</v>
      </c>
      <c r="B48" s="9" t="s">
        <v>128</v>
      </c>
      <c r="C48" s="8" t="s">
        <v>121</v>
      </c>
      <c r="D48" s="6" t="s">
        <v>59</v>
      </c>
      <c r="E48" s="10">
        <v>5</v>
      </c>
      <c r="F48">
        <v>2.5403522331180102</v>
      </c>
      <c r="G48">
        <v>1.17929831172532</v>
      </c>
      <c r="H48" t="s">
        <v>92</v>
      </c>
      <c r="I48" t="s">
        <v>24</v>
      </c>
      <c r="J48" t="s">
        <v>23</v>
      </c>
      <c r="K48" t="s">
        <v>38</v>
      </c>
      <c r="L48">
        <v>327</v>
      </c>
      <c r="M48" t="s">
        <v>1799</v>
      </c>
      <c r="N48">
        <v>320</v>
      </c>
      <c r="O48" t="s">
        <v>97</v>
      </c>
      <c r="P48" s="1" t="s">
        <v>119</v>
      </c>
      <c r="Q48" s="25">
        <v>40.688775</v>
      </c>
      <c r="R48" s="25">
        <v>-76.135204000000002</v>
      </c>
      <c r="S48">
        <v>-11.742599999999999</v>
      </c>
      <c r="T48">
        <v>-17.823599999999999</v>
      </c>
      <c r="U48">
        <v>11.742599999999999</v>
      </c>
      <c r="V48" t="s">
        <v>1538</v>
      </c>
      <c r="W48" t="s">
        <v>14</v>
      </c>
      <c r="X48" t="s">
        <v>17</v>
      </c>
      <c r="Y48" t="s">
        <v>120</v>
      </c>
    </row>
    <row r="49" spans="1:25" x14ac:dyDescent="0.25">
      <c r="A49" s="4">
        <v>110</v>
      </c>
      <c r="B49" s="9" t="s">
        <v>129</v>
      </c>
      <c r="C49" s="8" t="s">
        <v>121</v>
      </c>
      <c r="D49" s="6" t="s">
        <v>59</v>
      </c>
      <c r="E49" s="10">
        <v>5</v>
      </c>
      <c r="F49">
        <v>1.7332436736769199</v>
      </c>
      <c r="G49">
        <v>0.79539687146100102</v>
      </c>
      <c r="H49" t="s">
        <v>92</v>
      </c>
      <c r="I49" t="s">
        <v>24</v>
      </c>
      <c r="J49" t="s">
        <v>23</v>
      </c>
      <c r="K49" t="s">
        <v>38</v>
      </c>
      <c r="L49">
        <v>327</v>
      </c>
      <c r="M49" t="s">
        <v>1799</v>
      </c>
      <c r="N49">
        <v>320</v>
      </c>
      <c r="O49" t="s">
        <v>97</v>
      </c>
      <c r="P49" s="1" t="s">
        <v>119</v>
      </c>
      <c r="Q49" s="25">
        <v>40.688775</v>
      </c>
      <c r="R49" s="25">
        <v>-76.135204000000002</v>
      </c>
      <c r="S49">
        <v>-11.742599999999999</v>
      </c>
      <c r="T49">
        <v>-17.823599999999999</v>
      </c>
      <c r="U49">
        <v>11.742599999999999</v>
      </c>
      <c r="V49" t="s">
        <v>1538</v>
      </c>
      <c r="W49" t="s">
        <v>14</v>
      </c>
      <c r="X49" t="s">
        <v>17</v>
      </c>
      <c r="Y49" t="s">
        <v>120</v>
      </c>
    </row>
    <row r="50" spans="1:25" x14ac:dyDescent="0.25">
      <c r="A50" s="4">
        <v>111</v>
      </c>
      <c r="B50" s="9" t="s">
        <v>131</v>
      </c>
      <c r="C50" s="8" t="s">
        <v>121</v>
      </c>
      <c r="D50" s="6" t="s">
        <v>130</v>
      </c>
      <c r="E50" s="10">
        <v>6</v>
      </c>
      <c r="F50">
        <v>33.125568395772802</v>
      </c>
      <c r="G50">
        <v>9.8619639191041699</v>
      </c>
      <c r="H50" t="s">
        <v>92</v>
      </c>
      <c r="I50" t="s">
        <v>24</v>
      </c>
      <c r="J50" t="s">
        <v>23</v>
      </c>
      <c r="K50" t="s">
        <v>38</v>
      </c>
      <c r="L50">
        <v>327</v>
      </c>
      <c r="M50" t="s">
        <v>1799</v>
      </c>
      <c r="N50">
        <v>320</v>
      </c>
      <c r="O50" t="s">
        <v>97</v>
      </c>
      <c r="P50" s="1" t="s">
        <v>119</v>
      </c>
      <c r="Q50" s="25">
        <v>40.688775</v>
      </c>
      <c r="R50" s="25">
        <v>-76.135204000000002</v>
      </c>
      <c r="S50">
        <v>-11.742599999999999</v>
      </c>
      <c r="T50">
        <v>-17.823599999999999</v>
      </c>
      <c r="U50">
        <v>11.742599999999999</v>
      </c>
      <c r="V50" t="s">
        <v>1538</v>
      </c>
      <c r="W50" t="s">
        <v>14</v>
      </c>
      <c r="X50" t="s">
        <v>17</v>
      </c>
      <c r="Y50" t="s">
        <v>120</v>
      </c>
    </row>
    <row r="51" spans="1:25" x14ac:dyDescent="0.25">
      <c r="A51" s="4">
        <v>112</v>
      </c>
      <c r="B51" s="9" t="s">
        <v>139</v>
      </c>
      <c r="C51" s="8" t="s">
        <v>121</v>
      </c>
      <c r="D51" s="6" t="s">
        <v>130</v>
      </c>
      <c r="E51" s="10">
        <v>6</v>
      </c>
      <c r="F51">
        <v>18.648054852462401</v>
      </c>
      <c r="G51">
        <v>3.84213051138489</v>
      </c>
      <c r="H51" t="s">
        <v>92</v>
      </c>
      <c r="I51" t="s">
        <v>24</v>
      </c>
      <c r="J51" t="s">
        <v>23</v>
      </c>
      <c r="K51" t="s">
        <v>38</v>
      </c>
      <c r="L51">
        <v>327</v>
      </c>
      <c r="M51" t="s">
        <v>1799</v>
      </c>
      <c r="N51">
        <v>320</v>
      </c>
      <c r="O51" t="s">
        <v>97</v>
      </c>
      <c r="P51" s="1" t="s">
        <v>119</v>
      </c>
      <c r="Q51" s="25">
        <v>40.688775</v>
      </c>
      <c r="R51" s="25">
        <v>-76.135204000000002</v>
      </c>
      <c r="S51">
        <v>-11.742599999999999</v>
      </c>
      <c r="T51">
        <v>-17.823599999999999</v>
      </c>
      <c r="U51">
        <v>11.742599999999999</v>
      </c>
      <c r="V51" t="s">
        <v>1538</v>
      </c>
      <c r="W51" t="s">
        <v>14</v>
      </c>
      <c r="X51" t="s">
        <v>17</v>
      </c>
      <c r="Y51" t="s">
        <v>120</v>
      </c>
    </row>
    <row r="52" spans="1:25" x14ac:dyDescent="0.25">
      <c r="A52" s="4">
        <v>113</v>
      </c>
      <c r="B52" s="9" t="s">
        <v>132</v>
      </c>
      <c r="C52" s="8" t="s">
        <v>121</v>
      </c>
      <c r="D52" s="6" t="s">
        <v>130</v>
      </c>
      <c r="E52" s="10">
        <v>6</v>
      </c>
      <c r="F52">
        <v>24.387106504275799</v>
      </c>
      <c r="G52">
        <v>4.5799196857075497</v>
      </c>
      <c r="H52" t="s">
        <v>92</v>
      </c>
      <c r="I52" t="s">
        <v>24</v>
      </c>
      <c r="J52" t="s">
        <v>23</v>
      </c>
      <c r="K52" t="s">
        <v>38</v>
      </c>
      <c r="L52">
        <v>327</v>
      </c>
      <c r="M52" t="s">
        <v>1799</v>
      </c>
      <c r="N52">
        <v>320</v>
      </c>
      <c r="O52" t="s">
        <v>97</v>
      </c>
      <c r="P52" s="1" t="s">
        <v>119</v>
      </c>
      <c r="Q52" s="25">
        <v>40.688775</v>
      </c>
      <c r="R52" s="25">
        <v>-76.135204000000002</v>
      </c>
      <c r="S52">
        <v>-11.742599999999999</v>
      </c>
      <c r="T52">
        <v>-17.823599999999999</v>
      </c>
      <c r="U52">
        <v>11.742599999999999</v>
      </c>
      <c r="V52" t="s">
        <v>1538</v>
      </c>
      <c r="W52" t="s">
        <v>14</v>
      </c>
      <c r="X52" t="s">
        <v>17</v>
      </c>
      <c r="Y52" t="s">
        <v>120</v>
      </c>
    </row>
    <row r="53" spans="1:25" x14ac:dyDescent="0.25">
      <c r="A53" s="4">
        <v>114</v>
      </c>
      <c r="B53" s="9" t="s">
        <v>132</v>
      </c>
      <c r="C53" s="8" t="s">
        <v>121</v>
      </c>
      <c r="D53" s="6" t="s">
        <v>130</v>
      </c>
      <c r="E53" s="10">
        <v>6</v>
      </c>
      <c r="F53">
        <v>46.626056801100503</v>
      </c>
      <c r="G53">
        <v>6.8267901853260797</v>
      </c>
      <c r="H53" t="s">
        <v>92</v>
      </c>
      <c r="I53" t="s">
        <v>24</v>
      </c>
      <c r="J53" t="s">
        <v>23</v>
      </c>
      <c r="K53" t="s">
        <v>38</v>
      </c>
      <c r="L53">
        <v>327</v>
      </c>
      <c r="M53" t="s">
        <v>1799</v>
      </c>
      <c r="N53">
        <v>320</v>
      </c>
      <c r="O53" t="s">
        <v>97</v>
      </c>
      <c r="P53" s="1" t="s">
        <v>119</v>
      </c>
      <c r="Q53" s="25">
        <v>40.688775</v>
      </c>
      <c r="R53" s="25">
        <v>-76.135204000000002</v>
      </c>
      <c r="S53">
        <v>-11.742599999999999</v>
      </c>
      <c r="T53">
        <v>-17.823599999999999</v>
      </c>
      <c r="U53">
        <v>11.742599999999999</v>
      </c>
      <c r="V53" t="s">
        <v>1538</v>
      </c>
      <c r="W53" t="s">
        <v>14</v>
      </c>
      <c r="X53" t="s">
        <v>17</v>
      </c>
      <c r="Y53" t="s">
        <v>120</v>
      </c>
    </row>
    <row r="54" spans="1:25" x14ac:dyDescent="0.25">
      <c r="A54" s="4">
        <v>115</v>
      </c>
      <c r="B54" s="9" t="s">
        <v>133</v>
      </c>
      <c r="C54" s="8" t="s">
        <v>121</v>
      </c>
      <c r="D54" s="6" t="s">
        <v>134</v>
      </c>
      <c r="E54" s="10">
        <v>6</v>
      </c>
      <c r="F54">
        <v>14.5613539724801</v>
      </c>
      <c r="G54">
        <v>8.3064093235058394</v>
      </c>
      <c r="H54" t="s">
        <v>92</v>
      </c>
      <c r="I54" t="s">
        <v>24</v>
      </c>
      <c r="J54" t="s">
        <v>23</v>
      </c>
      <c r="K54" t="s">
        <v>38</v>
      </c>
      <c r="L54">
        <v>327</v>
      </c>
      <c r="M54" t="s">
        <v>1799</v>
      </c>
      <c r="N54">
        <v>320</v>
      </c>
      <c r="O54" t="s">
        <v>97</v>
      </c>
      <c r="P54" s="1" t="s">
        <v>119</v>
      </c>
      <c r="Q54" s="25">
        <v>40.688775</v>
      </c>
      <c r="R54" s="25">
        <v>-76.135204000000002</v>
      </c>
      <c r="S54">
        <v>-11.742599999999999</v>
      </c>
      <c r="T54">
        <v>-17.823599999999999</v>
      </c>
      <c r="U54">
        <v>11.742599999999999</v>
      </c>
      <c r="V54" t="s">
        <v>1538</v>
      </c>
      <c r="W54" t="s">
        <v>14</v>
      </c>
      <c r="X54" t="s">
        <v>17</v>
      </c>
      <c r="Y54" t="s">
        <v>120</v>
      </c>
    </row>
    <row r="55" spans="1:25" x14ac:dyDescent="0.25">
      <c r="A55" s="4">
        <v>116</v>
      </c>
      <c r="B55" s="9" t="s">
        <v>135</v>
      </c>
      <c r="C55" s="8" t="s">
        <v>121</v>
      </c>
      <c r="D55" s="6" t="s">
        <v>137</v>
      </c>
      <c r="E55" s="10">
        <v>6</v>
      </c>
      <c r="F55">
        <v>19.464932822794601</v>
      </c>
      <c r="G55">
        <v>9.7181443260367395</v>
      </c>
      <c r="H55" t="s">
        <v>92</v>
      </c>
      <c r="I55" t="s">
        <v>24</v>
      </c>
      <c r="J55" t="s">
        <v>23</v>
      </c>
      <c r="K55" t="s">
        <v>38</v>
      </c>
      <c r="L55">
        <v>327</v>
      </c>
      <c r="M55" t="s">
        <v>1799</v>
      </c>
      <c r="N55">
        <v>320</v>
      </c>
      <c r="O55" t="s">
        <v>97</v>
      </c>
      <c r="P55" s="1" t="s">
        <v>119</v>
      </c>
      <c r="Q55" s="25">
        <v>40.688775</v>
      </c>
      <c r="R55" s="25">
        <v>-76.135204000000002</v>
      </c>
      <c r="S55">
        <v>-11.742599999999999</v>
      </c>
      <c r="T55">
        <v>-17.823599999999999</v>
      </c>
      <c r="U55">
        <v>11.742599999999999</v>
      </c>
      <c r="V55" t="s">
        <v>1538</v>
      </c>
      <c r="W55" t="s">
        <v>14</v>
      </c>
      <c r="X55" t="s">
        <v>17</v>
      </c>
      <c r="Y55" t="s">
        <v>120</v>
      </c>
    </row>
    <row r="56" spans="1:25" x14ac:dyDescent="0.25">
      <c r="A56" s="4">
        <v>120</v>
      </c>
      <c r="B56" s="9" t="s">
        <v>136</v>
      </c>
      <c r="C56" s="8" t="s">
        <v>121</v>
      </c>
      <c r="D56" s="6" t="s">
        <v>137</v>
      </c>
      <c r="E56" s="10">
        <v>6</v>
      </c>
      <c r="F56">
        <v>31.970261675417099</v>
      </c>
      <c r="G56">
        <v>12.581953055494401</v>
      </c>
      <c r="H56" t="s">
        <v>92</v>
      </c>
      <c r="I56" t="s">
        <v>24</v>
      </c>
      <c r="J56" t="s">
        <v>23</v>
      </c>
      <c r="K56" t="s">
        <v>38</v>
      </c>
      <c r="L56">
        <v>327</v>
      </c>
      <c r="M56" t="s">
        <v>1799</v>
      </c>
      <c r="N56">
        <v>320</v>
      </c>
      <c r="O56" t="s">
        <v>97</v>
      </c>
      <c r="P56" s="1" t="s">
        <v>119</v>
      </c>
      <c r="Q56" s="25">
        <v>40.688775</v>
      </c>
      <c r="R56" s="25">
        <v>-76.135204000000002</v>
      </c>
      <c r="S56">
        <v>-11.742599999999999</v>
      </c>
      <c r="T56">
        <v>-17.823599999999999</v>
      </c>
      <c r="U56">
        <v>11.742599999999999</v>
      </c>
      <c r="V56" t="s">
        <v>1538</v>
      </c>
      <c r="W56" t="s">
        <v>14</v>
      </c>
      <c r="X56" t="s">
        <v>17</v>
      </c>
      <c r="Y56" t="s">
        <v>120</v>
      </c>
    </row>
    <row r="57" spans="1:25" x14ac:dyDescent="0.25">
      <c r="A57" s="4">
        <v>121</v>
      </c>
      <c r="B57" s="9" t="s">
        <v>138</v>
      </c>
      <c r="C57" s="8" t="s">
        <v>121</v>
      </c>
      <c r="D57" s="6" t="s">
        <v>130</v>
      </c>
      <c r="E57" s="10">
        <v>6</v>
      </c>
      <c r="F57">
        <v>15.848372644757401</v>
      </c>
      <c r="G57">
        <v>4.2459358837446599</v>
      </c>
      <c r="H57" t="s">
        <v>92</v>
      </c>
      <c r="I57" t="s">
        <v>24</v>
      </c>
      <c r="J57" t="s">
        <v>23</v>
      </c>
      <c r="K57" t="s">
        <v>38</v>
      </c>
      <c r="L57">
        <v>327</v>
      </c>
      <c r="M57" t="s">
        <v>1799</v>
      </c>
      <c r="N57">
        <v>320</v>
      </c>
      <c r="O57" t="s">
        <v>97</v>
      </c>
      <c r="P57" s="1" t="s">
        <v>119</v>
      </c>
      <c r="Q57" s="25">
        <v>40.688775</v>
      </c>
      <c r="R57" s="25">
        <v>-76.135204000000002</v>
      </c>
      <c r="S57">
        <v>-11.742599999999999</v>
      </c>
      <c r="T57">
        <v>-17.823599999999999</v>
      </c>
      <c r="U57">
        <v>11.742599999999999</v>
      </c>
      <c r="V57" t="s">
        <v>1538</v>
      </c>
      <c r="W57" t="s">
        <v>14</v>
      </c>
      <c r="X57" t="s">
        <v>17</v>
      </c>
      <c r="Y57" t="s">
        <v>120</v>
      </c>
    </row>
    <row r="58" spans="1:25" x14ac:dyDescent="0.25">
      <c r="A58" s="4">
        <v>122</v>
      </c>
      <c r="B58" s="9" t="s">
        <v>139</v>
      </c>
      <c r="C58" s="8" t="s">
        <v>121</v>
      </c>
      <c r="D58" s="6" t="s">
        <v>59</v>
      </c>
      <c r="E58" s="10">
        <v>5</v>
      </c>
      <c r="F58">
        <v>3.3895396583194901</v>
      </c>
      <c r="G58">
        <v>1.3271130916870499</v>
      </c>
      <c r="H58" t="s">
        <v>92</v>
      </c>
      <c r="I58" t="s">
        <v>24</v>
      </c>
      <c r="J58" t="s">
        <v>23</v>
      </c>
      <c r="K58" t="s">
        <v>38</v>
      </c>
      <c r="L58">
        <v>327</v>
      </c>
      <c r="M58" t="s">
        <v>1799</v>
      </c>
      <c r="N58">
        <v>320</v>
      </c>
      <c r="O58" t="s">
        <v>97</v>
      </c>
      <c r="P58" s="1" t="s">
        <v>119</v>
      </c>
      <c r="Q58" s="25">
        <v>40.688775</v>
      </c>
      <c r="R58" s="25">
        <v>-76.135204000000002</v>
      </c>
      <c r="S58">
        <v>-11.742599999999999</v>
      </c>
      <c r="T58">
        <v>-17.823599999999999</v>
      </c>
      <c r="U58">
        <v>11.742599999999999</v>
      </c>
      <c r="V58" t="s">
        <v>1538</v>
      </c>
      <c r="W58" t="s">
        <v>14</v>
      </c>
      <c r="X58" t="s">
        <v>17</v>
      </c>
      <c r="Y58" t="s">
        <v>120</v>
      </c>
    </row>
    <row r="59" spans="1:25" x14ac:dyDescent="0.25">
      <c r="A59" s="4">
        <v>124</v>
      </c>
      <c r="B59" s="9" t="s">
        <v>1055</v>
      </c>
      <c r="C59" s="8" t="s">
        <v>955</v>
      </c>
      <c r="D59" s="6" t="s">
        <v>1056</v>
      </c>
      <c r="E59" s="10">
        <v>6</v>
      </c>
      <c r="F59">
        <v>12.7925643453276</v>
      </c>
      <c r="G59">
        <v>4.29438493626352</v>
      </c>
      <c r="H59" t="s">
        <v>221</v>
      </c>
      <c r="I59" t="s">
        <v>24</v>
      </c>
      <c r="J59" t="s">
        <v>185</v>
      </c>
      <c r="K59" t="s">
        <v>186</v>
      </c>
      <c r="L59">
        <v>311</v>
      </c>
      <c r="M59" t="s">
        <v>1799</v>
      </c>
      <c r="N59">
        <v>320</v>
      </c>
      <c r="O59" t="s">
        <v>223</v>
      </c>
      <c r="P59" s="1" t="s">
        <v>1447</v>
      </c>
      <c r="Q59" s="25">
        <v>-25.970234999999999</v>
      </c>
      <c r="R59" s="25">
        <v>-49.674695999999997</v>
      </c>
      <c r="S59">
        <v>-57.529600000000002</v>
      </c>
      <c r="T59">
        <v>-40.559899999999999</v>
      </c>
      <c r="U59">
        <v>57.529600000000002</v>
      </c>
      <c r="V59" t="s">
        <v>1539</v>
      </c>
      <c r="W59" t="s">
        <v>13</v>
      </c>
      <c r="X59" t="s">
        <v>16</v>
      </c>
      <c r="Y59" s="1" t="s">
        <v>964</v>
      </c>
    </row>
    <row r="60" spans="1:25" x14ac:dyDescent="0.25">
      <c r="A60" s="4">
        <v>125</v>
      </c>
      <c r="B60" s="9" t="s">
        <v>83</v>
      </c>
      <c r="C60" s="8" t="s">
        <v>955</v>
      </c>
      <c r="D60" s="6" t="s">
        <v>28</v>
      </c>
      <c r="E60" s="10">
        <v>6</v>
      </c>
      <c r="F60">
        <v>7.80350973412963</v>
      </c>
      <c r="G60">
        <v>3.60219896953173</v>
      </c>
      <c r="H60" t="s">
        <v>221</v>
      </c>
      <c r="I60" t="s">
        <v>24</v>
      </c>
      <c r="J60" t="s">
        <v>185</v>
      </c>
      <c r="K60" t="s">
        <v>186</v>
      </c>
      <c r="L60">
        <v>311</v>
      </c>
      <c r="M60" t="s">
        <v>1799</v>
      </c>
      <c r="N60">
        <v>320</v>
      </c>
      <c r="O60" t="s">
        <v>223</v>
      </c>
      <c r="P60" s="1" t="s">
        <v>1447</v>
      </c>
      <c r="Q60" s="25">
        <v>-25.970234999999999</v>
      </c>
      <c r="R60" s="25">
        <v>-49.674695999999997</v>
      </c>
      <c r="S60">
        <v>-57.529600000000002</v>
      </c>
      <c r="T60">
        <v>-40.559899999999999</v>
      </c>
      <c r="U60">
        <v>57.529600000000002</v>
      </c>
      <c r="V60" t="s">
        <v>1539</v>
      </c>
      <c r="W60" t="s">
        <v>13</v>
      </c>
      <c r="X60" t="s">
        <v>16</v>
      </c>
      <c r="Y60" s="1" t="s">
        <v>964</v>
      </c>
    </row>
    <row r="61" spans="1:25" x14ac:dyDescent="0.25">
      <c r="A61" s="4">
        <v>126</v>
      </c>
      <c r="B61" s="9" t="s">
        <v>84</v>
      </c>
      <c r="C61" s="8" t="s">
        <v>955</v>
      </c>
      <c r="D61" s="6" t="s">
        <v>28</v>
      </c>
      <c r="E61" s="10">
        <v>6</v>
      </c>
      <c r="F61">
        <v>8.4959428692751899</v>
      </c>
      <c r="G61">
        <v>3.8377685979003902</v>
      </c>
      <c r="H61" t="s">
        <v>221</v>
      </c>
      <c r="I61" t="s">
        <v>24</v>
      </c>
      <c r="J61" t="s">
        <v>185</v>
      </c>
      <c r="K61" t="s">
        <v>186</v>
      </c>
      <c r="L61">
        <v>311</v>
      </c>
      <c r="M61" t="s">
        <v>1799</v>
      </c>
      <c r="N61">
        <v>320</v>
      </c>
      <c r="O61" t="s">
        <v>223</v>
      </c>
      <c r="P61" s="1" t="s">
        <v>1447</v>
      </c>
      <c r="Q61" s="25">
        <v>-25.970234999999999</v>
      </c>
      <c r="R61" s="25">
        <v>-49.674695999999997</v>
      </c>
      <c r="S61">
        <v>-57.529600000000002</v>
      </c>
      <c r="T61">
        <v>-40.559899999999999</v>
      </c>
      <c r="U61">
        <v>57.529600000000002</v>
      </c>
      <c r="V61" t="s">
        <v>1539</v>
      </c>
      <c r="W61" t="s">
        <v>13</v>
      </c>
      <c r="X61" t="s">
        <v>16</v>
      </c>
      <c r="Y61" s="1" t="s">
        <v>964</v>
      </c>
    </row>
    <row r="62" spans="1:25" x14ac:dyDescent="0.25">
      <c r="A62" s="4">
        <v>127</v>
      </c>
      <c r="B62" s="9" t="s">
        <v>714</v>
      </c>
      <c r="C62" s="8" t="s">
        <v>955</v>
      </c>
      <c r="D62" s="6" t="s">
        <v>1046</v>
      </c>
      <c r="E62" s="10">
        <v>6</v>
      </c>
      <c r="F62">
        <v>5.93937591622326</v>
      </c>
      <c r="G62">
        <v>0.32350650106432599</v>
      </c>
      <c r="H62" t="s">
        <v>221</v>
      </c>
      <c r="I62" t="s">
        <v>24</v>
      </c>
      <c r="J62" t="s">
        <v>185</v>
      </c>
      <c r="K62" t="s">
        <v>186</v>
      </c>
      <c r="L62">
        <v>311</v>
      </c>
      <c r="M62" t="s">
        <v>1799</v>
      </c>
      <c r="N62">
        <v>320</v>
      </c>
      <c r="O62" t="s">
        <v>223</v>
      </c>
      <c r="P62" s="1" t="s">
        <v>1447</v>
      </c>
      <c r="Q62" s="25">
        <v>-25.970234999999999</v>
      </c>
      <c r="R62" s="25">
        <v>-49.674695999999997</v>
      </c>
      <c r="S62">
        <v>-57.529600000000002</v>
      </c>
      <c r="T62">
        <v>-40.559899999999999</v>
      </c>
      <c r="U62">
        <v>57.529600000000002</v>
      </c>
      <c r="V62" t="s">
        <v>1539</v>
      </c>
      <c r="W62" t="s">
        <v>13</v>
      </c>
      <c r="X62" t="s">
        <v>16</v>
      </c>
      <c r="Y62" s="1" t="s">
        <v>964</v>
      </c>
    </row>
    <row r="63" spans="1:25" x14ac:dyDescent="0.25">
      <c r="A63" s="4">
        <v>128</v>
      </c>
      <c r="B63" s="9" t="s">
        <v>712</v>
      </c>
      <c r="C63" s="8" t="s">
        <v>955</v>
      </c>
      <c r="D63" s="6" t="s">
        <v>1046</v>
      </c>
      <c r="E63" s="10">
        <v>6</v>
      </c>
      <c r="F63">
        <v>6.0498102506568996</v>
      </c>
      <c r="G63">
        <v>0.80439947863939398</v>
      </c>
      <c r="H63" t="s">
        <v>221</v>
      </c>
      <c r="I63" t="s">
        <v>24</v>
      </c>
      <c r="J63" t="s">
        <v>185</v>
      </c>
      <c r="K63" t="s">
        <v>186</v>
      </c>
      <c r="L63">
        <v>311</v>
      </c>
      <c r="M63" t="s">
        <v>1799</v>
      </c>
      <c r="N63">
        <v>320</v>
      </c>
      <c r="O63" t="s">
        <v>223</v>
      </c>
      <c r="P63" s="1" t="s">
        <v>1447</v>
      </c>
      <c r="Q63" s="25">
        <v>-25.970234999999999</v>
      </c>
      <c r="R63" s="25">
        <v>-49.674695999999997</v>
      </c>
      <c r="S63">
        <v>-57.529600000000002</v>
      </c>
      <c r="T63">
        <v>-40.559899999999999</v>
      </c>
      <c r="U63">
        <v>57.529600000000002</v>
      </c>
      <c r="V63" t="s">
        <v>1539</v>
      </c>
      <c r="W63" t="s">
        <v>13</v>
      </c>
      <c r="X63" t="s">
        <v>16</v>
      </c>
      <c r="Y63" s="1" t="s">
        <v>964</v>
      </c>
    </row>
    <row r="64" spans="1:25" x14ac:dyDescent="0.25">
      <c r="A64" s="4">
        <v>129</v>
      </c>
      <c r="B64" s="9" t="s">
        <v>173</v>
      </c>
      <c r="C64" s="8" t="s">
        <v>955</v>
      </c>
      <c r="D64" s="6" t="s">
        <v>850</v>
      </c>
      <c r="E64" s="10">
        <v>6</v>
      </c>
      <c r="F64">
        <v>3.4222677987925301</v>
      </c>
      <c r="G64">
        <v>1.5478406311828199</v>
      </c>
      <c r="H64" t="s">
        <v>221</v>
      </c>
      <c r="I64" t="s">
        <v>24</v>
      </c>
      <c r="J64" t="s">
        <v>185</v>
      </c>
      <c r="K64" t="s">
        <v>186</v>
      </c>
      <c r="L64">
        <v>311</v>
      </c>
      <c r="M64" t="s">
        <v>1799</v>
      </c>
      <c r="N64">
        <v>320</v>
      </c>
      <c r="O64" t="s">
        <v>223</v>
      </c>
      <c r="P64" s="1" t="s">
        <v>1447</v>
      </c>
      <c r="Q64" s="25">
        <v>-25.970234999999999</v>
      </c>
      <c r="R64" s="25">
        <v>-49.674695999999997</v>
      </c>
      <c r="S64">
        <v>-57.529600000000002</v>
      </c>
      <c r="T64">
        <v>-40.559899999999999</v>
      </c>
      <c r="U64">
        <v>57.529600000000002</v>
      </c>
      <c r="V64" t="s">
        <v>1539</v>
      </c>
      <c r="W64" t="s">
        <v>13</v>
      </c>
      <c r="X64" t="s">
        <v>16</v>
      </c>
      <c r="Y64" s="1" t="s">
        <v>964</v>
      </c>
    </row>
    <row r="65" spans="1:25" x14ac:dyDescent="0.25">
      <c r="A65" s="4">
        <v>130</v>
      </c>
      <c r="B65" s="9" t="s">
        <v>165</v>
      </c>
      <c r="C65" s="8" t="s">
        <v>955</v>
      </c>
      <c r="D65" s="6" t="s">
        <v>73</v>
      </c>
      <c r="E65" s="10">
        <v>6</v>
      </c>
      <c r="F65">
        <v>6.0865592040704604</v>
      </c>
      <c r="G65">
        <v>2.455695455256</v>
      </c>
      <c r="H65" t="s">
        <v>221</v>
      </c>
      <c r="I65" t="s">
        <v>24</v>
      </c>
      <c r="J65" t="s">
        <v>185</v>
      </c>
      <c r="K65" t="s">
        <v>186</v>
      </c>
      <c r="L65">
        <v>311</v>
      </c>
      <c r="M65" t="s">
        <v>1799</v>
      </c>
      <c r="N65">
        <v>320</v>
      </c>
      <c r="O65" t="s">
        <v>223</v>
      </c>
      <c r="P65" s="1" t="s">
        <v>1447</v>
      </c>
      <c r="Q65" s="25">
        <v>-25.970234999999999</v>
      </c>
      <c r="R65" s="25">
        <v>-49.674695999999997</v>
      </c>
      <c r="S65">
        <v>-57.529600000000002</v>
      </c>
      <c r="T65">
        <v>-40.559899999999999</v>
      </c>
      <c r="U65">
        <v>57.529600000000002</v>
      </c>
      <c r="V65" t="s">
        <v>1539</v>
      </c>
      <c r="W65" t="s">
        <v>13</v>
      </c>
      <c r="X65" t="s">
        <v>16</v>
      </c>
      <c r="Y65" s="1" t="s">
        <v>964</v>
      </c>
    </row>
    <row r="66" spans="1:25" x14ac:dyDescent="0.25">
      <c r="A66" s="4">
        <v>131</v>
      </c>
      <c r="B66" s="9" t="s">
        <v>1063</v>
      </c>
      <c r="C66" s="8" t="s">
        <v>29</v>
      </c>
      <c r="D66" s="6" t="s">
        <v>130</v>
      </c>
      <c r="E66" s="10">
        <v>6</v>
      </c>
      <c r="F66">
        <v>11.706469861181301</v>
      </c>
      <c r="G66">
        <v>4.3664498710662398</v>
      </c>
      <c r="H66" t="s">
        <v>140</v>
      </c>
      <c r="I66" t="s">
        <v>24</v>
      </c>
      <c r="J66" t="s">
        <v>185</v>
      </c>
      <c r="K66" t="s">
        <v>212</v>
      </c>
      <c r="L66">
        <v>319</v>
      </c>
      <c r="M66" t="s">
        <v>1799</v>
      </c>
      <c r="N66">
        <v>320</v>
      </c>
      <c r="O66" s="1" t="s">
        <v>194</v>
      </c>
      <c r="P66" s="1" t="s">
        <v>1060</v>
      </c>
      <c r="Q66" s="25">
        <v>45.688600999999998</v>
      </c>
      <c r="R66" s="25">
        <v>-64.454802999999998</v>
      </c>
      <c r="S66">
        <v>-9.1274999999999995</v>
      </c>
      <c r="T66">
        <v>-8.1545000000000005</v>
      </c>
      <c r="U66">
        <v>9.1274999999999995</v>
      </c>
      <c r="V66" t="s">
        <v>1537</v>
      </c>
      <c r="W66" t="s">
        <v>14</v>
      </c>
      <c r="X66" t="s">
        <v>17</v>
      </c>
      <c r="Y66" s="1" t="s">
        <v>1061</v>
      </c>
    </row>
    <row r="67" spans="1:25" x14ac:dyDescent="0.25">
      <c r="A67" s="4">
        <v>132</v>
      </c>
      <c r="B67" s="9" t="s">
        <v>1064</v>
      </c>
      <c r="C67" s="8" t="s">
        <v>29</v>
      </c>
      <c r="D67" s="6" t="s">
        <v>28</v>
      </c>
      <c r="E67" s="10">
        <v>6</v>
      </c>
      <c r="F67">
        <v>286.71568355083298</v>
      </c>
      <c r="G67">
        <v>222.37735298631401</v>
      </c>
      <c r="H67" t="s">
        <v>140</v>
      </c>
      <c r="I67" t="s">
        <v>24</v>
      </c>
      <c r="J67" t="s">
        <v>185</v>
      </c>
      <c r="K67" t="s">
        <v>212</v>
      </c>
      <c r="L67">
        <v>319</v>
      </c>
      <c r="M67" t="s">
        <v>1799</v>
      </c>
      <c r="N67">
        <v>320</v>
      </c>
      <c r="O67" s="1" t="s">
        <v>194</v>
      </c>
      <c r="P67" s="1" t="s">
        <v>1060</v>
      </c>
      <c r="Q67" s="25">
        <v>45.688600999999998</v>
      </c>
      <c r="R67" s="25">
        <v>-64.454802999999998</v>
      </c>
      <c r="S67">
        <v>-9.1274999999999995</v>
      </c>
      <c r="T67">
        <v>-8.1545000000000005</v>
      </c>
      <c r="U67">
        <v>9.1274999999999995</v>
      </c>
      <c r="V67" t="s">
        <v>1537</v>
      </c>
      <c r="W67" t="s">
        <v>14</v>
      </c>
      <c r="X67" t="s">
        <v>17</v>
      </c>
      <c r="Y67" s="1" t="s">
        <v>1061</v>
      </c>
    </row>
    <row r="68" spans="1:25" x14ac:dyDescent="0.25">
      <c r="A68" s="4">
        <v>134</v>
      </c>
      <c r="B68" s="9" t="s">
        <v>1065</v>
      </c>
      <c r="C68" s="8" t="s">
        <v>29</v>
      </c>
      <c r="D68" s="6" t="s">
        <v>130</v>
      </c>
      <c r="E68" s="10">
        <v>6</v>
      </c>
      <c r="F68">
        <v>20.685016465941199</v>
      </c>
      <c r="G68">
        <v>5.0347914224115797</v>
      </c>
      <c r="H68" t="s">
        <v>140</v>
      </c>
      <c r="I68" t="s">
        <v>24</v>
      </c>
      <c r="J68" t="s">
        <v>185</v>
      </c>
      <c r="K68" t="s">
        <v>212</v>
      </c>
      <c r="L68">
        <v>319</v>
      </c>
      <c r="M68" t="s">
        <v>1799</v>
      </c>
      <c r="N68">
        <v>320</v>
      </c>
      <c r="O68" s="1" t="s">
        <v>194</v>
      </c>
      <c r="P68" s="1" t="s">
        <v>1060</v>
      </c>
      <c r="Q68" s="25">
        <v>45.688600999999998</v>
      </c>
      <c r="R68" s="25">
        <v>-64.454802999999998</v>
      </c>
      <c r="S68">
        <v>-9.1274999999999995</v>
      </c>
      <c r="T68">
        <v>-8.1545000000000005</v>
      </c>
      <c r="U68">
        <v>9.1274999999999995</v>
      </c>
      <c r="V68" t="s">
        <v>1537</v>
      </c>
      <c r="W68" t="s">
        <v>14</v>
      </c>
      <c r="X68" t="s">
        <v>17</v>
      </c>
      <c r="Y68" s="1" t="s">
        <v>1061</v>
      </c>
    </row>
    <row r="69" spans="1:25" x14ac:dyDescent="0.25">
      <c r="A69" s="4">
        <v>138</v>
      </c>
      <c r="B69" s="9" t="s">
        <v>787</v>
      </c>
      <c r="C69" s="8" t="s">
        <v>29</v>
      </c>
      <c r="D69" s="6" t="s">
        <v>28</v>
      </c>
      <c r="E69" s="10">
        <v>6</v>
      </c>
      <c r="F69">
        <v>233.71854113729901</v>
      </c>
      <c r="G69">
        <v>108.179808945633</v>
      </c>
      <c r="H69" t="s">
        <v>140</v>
      </c>
      <c r="I69" t="s">
        <v>24</v>
      </c>
      <c r="J69" t="s">
        <v>185</v>
      </c>
      <c r="K69" t="s">
        <v>212</v>
      </c>
      <c r="L69">
        <v>319</v>
      </c>
      <c r="M69" t="s">
        <v>1799</v>
      </c>
      <c r="N69">
        <v>320</v>
      </c>
      <c r="O69" t="s">
        <v>194</v>
      </c>
      <c r="P69" s="1" t="s">
        <v>1079</v>
      </c>
      <c r="Q69" s="25">
        <v>45.720635000000001</v>
      </c>
      <c r="R69" s="25">
        <v>-64.436569000000006</v>
      </c>
      <c r="S69">
        <v>-9.0982000000000003</v>
      </c>
      <c r="T69">
        <v>-8.1361000000000008</v>
      </c>
      <c r="U69">
        <v>9.0982000000000003</v>
      </c>
      <c r="V69" t="s">
        <v>1537</v>
      </c>
      <c r="W69" t="s">
        <v>14</v>
      </c>
      <c r="X69" t="s">
        <v>18</v>
      </c>
      <c r="Y69" s="1" t="s">
        <v>1080</v>
      </c>
    </row>
    <row r="70" spans="1:25" x14ac:dyDescent="0.25">
      <c r="A70" s="4">
        <v>139</v>
      </c>
      <c r="B70" s="9" t="s">
        <v>1185</v>
      </c>
      <c r="C70" s="8" t="s">
        <v>1186</v>
      </c>
      <c r="D70" s="6" t="s">
        <v>28</v>
      </c>
      <c r="E70" s="10">
        <v>6</v>
      </c>
      <c r="F70">
        <v>11.037198200170501</v>
      </c>
      <c r="G70">
        <v>7.5952000787076104</v>
      </c>
      <c r="H70" t="s">
        <v>861</v>
      </c>
      <c r="I70" t="s">
        <v>24</v>
      </c>
      <c r="J70" t="s">
        <v>185</v>
      </c>
      <c r="K70" t="s">
        <v>186</v>
      </c>
      <c r="L70">
        <v>311</v>
      </c>
      <c r="M70" t="s">
        <v>1799</v>
      </c>
      <c r="N70">
        <v>320</v>
      </c>
      <c r="O70" t="s">
        <v>1183</v>
      </c>
      <c r="P70" s="1" t="s">
        <v>1184</v>
      </c>
      <c r="Q70" s="25">
        <v>39.294058</v>
      </c>
      <c r="R70" s="25">
        <v>8.5182500000000001</v>
      </c>
      <c r="S70">
        <v>-10.5258</v>
      </c>
      <c r="T70">
        <v>13.9581</v>
      </c>
      <c r="U70">
        <v>10.5258</v>
      </c>
      <c r="V70" t="s">
        <v>1538</v>
      </c>
      <c r="W70" t="s">
        <v>15</v>
      </c>
      <c r="X70" t="s">
        <v>17</v>
      </c>
      <c r="Y70" s="1" t="s">
        <v>1182</v>
      </c>
    </row>
    <row r="71" spans="1:25" x14ac:dyDescent="0.25">
      <c r="A71" s="4">
        <v>142</v>
      </c>
      <c r="B71" s="9" t="s">
        <v>149</v>
      </c>
      <c r="C71" s="8" t="s">
        <v>29</v>
      </c>
      <c r="D71" s="6" t="s">
        <v>59</v>
      </c>
      <c r="E71" s="10">
        <v>5</v>
      </c>
      <c r="F71">
        <v>5.9812889198803303</v>
      </c>
      <c r="G71">
        <v>2.3435372194042099</v>
      </c>
      <c r="H71" t="s">
        <v>140</v>
      </c>
      <c r="I71" t="s">
        <v>24</v>
      </c>
      <c r="J71" t="s">
        <v>23</v>
      </c>
      <c r="K71" t="s">
        <v>38</v>
      </c>
      <c r="L71">
        <v>327</v>
      </c>
      <c r="M71" t="s">
        <v>1799</v>
      </c>
      <c r="N71">
        <v>320</v>
      </c>
      <c r="O71" s="1" t="s">
        <v>152</v>
      </c>
      <c r="P71" s="1" t="s">
        <v>150</v>
      </c>
      <c r="Q71" s="25">
        <v>46.057878000000002</v>
      </c>
      <c r="R71" s="25">
        <v>-61.475248999999998</v>
      </c>
      <c r="S71">
        <v>-9.0821000000000005</v>
      </c>
      <c r="T71">
        <v>-6.0210999999999997</v>
      </c>
      <c r="U71">
        <v>9.0821000000000005</v>
      </c>
      <c r="V71" t="s">
        <v>1537</v>
      </c>
      <c r="W71" t="s">
        <v>14</v>
      </c>
      <c r="X71" t="s">
        <v>17</v>
      </c>
      <c r="Y71" t="s">
        <v>151</v>
      </c>
    </row>
    <row r="72" spans="1:25" x14ac:dyDescent="0.25">
      <c r="A72" s="4">
        <v>154</v>
      </c>
      <c r="B72" s="9" t="s">
        <v>149</v>
      </c>
      <c r="C72" s="8" t="s">
        <v>29</v>
      </c>
      <c r="D72" s="6" t="s">
        <v>64</v>
      </c>
      <c r="E72" s="10">
        <v>8</v>
      </c>
      <c r="F72">
        <v>3.8959538590743601</v>
      </c>
      <c r="G72">
        <v>0.36129648994091101</v>
      </c>
      <c r="H72" t="s">
        <v>140</v>
      </c>
      <c r="I72" t="s">
        <v>24</v>
      </c>
      <c r="J72" t="s">
        <v>23</v>
      </c>
      <c r="K72" t="s">
        <v>38</v>
      </c>
      <c r="L72">
        <v>327</v>
      </c>
      <c r="M72" t="s">
        <v>1799</v>
      </c>
      <c r="N72">
        <v>320</v>
      </c>
      <c r="O72" s="1" t="s">
        <v>152</v>
      </c>
      <c r="P72" s="1" t="s">
        <v>150</v>
      </c>
      <c r="Q72" s="25">
        <v>46.057878000000002</v>
      </c>
      <c r="R72" s="25">
        <v>-61.475248999999998</v>
      </c>
      <c r="S72">
        <v>-9.0821000000000005</v>
      </c>
      <c r="T72">
        <v>-6.0210999999999997</v>
      </c>
      <c r="U72">
        <v>9.0821000000000005</v>
      </c>
      <c r="V72" t="s">
        <v>1537</v>
      </c>
      <c r="W72" t="s">
        <v>14</v>
      </c>
      <c r="X72" t="s">
        <v>17</v>
      </c>
      <c r="Y72" t="s">
        <v>151</v>
      </c>
    </row>
    <row r="73" spans="1:25" x14ac:dyDescent="0.25">
      <c r="A73" s="4">
        <v>156</v>
      </c>
      <c r="B73" s="9" t="s">
        <v>149</v>
      </c>
      <c r="C73" s="8" t="s">
        <v>29</v>
      </c>
      <c r="D73" s="6" t="s">
        <v>60</v>
      </c>
      <c r="E73" s="10">
        <v>5</v>
      </c>
      <c r="F73">
        <v>2.9030389433619899</v>
      </c>
      <c r="G73">
        <v>0.28571225169031</v>
      </c>
      <c r="H73" t="s">
        <v>140</v>
      </c>
      <c r="I73" t="s">
        <v>24</v>
      </c>
      <c r="J73" t="s">
        <v>23</v>
      </c>
      <c r="K73" t="s">
        <v>38</v>
      </c>
      <c r="L73">
        <v>327</v>
      </c>
      <c r="M73" t="s">
        <v>1799</v>
      </c>
      <c r="N73">
        <v>320</v>
      </c>
      <c r="O73" s="1" t="s">
        <v>152</v>
      </c>
      <c r="P73" s="1" t="s">
        <v>150</v>
      </c>
      <c r="Q73" s="25">
        <v>46.057878000000002</v>
      </c>
      <c r="R73" s="25">
        <v>-61.475248999999998</v>
      </c>
      <c r="S73">
        <v>-9.0821000000000005</v>
      </c>
      <c r="T73">
        <v>-6.0210999999999997</v>
      </c>
      <c r="U73">
        <v>9.0821000000000005</v>
      </c>
      <c r="V73" t="s">
        <v>1537</v>
      </c>
      <c r="W73" t="s">
        <v>14</v>
      </c>
      <c r="X73" t="s">
        <v>17</v>
      </c>
      <c r="Y73" t="s">
        <v>151</v>
      </c>
    </row>
    <row r="74" spans="1:25" x14ac:dyDescent="0.25">
      <c r="A74" s="4">
        <v>157</v>
      </c>
      <c r="B74" s="9" t="s">
        <v>153</v>
      </c>
      <c r="C74" s="8" t="s">
        <v>29</v>
      </c>
      <c r="D74" s="6" t="s">
        <v>60</v>
      </c>
      <c r="E74" s="10">
        <v>5</v>
      </c>
      <c r="F74">
        <v>34.913594700144003</v>
      </c>
      <c r="G74">
        <v>1.9630686909023001</v>
      </c>
      <c r="H74" t="s">
        <v>140</v>
      </c>
      <c r="I74" t="s">
        <v>24</v>
      </c>
      <c r="J74" t="s">
        <v>23</v>
      </c>
      <c r="K74" t="s">
        <v>38</v>
      </c>
      <c r="L74">
        <v>327</v>
      </c>
      <c r="M74" t="s">
        <v>1799</v>
      </c>
      <c r="N74">
        <v>320</v>
      </c>
      <c r="O74" s="1" t="s">
        <v>152</v>
      </c>
      <c r="P74" s="1" t="s">
        <v>150</v>
      </c>
      <c r="Q74" s="25">
        <v>46.057878000000002</v>
      </c>
      <c r="R74" s="25">
        <v>-61.475248999999998</v>
      </c>
      <c r="S74">
        <v>-9.0821000000000005</v>
      </c>
      <c r="T74">
        <v>-6.0210999999999997</v>
      </c>
      <c r="U74">
        <v>9.0821000000000005</v>
      </c>
      <c r="V74" t="s">
        <v>1537</v>
      </c>
      <c r="W74" t="s">
        <v>14</v>
      </c>
      <c r="X74" t="s">
        <v>17</v>
      </c>
      <c r="Y74" t="s">
        <v>151</v>
      </c>
    </row>
    <row r="75" spans="1:25" x14ac:dyDescent="0.25">
      <c r="A75" s="4">
        <v>170</v>
      </c>
      <c r="B75" s="9" t="s">
        <v>81</v>
      </c>
      <c r="C75" s="8" t="s">
        <v>29</v>
      </c>
      <c r="D75" s="6" t="s">
        <v>64</v>
      </c>
      <c r="E75" s="10">
        <v>8</v>
      </c>
      <c r="F75">
        <v>5.7405101999611503</v>
      </c>
      <c r="G75">
        <v>0.56242851341872602</v>
      </c>
      <c r="H75" t="s">
        <v>140</v>
      </c>
      <c r="I75" t="s">
        <v>24</v>
      </c>
      <c r="J75" t="s">
        <v>23</v>
      </c>
      <c r="K75" t="s">
        <v>38</v>
      </c>
      <c r="L75">
        <v>327</v>
      </c>
      <c r="M75" t="s">
        <v>1799</v>
      </c>
      <c r="N75">
        <v>320</v>
      </c>
      <c r="O75" s="1" t="s">
        <v>152</v>
      </c>
      <c r="P75" s="1" t="s">
        <v>150</v>
      </c>
      <c r="Q75" s="25">
        <v>46.057878000000002</v>
      </c>
      <c r="R75" s="25">
        <v>-61.475248999999998</v>
      </c>
      <c r="S75">
        <v>-9.0821000000000005</v>
      </c>
      <c r="T75">
        <v>-6.0210999999999997</v>
      </c>
      <c r="U75">
        <v>9.0821000000000005</v>
      </c>
      <c r="V75" t="s">
        <v>1537</v>
      </c>
      <c r="W75" t="s">
        <v>14</v>
      </c>
      <c r="X75" t="s">
        <v>17</v>
      </c>
      <c r="Y75" t="s">
        <v>151</v>
      </c>
    </row>
    <row r="76" spans="1:25" x14ac:dyDescent="0.25">
      <c r="A76" s="4">
        <v>171</v>
      </c>
      <c r="B76" s="9" t="s">
        <v>81</v>
      </c>
      <c r="C76" s="8" t="s">
        <v>29</v>
      </c>
      <c r="D76" s="6" t="s">
        <v>60</v>
      </c>
      <c r="E76" s="10">
        <v>5</v>
      </c>
      <c r="F76">
        <v>4.9776361907776696</v>
      </c>
      <c r="G76">
        <v>0.41556805214551901</v>
      </c>
      <c r="H76" t="s">
        <v>140</v>
      </c>
      <c r="I76" t="s">
        <v>24</v>
      </c>
      <c r="J76" t="s">
        <v>23</v>
      </c>
      <c r="K76" t="s">
        <v>38</v>
      </c>
      <c r="L76">
        <v>327</v>
      </c>
      <c r="M76" t="s">
        <v>1799</v>
      </c>
      <c r="N76">
        <v>320</v>
      </c>
      <c r="O76" s="1" t="s">
        <v>152</v>
      </c>
      <c r="P76" s="1" t="s">
        <v>150</v>
      </c>
      <c r="Q76" s="25">
        <v>46.057878000000002</v>
      </c>
      <c r="R76" s="25">
        <v>-61.475248999999998</v>
      </c>
      <c r="S76">
        <v>-9.0821000000000005</v>
      </c>
      <c r="T76">
        <v>-6.0210999999999997</v>
      </c>
      <c r="U76">
        <v>9.0821000000000005</v>
      </c>
      <c r="V76" t="s">
        <v>1537</v>
      </c>
      <c r="W76" t="s">
        <v>14</v>
      </c>
      <c r="X76" t="s">
        <v>17</v>
      </c>
      <c r="Y76" t="s">
        <v>151</v>
      </c>
    </row>
    <row r="77" spans="1:25" x14ac:dyDescent="0.25">
      <c r="A77" s="4">
        <v>177</v>
      </c>
      <c r="B77" s="9" t="s">
        <v>83</v>
      </c>
      <c r="C77" s="8" t="s">
        <v>29</v>
      </c>
      <c r="D77" s="6" t="s">
        <v>59</v>
      </c>
      <c r="E77" s="10">
        <v>5</v>
      </c>
      <c r="F77">
        <v>4.5549727848959201</v>
      </c>
      <c r="G77">
        <v>0.613941298568353</v>
      </c>
      <c r="H77" t="s">
        <v>140</v>
      </c>
      <c r="I77" t="s">
        <v>24</v>
      </c>
      <c r="J77" t="s">
        <v>23</v>
      </c>
      <c r="K77" t="s">
        <v>38</v>
      </c>
      <c r="L77">
        <v>327</v>
      </c>
      <c r="M77" t="s">
        <v>1799</v>
      </c>
      <c r="N77">
        <v>320</v>
      </c>
      <c r="O77" s="1" t="s">
        <v>152</v>
      </c>
      <c r="P77" s="1" t="s">
        <v>150</v>
      </c>
      <c r="Q77" s="25">
        <v>46.057878000000002</v>
      </c>
      <c r="R77" s="25">
        <v>-61.475248999999998</v>
      </c>
      <c r="S77">
        <v>-9.0821000000000005</v>
      </c>
      <c r="T77">
        <v>-6.0210999999999997</v>
      </c>
      <c r="U77">
        <v>9.0821000000000005</v>
      </c>
      <c r="V77" t="s">
        <v>1537</v>
      </c>
      <c r="W77" t="s">
        <v>14</v>
      </c>
      <c r="X77" t="s">
        <v>17</v>
      </c>
      <c r="Y77" t="s">
        <v>151</v>
      </c>
    </row>
    <row r="78" spans="1:25" x14ac:dyDescent="0.25">
      <c r="A78" s="4">
        <v>178</v>
      </c>
      <c r="B78" s="9" t="s">
        <v>84</v>
      </c>
      <c r="C78" s="8" t="s">
        <v>29</v>
      </c>
      <c r="D78" s="6" t="s">
        <v>59</v>
      </c>
      <c r="E78" s="10">
        <v>5</v>
      </c>
      <c r="F78">
        <v>0.83382607961513799</v>
      </c>
      <c r="G78">
        <v>0.44041488604506701</v>
      </c>
      <c r="H78" t="s">
        <v>140</v>
      </c>
      <c r="I78" t="s">
        <v>24</v>
      </c>
      <c r="J78" t="s">
        <v>23</v>
      </c>
      <c r="K78" t="s">
        <v>38</v>
      </c>
      <c r="L78">
        <v>327</v>
      </c>
      <c r="M78" t="s">
        <v>1799</v>
      </c>
      <c r="N78">
        <v>320</v>
      </c>
      <c r="O78" s="1" t="s">
        <v>152</v>
      </c>
      <c r="P78" s="1" t="s">
        <v>150</v>
      </c>
      <c r="Q78" s="25">
        <v>46.057878000000002</v>
      </c>
      <c r="R78" s="25">
        <v>-61.475248999999998</v>
      </c>
      <c r="S78">
        <v>-9.0821000000000005</v>
      </c>
      <c r="T78">
        <v>-6.0210999999999997</v>
      </c>
      <c r="U78">
        <v>9.0821000000000005</v>
      </c>
      <c r="V78" t="s">
        <v>1537</v>
      </c>
      <c r="W78" t="s">
        <v>14</v>
      </c>
      <c r="X78" t="s">
        <v>17</v>
      </c>
      <c r="Y78" t="s">
        <v>151</v>
      </c>
    </row>
    <row r="79" spans="1:25" x14ac:dyDescent="0.25">
      <c r="A79" s="4">
        <v>180</v>
      </c>
      <c r="B79" s="9" t="s">
        <v>154</v>
      </c>
      <c r="C79" s="8" t="s">
        <v>29</v>
      </c>
      <c r="D79" s="6" t="s">
        <v>64</v>
      </c>
      <c r="E79" s="10">
        <v>8</v>
      </c>
      <c r="F79">
        <v>8.5522757831730196</v>
      </c>
      <c r="G79">
        <v>0.96421279663807402</v>
      </c>
      <c r="H79" t="s">
        <v>140</v>
      </c>
      <c r="I79" t="s">
        <v>24</v>
      </c>
      <c r="J79" t="s">
        <v>23</v>
      </c>
      <c r="K79" t="s">
        <v>38</v>
      </c>
      <c r="L79">
        <v>327</v>
      </c>
      <c r="M79" t="s">
        <v>1799</v>
      </c>
      <c r="N79">
        <v>320</v>
      </c>
      <c r="O79" s="1" t="s">
        <v>152</v>
      </c>
      <c r="P79" s="1" t="s">
        <v>150</v>
      </c>
      <c r="Q79" s="25">
        <v>46.057878000000002</v>
      </c>
      <c r="R79" s="25">
        <v>-61.475248999999998</v>
      </c>
      <c r="S79">
        <v>-9.0821000000000005</v>
      </c>
      <c r="T79">
        <v>-6.0210999999999997</v>
      </c>
      <c r="U79">
        <v>9.0821000000000005</v>
      </c>
      <c r="V79" t="s">
        <v>1537</v>
      </c>
      <c r="W79" t="s">
        <v>14</v>
      </c>
      <c r="X79" t="s">
        <v>17</v>
      </c>
      <c r="Y79" t="s">
        <v>151</v>
      </c>
    </row>
    <row r="80" spans="1:25" x14ac:dyDescent="0.25">
      <c r="A80" s="4">
        <v>181</v>
      </c>
      <c r="B80" s="9" t="s">
        <v>154</v>
      </c>
      <c r="C80" s="8" t="s">
        <v>29</v>
      </c>
      <c r="D80" s="6" t="s">
        <v>64</v>
      </c>
      <c r="E80" s="10">
        <v>8</v>
      </c>
      <c r="F80">
        <v>8.1923594012462697</v>
      </c>
      <c r="G80">
        <v>1.9292699743688999</v>
      </c>
      <c r="H80" t="s">
        <v>140</v>
      </c>
      <c r="I80" t="s">
        <v>24</v>
      </c>
      <c r="J80" t="s">
        <v>23</v>
      </c>
      <c r="K80" t="s">
        <v>38</v>
      </c>
      <c r="L80">
        <v>327</v>
      </c>
      <c r="M80" t="s">
        <v>1799</v>
      </c>
      <c r="N80">
        <v>320</v>
      </c>
      <c r="O80" s="1" t="s">
        <v>152</v>
      </c>
      <c r="P80" s="1" t="s">
        <v>150</v>
      </c>
      <c r="Q80" s="25">
        <v>46.057878000000002</v>
      </c>
      <c r="R80" s="25">
        <v>-61.475248999999998</v>
      </c>
      <c r="S80">
        <v>-9.0821000000000005</v>
      </c>
      <c r="T80">
        <v>-6.0210999999999997</v>
      </c>
      <c r="U80">
        <v>9.0821000000000005</v>
      </c>
      <c r="V80" t="s">
        <v>1537</v>
      </c>
      <c r="W80" t="s">
        <v>14</v>
      </c>
      <c r="X80" t="s">
        <v>17</v>
      </c>
      <c r="Y80" t="s">
        <v>151</v>
      </c>
    </row>
    <row r="81" spans="1:25" x14ac:dyDescent="0.25">
      <c r="A81" s="4">
        <v>185</v>
      </c>
      <c r="B81" s="9" t="s">
        <v>154</v>
      </c>
      <c r="C81" s="8" t="s">
        <v>29</v>
      </c>
      <c r="D81" s="6" t="s">
        <v>64</v>
      </c>
      <c r="E81" s="10">
        <v>8</v>
      </c>
      <c r="F81">
        <v>6.6848116933845203</v>
      </c>
      <c r="G81">
        <v>0.91791709763390195</v>
      </c>
      <c r="H81" t="s">
        <v>140</v>
      </c>
      <c r="I81" t="s">
        <v>24</v>
      </c>
      <c r="J81" t="s">
        <v>23</v>
      </c>
      <c r="K81" t="s">
        <v>38</v>
      </c>
      <c r="L81">
        <v>327</v>
      </c>
      <c r="M81" t="s">
        <v>1799</v>
      </c>
      <c r="N81">
        <v>320</v>
      </c>
      <c r="O81" s="1" t="s">
        <v>152</v>
      </c>
      <c r="P81" s="1" t="s">
        <v>150</v>
      </c>
      <c r="Q81" s="25">
        <v>46.057878000000002</v>
      </c>
      <c r="R81" s="25">
        <v>-61.475248999999998</v>
      </c>
      <c r="S81">
        <v>-9.0821000000000005</v>
      </c>
      <c r="T81">
        <v>-6.0210999999999997</v>
      </c>
      <c r="U81">
        <v>9.0821000000000005</v>
      </c>
      <c r="V81" t="s">
        <v>1537</v>
      </c>
      <c r="W81" t="s">
        <v>14</v>
      </c>
      <c r="X81" t="s">
        <v>17</v>
      </c>
      <c r="Y81" t="s">
        <v>151</v>
      </c>
    </row>
    <row r="82" spans="1:25" x14ac:dyDescent="0.25">
      <c r="A82" s="4">
        <v>190</v>
      </c>
      <c r="B82" s="9" t="s">
        <v>155</v>
      </c>
      <c r="C82" s="8" t="s">
        <v>29</v>
      </c>
      <c r="D82" s="6" t="s">
        <v>156</v>
      </c>
      <c r="E82" s="10">
        <v>8</v>
      </c>
      <c r="F82">
        <v>19.501172788843899</v>
      </c>
      <c r="G82">
        <v>0.73404607673751898</v>
      </c>
      <c r="H82" t="s">
        <v>140</v>
      </c>
      <c r="I82" t="s">
        <v>24</v>
      </c>
      <c r="J82" t="s">
        <v>23</v>
      </c>
      <c r="K82" t="s">
        <v>38</v>
      </c>
      <c r="L82">
        <v>327</v>
      </c>
      <c r="M82" t="s">
        <v>1799</v>
      </c>
      <c r="N82">
        <v>320</v>
      </c>
      <c r="O82" s="1" t="s">
        <v>152</v>
      </c>
      <c r="P82" s="1" t="s">
        <v>150</v>
      </c>
      <c r="Q82" s="25">
        <v>46.057878000000002</v>
      </c>
      <c r="R82" s="25">
        <v>-61.475248999999998</v>
      </c>
      <c r="S82">
        <v>-9.0821000000000005</v>
      </c>
      <c r="T82">
        <v>-6.0210999999999997</v>
      </c>
      <c r="U82">
        <v>9.0821000000000005</v>
      </c>
      <c r="V82" t="s">
        <v>1537</v>
      </c>
      <c r="W82" t="s">
        <v>14</v>
      </c>
      <c r="X82" t="s">
        <v>17</v>
      </c>
      <c r="Y82" t="s">
        <v>151</v>
      </c>
    </row>
    <row r="83" spans="1:25" x14ac:dyDescent="0.25">
      <c r="A83" s="4">
        <v>191</v>
      </c>
      <c r="B83" s="9" t="s">
        <v>155</v>
      </c>
      <c r="C83" s="8" t="s">
        <v>29</v>
      </c>
      <c r="D83" s="6" t="s">
        <v>157</v>
      </c>
      <c r="E83" s="10">
        <v>6</v>
      </c>
      <c r="F83">
        <v>12.132942884134501</v>
      </c>
      <c r="G83">
        <v>1.5789220390955501</v>
      </c>
      <c r="H83" t="s">
        <v>140</v>
      </c>
      <c r="I83" t="s">
        <v>24</v>
      </c>
      <c r="J83" t="s">
        <v>23</v>
      </c>
      <c r="K83" t="s">
        <v>38</v>
      </c>
      <c r="L83">
        <v>327</v>
      </c>
      <c r="M83" t="s">
        <v>1799</v>
      </c>
      <c r="N83">
        <v>320</v>
      </c>
      <c r="O83" s="1" t="s">
        <v>152</v>
      </c>
      <c r="P83" s="1" t="s">
        <v>150</v>
      </c>
      <c r="Q83" s="25">
        <v>46.057878000000002</v>
      </c>
      <c r="R83" s="25">
        <v>-61.475248999999998</v>
      </c>
      <c r="S83">
        <v>-9.0821000000000005</v>
      </c>
      <c r="T83">
        <v>-6.0210999999999997</v>
      </c>
      <c r="U83">
        <v>9.0821000000000005</v>
      </c>
      <c r="V83" t="s">
        <v>1537</v>
      </c>
      <c r="W83" t="s">
        <v>14</v>
      </c>
      <c r="X83" t="s">
        <v>17</v>
      </c>
      <c r="Y83" t="s">
        <v>151</v>
      </c>
    </row>
    <row r="84" spans="1:25" x14ac:dyDescent="0.25">
      <c r="A84" s="4">
        <v>192</v>
      </c>
      <c r="B84" s="9" t="s">
        <v>159</v>
      </c>
      <c r="C84" s="8" t="s">
        <v>29</v>
      </c>
      <c r="D84" s="6" t="s">
        <v>64</v>
      </c>
      <c r="E84" s="10">
        <v>8</v>
      </c>
      <c r="F84">
        <v>4.7530551616835304</v>
      </c>
      <c r="G84">
        <v>0.37367693452967898</v>
      </c>
      <c r="H84" t="s">
        <v>140</v>
      </c>
      <c r="I84" t="s">
        <v>24</v>
      </c>
      <c r="J84" t="s">
        <v>23</v>
      </c>
      <c r="K84" t="s">
        <v>38</v>
      </c>
      <c r="L84">
        <v>327</v>
      </c>
      <c r="M84" t="s">
        <v>1799</v>
      </c>
      <c r="N84">
        <v>320</v>
      </c>
      <c r="O84" s="1" t="s">
        <v>152</v>
      </c>
      <c r="P84" s="1" t="s">
        <v>150</v>
      </c>
      <c r="Q84" s="25">
        <v>46.057878000000002</v>
      </c>
      <c r="R84" s="25">
        <v>-61.475248999999998</v>
      </c>
      <c r="S84">
        <v>-9.0821000000000005</v>
      </c>
      <c r="T84">
        <v>-6.0210999999999997</v>
      </c>
      <c r="U84">
        <v>9.0821000000000005</v>
      </c>
      <c r="V84" t="s">
        <v>1537</v>
      </c>
      <c r="W84" t="s">
        <v>14</v>
      </c>
      <c r="X84" t="s">
        <v>17</v>
      </c>
      <c r="Y84" t="s">
        <v>151</v>
      </c>
    </row>
    <row r="85" spans="1:25" x14ac:dyDescent="0.25">
      <c r="A85" s="4">
        <v>196</v>
      </c>
      <c r="B85" s="9" t="s">
        <v>158</v>
      </c>
      <c r="C85" s="8" t="s">
        <v>29</v>
      </c>
      <c r="D85" s="6" t="s">
        <v>64</v>
      </c>
      <c r="E85" s="10">
        <v>8</v>
      </c>
      <c r="F85">
        <v>4.8886316448055904</v>
      </c>
      <c r="G85">
        <v>0.27258038950331898</v>
      </c>
      <c r="H85" t="s">
        <v>140</v>
      </c>
      <c r="I85" t="s">
        <v>24</v>
      </c>
      <c r="J85" t="s">
        <v>23</v>
      </c>
      <c r="K85" t="s">
        <v>38</v>
      </c>
      <c r="L85">
        <v>327</v>
      </c>
      <c r="M85" t="s">
        <v>1799</v>
      </c>
      <c r="N85">
        <v>320</v>
      </c>
      <c r="O85" s="1" t="s">
        <v>152</v>
      </c>
      <c r="P85" s="1" t="s">
        <v>150</v>
      </c>
      <c r="Q85" s="25">
        <v>46.057878000000002</v>
      </c>
      <c r="R85" s="25">
        <v>-61.475248999999998</v>
      </c>
      <c r="S85">
        <v>-9.0821000000000005</v>
      </c>
      <c r="T85">
        <v>-6.0210999999999997</v>
      </c>
      <c r="U85">
        <v>9.0821000000000005</v>
      </c>
      <c r="V85" t="s">
        <v>1537</v>
      </c>
      <c r="W85" t="s">
        <v>14</v>
      </c>
      <c r="X85" t="s">
        <v>17</v>
      </c>
      <c r="Y85" t="s">
        <v>151</v>
      </c>
    </row>
    <row r="86" spans="1:25" x14ac:dyDescent="0.25">
      <c r="A86" s="4">
        <v>202</v>
      </c>
      <c r="B86" s="9" t="s">
        <v>158</v>
      </c>
      <c r="C86" s="8" t="s">
        <v>29</v>
      </c>
      <c r="D86" s="6" t="s">
        <v>64</v>
      </c>
      <c r="E86" s="10">
        <v>8</v>
      </c>
      <c r="F86">
        <v>3.1546979727634299</v>
      </c>
      <c r="G86">
        <v>0.315469797276341</v>
      </c>
      <c r="H86" t="s">
        <v>140</v>
      </c>
      <c r="I86" t="s">
        <v>24</v>
      </c>
      <c r="J86" t="s">
        <v>23</v>
      </c>
      <c r="K86" t="s">
        <v>38</v>
      </c>
      <c r="L86">
        <v>327</v>
      </c>
      <c r="M86" t="s">
        <v>1799</v>
      </c>
      <c r="N86">
        <v>320</v>
      </c>
      <c r="O86" s="1" t="s">
        <v>152</v>
      </c>
      <c r="P86" s="1" t="s">
        <v>150</v>
      </c>
      <c r="Q86" s="25">
        <v>46.057878000000002</v>
      </c>
      <c r="R86" s="25">
        <v>-61.475248999999998</v>
      </c>
      <c r="S86">
        <v>-9.0821000000000005</v>
      </c>
      <c r="T86">
        <v>-6.0210999999999997</v>
      </c>
      <c r="U86">
        <v>9.0821000000000005</v>
      </c>
      <c r="V86" t="s">
        <v>1537</v>
      </c>
      <c r="W86" t="s">
        <v>14</v>
      </c>
      <c r="X86" t="s">
        <v>17</v>
      </c>
      <c r="Y86" t="s">
        <v>151</v>
      </c>
    </row>
    <row r="87" spans="1:25" x14ac:dyDescent="0.25">
      <c r="A87" s="4">
        <v>205</v>
      </c>
      <c r="B87" s="9" t="s">
        <v>1209</v>
      </c>
      <c r="C87" s="8" t="s">
        <v>207</v>
      </c>
      <c r="D87" s="6" t="s">
        <v>208</v>
      </c>
      <c r="E87" s="10">
        <v>7</v>
      </c>
      <c r="F87">
        <v>3.98297980344296</v>
      </c>
      <c r="G87">
        <v>0.67081907101294702</v>
      </c>
      <c r="H87" t="s">
        <v>203</v>
      </c>
      <c r="I87" t="s">
        <v>24</v>
      </c>
      <c r="J87" t="s">
        <v>185</v>
      </c>
      <c r="K87" t="s">
        <v>186</v>
      </c>
      <c r="L87">
        <v>311</v>
      </c>
      <c r="M87" t="s">
        <v>1799</v>
      </c>
      <c r="N87">
        <v>320</v>
      </c>
      <c r="O87" s="1" t="s">
        <v>205</v>
      </c>
      <c r="P87" s="1" t="s">
        <v>204</v>
      </c>
      <c r="Q87" s="25">
        <v>42.828018</v>
      </c>
      <c r="R87" s="25">
        <v>-4.7451290000000004</v>
      </c>
      <c r="S87">
        <v>-9.7390000000000008</v>
      </c>
      <c r="T87">
        <v>8.8346999999999998</v>
      </c>
      <c r="U87">
        <v>9.7390000000000008</v>
      </c>
      <c r="V87" t="s">
        <v>1538</v>
      </c>
      <c r="W87" t="s">
        <v>13</v>
      </c>
      <c r="X87" t="s">
        <v>16</v>
      </c>
      <c r="Y87" s="1" t="s">
        <v>1208</v>
      </c>
    </row>
    <row r="88" spans="1:25" x14ac:dyDescent="0.25">
      <c r="A88" s="4">
        <v>206</v>
      </c>
      <c r="B88" s="9" t="s">
        <v>1209</v>
      </c>
      <c r="C88" s="8" t="s">
        <v>207</v>
      </c>
      <c r="D88" s="6" t="s">
        <v>208</v>
      </c>
      <c r="E88" s="10">
        <v>7</v>
      </c>
      <c r="F88">
        <v>13.394753438454</v>
      </c>
      <c r="G88">
        <v>2.6358700625771299</v>
      </c>
      <c r="H88" t="s">
        <v>203</v>
      </c>
      <c r="I88" t="s">
        <v>24</v>
      </c>
      <c r="J88" t="s">
        <v>185</v>
      </c>
      <c r="K88" t="s">
        <v>186</v>
      </c>
      <c r="L88">
        <v>311</v>
      </c>
      <c r="M88" t="s">
        <v>1799</v>
      </c>
      <c r="N88">
        <v>320</v>
      </c>
      <c r="O88" s="1" t="s">
        <v>205</v>
      </c>
      <c r="P88" s="1" t="s">
        <v>204</v>
      </c>
      <c r="Q88" s="25">
        <v>42.828018</v>
      </c>
      <c r="R88" s="25">
        <v>-4.7451290000000004</v>
      </c>
      <c r="S88">
        <v>-9.7390000000000008</v>
      </c>
      <c r="T88">
        <v>8.8346999999999998</v>
      </c>
      <c r="U88">
        <v>9.7390000000000008</v>
      </c>
      <c r="V88" t="s">
        <v>1538</v>
      </c>
      <c r="W88" t="s">
        <v>13</v>
      </c>
      <c r="X88" t="s">
        <v>16</v>
      </c>
      <c r="Y88" s="1" t="s">
        <v>1208</v>
      </c>
    </row>
    <row r="89" spans="1:25" x14ac:dyDescent="0.25">
      <c r="A89" s="4">
        <v>208</v>
      </c>
      <c r="B89" s="9" t="s">
        <v>1220</v>
      </c>
      <c r="C89" s="8" t="s">
        <v>1218</v>
      </c>
      <c r="D89" s="6" t="s">
        <v>28</v>
      </c>
      <c r="E89" s="10">
        <v>6</v>
      </c>
      <c r="F89">
        <v>15.0031893605543</v>
      </c>
      <c r="G89">
        <v>12.2568527347266</v>
      </c>
      <c r="H89" t="s">
        <v>39</v>
      </c>
      <c r="I89" t="s">
        <v>24</v>
      </c>
      <c r="J89" t="s">
        <v>185</v>
      </c>
      <c r="K89" t="s">
        <v>186</v>
      </c>
      <c r="L89">
        <v>311</v>
      </c>
      <c r="M89" t="s">
        <v>1799</v>
      </c>
      <c r="N89">
        <v>320</v>
      </c>
      <c r="O89" t="s">
        <v>40</v>
      </c>
      <c r="P89" s="1" t="s">
        <v>380</v>
      </c>
      <c r="Q89" s="25">
        <v>52.444232999999997</v>
      </c>
      <c r="R89" s="25">
        <v>-2.3609930000000001</v>
      </c>
      <c r="S89">
        <v>-2.0695000000000001</v>
      </c>
      <c r="T89">
        <v>6.7026000000000003</v>
      </c>
      <c r="U89">
        <v>2.0695000000000001</v>
      </c>
      <c r="V89" t="s">
        <v>1538</v>
      </c>
      <c r="W89" t="s">
        <v>14</v>
      </c>
      <c r="X89" t="s">
        <v>17</v>
      </c>
      <c r="Y89" s="1" t="s">
        <v>1216</v>
      </c>
    </row>
    <row r="90" spans="1:25" x14ac:dyDescent="0.25">
      <c r="A90" s="4">
        <v>209</v>
      </c>
      <c r="B90" s="9" t="s">
        <v>1221</v>
      </c>
      <c r="C90" s="8" t="s">
        <v>1218</v>
      </c>
      <c r="D90" s="6" t="s">
        <v>28</v>
      </c>
      <c r="E90" s="10">
        <v>6</v>
      </c>
      <c r="F90">
        <v>22.8018650818751</v>
      </c>
      <c r="G90">
        <v>15.026389828644801</v>
      </c>
      <c r="H90" t="s">
        <v>39</v>
      </c>
      <c r="I90" t="s">
        <v>24</v>
      </c>
      <c r="J90" t="s">
        <v>185</v>
      </c>
      <c r="K90" t="s">
        <v>186</v>
      </c>
      <c r="L90">
        <v>311</v>
      </c>
      <c r="M90" t="s">
        <v>1799</v>
      </c>
      <c r="N90">
        <v>320</v>
      </c>
      <c r="O90" t="s">
        <v>40</v>
      </c>
      <c r="P90" s="1" t="s">
        <v>380</v>
      </c>
      <c r="Q90" s="25">
        <v>52.444232999999997</v>
      </c>
      <c r="R90" s="25">
        <v>-2.3609930000000001</v>
      </c>
      <c r="S90">
        <v>-2.0695000000000001</v>
      </c>
      <c r="T90">
        <v>6.7026000000000003</v>
      </c>
      <c r="U90">
        <v>2.0695000000000001</v>
      </c>
      <c r="V90" t="s">
        <v>1538</v>
      </c>
      <c r="W90" t="s">
        <v>14</v>
      </c>
      <c r="X90" t="s">
        <v>17</v>
      </c>
      <c r="Y90" s="1" t="s">
        <v>1216</v>
      </c>
    </row>
    <row r="91" spans="1:25" x14ac:dyDescent="0.25">
      <c r="A91" s="4">
        <v>211</v>
      </c>
      <c r="B91" s="9" t="s">
        <v>1222</v>
      </c>
      <c r="C91" s="8" t="s">
        <v>1218</v>
      </c>
      <c r="D91" s="6" t="s">
        <v>28</v>
      </c>
      <c r="E91" s="10">
        <v>6</v>
      </c>
      <c r="F91">
        <v>12.380598893727599</v>
      </c>
      <c r="G91">
        <v>7.89933854627591</v>
      </c>
      <c r="H91" t="s">
        <v>39</v>
      </c>
      <c r="I91" t="s">
        <v>24</v>
      </c>
      <c r="J91" t="s">
        <v>185</v>
      </c>
      <c r="K91" t="s">
        <v>186</v>
      </c>
      <c r="L91">
        <v>311</v>
      </c>
      <c r="M91" t="s">
        <v>1799</v>
      </c>
      <c r="N91">
        <v>320</v>
      </c>
      <c r="O91" t="s">
        <v>40</v>
      </c>
      <c r="P91" s="1" t="s">
        <v>380</v>
      </c>
      <c r="Q91" s="25">
        <v>52.444232999999997</v>
      </c>
      <c r="R91" s="25">
        <v>-2.3609930000000001</v>
      </c>
      <c r="S91">
        <v>-2.0695000000000001</v>
      </c>
      <c r="T91">
        <v>6.7026000000000003</v>
      </c>
      <c r="U91">
        <v>2.0695000000000001</v>
      </c>
      <c r="V91" t="s">
        <v>1538</v>
      </c>
      <c r="W91" t="s">
        <v>14</v>
      </c>
      <c r="X91" t="s">
        <v>17</v>
      </c>
      <c r="Y91" s="1" t="s">
        <v>1216</v>
      </c>
    </row>
    <row r="92" spans="1:25" x14ac:dyDescent="0.25">
      <c r="A92" s="4">
        <v>212</v>
      </c>
      <c r="B92" s="9" t="s">
        <v>1223</v>
      </c>
      <c r="C92" s="8" t="s">
        <v>1218</v>
      </c>
      <c r="D92" s="6" t="s">
        <v>308</v>
      </c>
      <c r="E92" s="10">
        <v>6</v>
      </c>
      <c r="F92">
        <v>77.228524415299901</v>
      </c>
      <c r="G92">
        <v>38.475064778882398</v>
      </c>
      <c r="H92" t="s">
        <v>39</v>
      </c>
      <c r="I92" t="s">
        <v>24</v>
      </c>
      <c r="J92" t="s">
        <v>185</v>
      </c>
      <c r="K92" t="s">
        <v>186</v>
      </c>
      <c r="L92">
        <v>311</v>
      </c>
      <c r="M92" t="s">
        <v>1799</v>
      </c>
      <c r="N92">
        <v>320</v>
      </c>
      <c r="O92" t="s">
        <v>40</v>
      </c>
      <c r="P92" s="1" t="s">
        <v>380</v>
      </c>
      <c r="Q92" s="25">
        <v>52.444232999999997</v>
      </c>
      <c r="R92" s="25">
        <v>-2.3609930000000001</v>
      </c>
      <c r="S92">
        <v>-2.0695000000000001</v>
      </c>
      <c r="T92">
        <v>6.7026000000000003</v>
      </c>
      <c r="U92">
        <v>2.0695000000000001</v>
      </c>
      <c r="V92" t="s">
        <v>1538</v>
      </c>
      <c r="W92" t="s">
        <v>14</v>
      </c>
      <c r="X92" t="s">
        <v>17</v>
      </c>
      <c r="Y92" s="1" t="s">
        <v>1216</v>
      </c>
    </row>
    <row r="93" spans="1:25" x14ac:dyDescent="0.25">
      <c r="A93" s="4">
        <v>213</v>
      </c>
      <c r="B93" s="9" t="s">
        <v>1224</v>
      </c>
      <c r="C93" s="8" t="s">
        <v>1218</v>
      </c>
      <c r="D93" s="6" t="s">
        <v>96</v>
      </c>
      <c r="E93" s="10">
        <v>6</v>
      </c>
      <c r="F93">
        <v>68.568455850509693</v>
      </c>
      <c r="G93">
        <v>23.647522660585199</v>
      </c>
      <c r="H93" t="s">
        <v>39</v>
      </c>
      <c r="I93" t="s">
        <v>24</v>
      </c>
      <c r="J93" t="s">
        <v>185</v>
      </c>
      <c r="K93" t="s">
        <v>186</v>
      </c>
      <c r="L93">
        <v>311</v>
      </c>
      <c r="M93" t="s">
        <v>1799</v>
      </c>
      <c r="N93">
        <v>320</v>
      </c>
      <c r="O93" t="s">
        <v>40</v>
      </c>
      <c r="P93" s="1" t="s">
        <v>380</v>
      </c>
      <c r="Q93" s="25">
        <v>52.444232999999997</v>
      </c>
      <c r="R93" s="25">
        <v>-2.3609930000000001</v>
      </c>
      <c r="S93">
        <v>-2.0695000000000001</v>
      </c>
      <c r="T93">
        <v>6.7026000000000003</v>
      </c>
      <c r="U93">
        <v>2.0695000000000001</v>
      </c>
      <c r="V93" t="s">
        <v>1538</v>
      </c>
      <c r="W93" t="s">
        <v>14</v>
      </c>
      <c r="X93" t="s">
        <v>17</v>
      </c>
      <c r="Y93" s="1" t="s">
        <v>1216</v>
      </c>
    </row>
    <row r="94" spans="1:25" x14ac:dyDescent="0.25">
      <c r="A94" s="4">
        <v>214</v>
      </c>
      <c r="B94" s="9" t="s">
        <v>1225</v>
      </c>
      <c r="C94" s="8" t="s">
        <v>1218</v>
      </c>
      <c r="D94" s="6" t="s">
        <v>157</v>
      </c>
      <c r="E94" s="10">
        <v>6</v>
      </c>
      <c r="F94">
        <v>12.033146748976201</v>
      </c>
      <c r="G94">
        <v>8.6169324353678807</v>
      </c>
      <c r="H94" t="s">
        <v>39</v>
      </c>
      <c r="I94" t="s">
        <v>24</v>
      </c>
      <c r="J94" t="s">
        <v>185</v>
      </c>
      <c r="K94" t="s">
        <v>186</v>
      </c>
      <c r="L94">
        <v>311</v>
      </c>
      <c r="M94" t="s">
        <v>1799</v>
      </c>
      <c r="N94">
        <v>320</v>
      </c>
      <c r="O94" t="s">
        <v>40</v>
      </c>
      <c r="P94" s="1" t="s">
        <v>380</v>
      </c>
      <c r="Q94" s="25">
        <v>52.444232999999997</v>
      </c>
      <c r="R94" s="25">
        <v>-2.3609930000000001</v>
      </c>
      <c r="S94">
        <v>-2.0695000000000001</v>
      </c>
      <c r="T94">
        <v>6.7026000000000003</v>
      </c>
      <c r="U94">
        <v>2.0695000000000001</v>
      </c>
      <c r="V94" t="s">
        <v>1538</v>
      </c>
      <c r="W94" t="s">
        <v>14</v>
      </c>
      <c r="X94" t="s">
        <v>17</v>
      </c>
      <c r="Y94" s="1" t="s">
        <v>1216</v>
      </c>
    </row>
    <row r="95" spans="1:25" x14ac:dyDescent="0.25">
      <c r="A95" s="4">
        <v>215</v>
      </c>
      <c r="B95" s="9" t="s">
        <v>1234</v>
      </c>
      <c r="C95" s="8" t="s">
        <v>29</v>
      </c>
      <c r="D95" s="6" t="s">
        <v>28</v>
      </c>
      <c r="E95" s="10">
        <v>6</v>
      </c>
      <c r="F95">
        <v>439.44583116116701</v>
      </c>
      <c r="G95">
        <v>225.135467041727</v>
      </c>
      <c r="H95" t="s">
        <v>26</v>
      </c>
      <c r="I95" t="s">
        <v>24</v>
      </c>
      <c r="J95" t="s">
        <v>23</v>
      </c>
      <c r="K95" t="s">
        <v>38</v>
      </c>
      <c r="L95">
        <v>327</v>
      </c>
      <c r="M95" t="s">
        <v>1799</v>
      </c>
      <c r="N95">
        <v>320</v>
      </c>
      <c r="O95" t="s">
        <v>27</v>
      </c>
      <c r="P95" s="1" t="s">
        <v>1214</v>
      </c>
      <c r="Q95" s="25">
        <v>55.707706999999999</v>
      </c>
      <c r="R95" s="25">
        <v>-5.2174800000000001</v>
      </c>
      <c r="S95">
        <v>0.96</v>
      </c>
      <c r="T95">
        <v>4.6345000000000001</v>
      </c>
      <c r="U95">
        <v>0.96</v>
      </c>
      <c r="V95" t="s">
        <v>1538</v>
      </c>
      <c r="W95" t="s">
        <v>14</v>
      </c>
      <c r="X95" t="s">
        <v>17</v>
      </c>
      <c r="Y95" s="1" t="s">
        <v>1233</v>
      </c>
    </row>
    <row r="96" spans="1:25" x14ac:dyDescent="0.25">
      <c r="A96" s="4">
        <v>219</v>
      </c>
      <c r="B96" s="9">
        <v>331</v>
      </c>
      <c r="C96" s="8" t="s">
        <v>298</v>
      </c>
      <c r="D96" s="10" t="s">
        <v>1318</v>
      </c>
      <c r="E96" s="10">
        <v>6</v>
      </c>
      <c r="F96">
        <v>84.724021333266705</v>
      </c>
      <c r="G96">
        <v>30.645441093573801</v>
      </c>
      <c r="H96" t="s">
        <v>92</v>
      </c>
      <c r="I96" t="s">
        <v>24</v>
      </c>
      <c r="J96" t="s">
        <v>185</v>
      </c>
      <c r="K96" t="s">
        <v>212</v>
      </c>
      <c r="L96">
        <v>319</v>
      </c>
      <c r="M96" t="s">
        <v>1799</v>
      </c>
      <c r="N96">
        <v>320</v>
      </c>
      <c r="O96" s="1" t="s">
        <v>97</v>
      </c>
      <c r="P96" s="1" t="s">
        <v>201</v>
      </c>
      <c r="Q96" s="25">
        <v>33.812252000000001</v>
      </c>
      <c r="R96" s="25">
        <f>-87.164963</f>
        <v>-87.164963</v>
      </c>
      <c r="S96">
        <v>-14.348800000000001</v>
      </c>
      <c r="T96">
        <v>-28.94</v>
      </c>
      <c r="U96">
        <v>14.348800000000001</v>
      </c>
      <c r="V96" t="s">
        <v>1538</v>
      </c>
      <c r="W96" t="s">
        <v>13</v>
      </c>
      <c r="X96" t="s">
        <v>17</v>
      </c>
      <c r="Y96" s="1" t="s">
        <v>1246</v>
      </c>
    </row>
    <row r="97" spans="1:25" x14ac:dyDescent="0.25">
      <c r="A97" s="4">
        <v>221</v>
      </c>
      <c r="B97" s="9" t="s">
        <v>149</v>
      </c>
      <c r="C97" s="8" t="s">
        <v>29</v>
      </c>
      <c r="D97" s="6" t="s">
        <v>28</v>
      </c>
      <c r="E97" s="10">
        <v>6</v>
      </c>
      <c r="F97">
        <v>17.521960230021001</v>
      </c>
      <c r="G97">
        <v>9.6405300102183809</v>
      </c>
      <c r="H97" t="s">
        <v>140</v>
      </c>
      <c r="I97" t="s">
        <v>24</v>
      </c>
      <c r="J97" t="s">
        <v>23</v>
      </c>
      <c r="K97" t="s">
        <v>38</v>
      </c>
      <c r="L97">
        <v>327</v>
      </c>
      <c r="M97" t="s">
        <v>1799</v>
      </c>
      <c r="N97">
        <v>320</v>
      </c>
      <c r="O97" s="1" t="s">
        <v>152</v>
      </c>
      <c r="P97" s="1" t="s">
        <v>150</v>
      </c>
      <c r="Q97" s="25">
        <v>46.057878000000002</v>
      </c>
      <c r="R97" s="25">
        <v>-61.475248999999998</v>
      </c>
      <c r="S97">
        <v>-9.0821000000000005</v>
      </c>
      <c r="T97">
        <v>-6.0210999999999997</v>
      </c>
      <c r="U97">
        <v>9.0821000000000005</v>
      </c>
      <c r="V97" t="s">
        <v>1537</v>
      </c>
      <c r="W97" t="s">
        <v>14</v>
      </c>
      <c r="X97" t="s">
        <v>17</v>
      </c>
      <c r="Y97" t="s">
        <v>160</v>
      </c>
    </row>
    <row r="98" spans="1:25" x14ac:dyDescent="0.25">
      <c r="A98" s="4">
        <v>222</v>
      </c>
      <c r="B98" s="9" t="s">
        <v>81</v>
      </c>
      <c r="C98" s="8" t="s">
        <v>29</v>
      </c>
      <c r="D98" s="6" t="s">
        <v>157</v>
      </c>
      <c r="E98" s="10">
        <v>6</v>
      </c>
      <c r="F98">
        <v>14.5859796597653</v>
      </c>
      <c r="G98">
        <v>3.1247397020991201</v>
      </c>
      <c r="H98" t="s">
        <v>140</v>
      </c>
      <c r="I98" t="s">
        <v>24</v>
      </c>
      <c r="J98" t="s">
        <v>23</v>
      </c>
      <c r="K98" t="s">
        <v>38</v>
      </c>
      <c r="L98">
        <v>327</v>
      </c>
      <c r="M98" t="s">
        <v>1799</v>
      </c>
      <c r="N98">
        <v>320</v>
      </c>
      <c r="O98" s="1" t="s">
        <v>152</v>
      </c>
      <c r="P98" s="1" t="s">
        <v>150</v>
      </c>
      <c r="Q98" s="25">
        <v>46.057878000000002</v>
      </c>
      <c r="R98" s="25">
        <v>-61.475248999999998</v>
      </c>
      <c r="S98">
        <v>-9.0821000000000005</v>
      </c>
      <c r="T98">
        <v>-6.0210999999999997</v>
      </c>
      <c r="U98">
        <v>9.0821000000000005</v>
      </c>
      <c r="V98" t="s">
        <v>1537</v>
      </c>
      <c r="W98" t="s">
        <v>14</v>
      </c>
      <c r="X98" t="s">
        <v>17</v>
      </c>
      <c r="Y98" t="s">
        <v>160</v>
      </c>
    </row>
    <row r="99" spans="1:25" x14ac:dyDescent="0.25">
      <c r="A99" s="4">
        <v>223</v>
      </c>
      <c r="B99" s="9" t="s">
        <v>82</v>
      </c>
      <c r="C99" s="8" t="s">
        <v>29</v>
      </c>
      <c r="D99" s="6" t="s">
        <v>157</v>
      </c>
      <c r="E99" s="10">
        <v>6</v>
      </c>
      <c r="F99">
        <v>12.660801323219999</v>
      </c>
      <c r="G99">
        <v>4.19116977829988</v>
      </c>
      <c r="H99" t="s">
        <v>140</v>
      </c>
      <c r="I99" t="s">
        <v>24</v>
      </c>
      <c r="J99" t="s">
        <v>23</v>
      </c>
      <c r="K99" t="s">
        <v>38</v>
      </c>
      <c r="L99">
        <v>327</v>
      </c>
      <c r="M99" t="s">
        <v>1799</v>
      </c>
      <c r="N99">
        <v>320</v>
      </c>
      <c r="O99" s="1" t="s">
        <v>152</v>
      </c>
      <c r="P99" s="1" t="s">
        <v>150</v>
      </c>
      <c r="Q99" s="25">
        <v>46.057878000000002</v>
      </c>
      <c r="R99" s="25">
        <v>-61.475248999999998</v>
      </c>
      <c r="S99">
        <v>-9.0821000000000005</v>
      </c>
      <c r="T99">
        <v>-6.0210999999999997</v>
      </c>
      <c r="U99">
        <v>9.0821000000000005</v>
      </c>
      <c r="V99" t="s">
        <v>1537</v>
      </c>
      <c r="W99" t="s">
        <v>14</v>
      </c>
      <c r="X99" t="s">
        <v>17</v>
      </c>
      <c r="Y99" t="s">
        <v>160</v>
      </c>
    </row>
    <row r="100" spans="1:25" x14ac:dyDescent="0.25">
      <c r="A100" s="4">
        <v>224</v>
      </c>
      <c r="B100" s="9" t="s">
        <v>153</v>
      </c>
      <c r="C100" s="8" t="s">
        <v>29</v>
      </c>
      <c r="D100" s="6" t="s">
        <v>28</v>
      </c>
      <c r="E100" s="10">
        <v>6</v>
      </c>
      <c r="F100">
        <v>19.3897913934827</v>
      </c>
      <c r="G100">
        <v>14.602190000825299</v>
      </c>
      <c r="H100" t="s">
        <v>140</v>
      </c>
      <c r="I100" t="s">
        <v>24</v>
      </c>
      <c r="J100" t="s">
        <v>23</v>
      </c>
      <c r="K100" t="s">
        <v>38</v>
      </c>
      <c r="L100">
        <v>327</v>
      </c>
      <c r="M100" t="s">
        <v>1799</v>
      </c>
      <c r="N100">
        <v>320</v>
      </c>
      <c r="O100" s="1" t="s">
        <v>152</v>
      </c>
      <c r="P100" s="1" t="s">
        <v>150</v>
      </c>
      <c r="Q100" s="25">
        <v>46.057878000000002</v>
      </c>
      <c r="R100" s="25">
        <v>-61.475248999999998</v>
      </c>
      <c r="S100">
        <v>-9.0821000000000005</v>
      </c>
      <c r="T100">
        <v>-6.0210999999999997</v>
      </c>
      <c r="U100">
        <v>9.0821000000000005</v>
      </c>
      <c r="V100" t="s">
        <v>1537</v>
      </c>
      <c r="W100" t="s">
        <v>14</v>
      </c>
      <c r="X100" t="s">
        <v>17</v>
      </c>
      <c r="Y100" t="s">
        <v>160</v>
      </c>
    </row>
    <row r="101" spans="1:25" x14ac:dyDescent="0.25">
      <c r="A101" s="4">
        <v>225</v>
      </c>
      <c r="B101" s="9" t="s">
        <v>84</v>
      </c>
      <c r="C101" s="8" t="s">
        <v>29</v>
      </c>
      <c r="D101" s="6" t="s">
        <v>157</v>
      </c>
      <c r="E101" s="10">
        <v>6</v>
      </c>
      <c r="F101">
        <v>7.6360111306446701</v>
      </c>
      <c r="G101">
        <v>3.6618536411050999</v>
      </c>
      <c r="H101" t="s">
        <v>140</v>
      </c>
      <c r="I101" t="s">
        <v>24</v>
      </c>
      <c r="J101" t="s">
        <v>23</v>
      </c>
      <c r="K101" t="s">
        <v>38</v>
      </c>
      <c r="L101">
        <v>327</v>
      </c>
      <c r="M101" t="s">
        <v>1799</v>
      </c>
      <c r="N101">
        <v>320</v>
      </c>
      <c r="O101" s="1" t="s">
        <v>152</v>
      </c>
      <c r="P101" s="1" t="s">
        <v>150</v>
      </c>
      <c r="Q101" s="25">
        <v>46.057878000000002</v>
      </c>
      <c r="R101" s="25">
        <v>-61.475248999999998</v>
      </c>
      <c r="S101">
        <v>-9.0821000000000005</v>
      </c>
      <c r="T101">
        <v>-6.0210999999999997</v>
      </c>
      <c r="U101">
        <v>9.0821000000000005</v>
      </c>
      <c r="V101" t="s">
        <v>1537</v>
      </c>
      <c r="W101" t="s">
        <v>14</v>
      </c>
      <c r="X101" t="s">
        <v>17</v>
      </c>
      <c r="Y101" t="s">
        <v>160</v>
      </c>
    </row>
    <row r="102" spans="1:25" x14ac:dyDescent="0.25">
      <c r="A102" s="4">
        <v>226</v>
      </c>
      <c r="B102" s="9" t="s">
        <v>84</v>
      </c>
      <c r="C102" s="8" t="s">
        <v>29</v>
      </c>
      <c r="D102" s="6" t="s">
        <v>161</v>
      </c>
      <c r="E102" s="10">
        <v>7</v>
      </c>
      <c r="F102">
        <v>9.3599804474116102</v>
      </c>
      <c r="G102">
        <v>2.7524038508477302</v>
      </c>
      <c r="H102" t="s">
        <v>140</v>
      </c>
      <c r="I102" t="s">
        <v>24</v>
      </c>
      <c r="J102" t="s">
        <v>23</v>
      </c>
      <c r="K102" t="s">
        <v>38</v>
      </c>
      <c r="L102">
        <v>327</v>
      </c>
      <c r="M102" t="s">
        <v>1799</v>
      </c>
      <c r="N102">
        <v>320</v>
      </c>
      <c r="O102" s="1" t="s">
        <v>152</v>
      </c>
      <c r="P102" s="1" t="s">
        <v>150</v>
      </c>
      <c r="Q102" s="25">
        <v>46.057878000000002</v>
      </c>
      <c r="R102" s="25">
        <v>-61.475248999999998</v>
      </c>
      <c r="S102">
        <v>-9.0821000000000005</v>
      </c>
      <c r="T102">
        <v>-6.0210999999999997</v>
      </c>
      <c r="U102">
        <v>9.0821000000000005</v>
      </c>
      <c r="V102" t="s">
        <v>1537</v>
      </c>
      <c r="W102" t="s">
        <v>14</v>
      </c>
      <c r="X102" t="s">
        <v>17</v>
      </c>
      <c r="Y102" t="s">
        <v>160</v>
      </c>
    </row>
    <row r="103" spans="1:25" x14ac:dyDescent="0.25">
      <c r="A103" s="4">
        <v>230</v>
      </c>
      <c r="B103" s="9" t="s">
        <v>163</v>
      </c>
      <c r="C103" s="8" t="s">
        <v>29</v>
      </c>
      <c r="D103" s="6" t="s">
        <v>162</v>
      </c>
      <c r="E103" s="10">
        <v>6</v>
      </c>
      <c r="F103">
        <v>14.9155764726888</v>
      </c>
      <c r="G103">
        <v>6.4145652435967797</v>
      </c>
      <c r="H103" t="s">
        <v>140</v>
      </c>
      <c r="I103" t="s">
        <v>24</v>
      </c>
      <c r="J103" t="s">
        <v>23</v>
      </c>
      <c r="K103" t="s">
        <v>38</v>
      </c>
      <c r="L103">
        <v>327</v>
      </c>
      <c r="M103" t="s">
        <v>1799</v>
      </c>
      <c r="N103">
        <v>320</v>
      </c>
      <c r="O103" s="1" t="s">
        <v>152</v>
      </c>
      <c r="P103" s="1" t="s">
        <v>150</v>
      </c>
      <c r="Q103" s="25">
        <v>46.057878000000002</v>
      </c>
      <c r="R103" s="25">
        <v>-61.475248999999998</v>
      </c>
      <c r="S103">
        <v>-9.0821000000000005</v>
      </c>
      <c r="T103">
        <v>-6.0210999999999997</v>
      </c>
      <c r="U103">
        <v>9.0821000000000005</v>
      </c>
      <c r="V103" t="s">
        <v>1537</v>
      </c>
      <c r="W103" t="s">
        <v>14</v>
      </c>
      <c r="X103" t="s">
        <v>17</v>
      </c>
      <c r="Y103" t="s">
        <v>160</v>
      </c>
    </row>
    <row r="104" spans="1:25" x14ac:dyDescent="0.25">
      <c r="A104" s="4">
        <v>232</v>
      </c>
      <c r="B104" s="9" t="s">
        <v>164</v>
      </c>
      <c r="C104" s="8" t="s">
        <v>29</v>
      </c>
      <c r="D104" s="6" t="s">
        <v>157</v>
      </c>
      <c r="E104" s="10">
        <v>6</v>
      </c>
      <c r="F104">
        <v>14.3792149519912</v>
      </c>
      <c r="G104">
        <v>7.4486593298029202</v>
      </c>
      <c r="H104" t="s">
        <v>140</v>
      </c>
      <c r="I104" t="s">
        <v>24</v>
      </c>
      <c r="J104" t="s">
        <v>23</v>
      </c>
      <c r="K104" t="s">
        <v>38</v>
      </c>
      <c r="L104">
        <v>327</v>
      </c>
      <c r="M104" t="s">
        <v>1799</v>
      </c>
      <c r="N104">
        <v>320</v>
      </c>
      <c r="O104" s="1" t="s">
        <v>152</v>
      </c>
      <c r="P104" s="1" t="s">
        <v>150</v>
      </c>
      <c r="Q104" s="25">
        <v>46.057878000000002</v>
      </c>
      <c r="R104" s="25">
        <v>-61.475248999999998</v>
      </c>
      <c r="S104">
        <v>-9.0821000000000005</v>
      </c>
      <c r="T104">
        <v>-6.0210999999999997</v>
      </c>
      <c r="U104">
        <v>9.0821000000000005</v>
      </c>
      <c r="V104" t="s">
        <v>1537</v>
      </c>
      <c r="W104" t="s">
        <v>14</v>
      </c>
      <c r="X104" t="s">
        <v>17</v>
      </c>
      <c r="Y104" t="s">
        <v>160</v>
      </c>
    </row>
    <row r="105" spans="1:25" x14ac:dyDescent="0.25">
      <c r="A105" s="4">
        <v>233</v>
      </c>
      <c r="B105" s="9" t="s">
        <v>165</v>
      </c>
      <c r="C105" s="8" t="s">
        <v>29</v>
      </c>
      <c r="D105" s="6" t="s">
        <v>28</v>
      </c>
      <c r="E105" s="10">
        <v>6</v>
      </c>
      <c r="F105">
        <v>12.124342487034401</v>
      </c>
      <c r="G105">
        <v>3.11786280782127</v>
      </c>
      <c r="H105" t="s">
        <v>140</v>
      </c>
      <c r="I105" t="s">
        <v>24</v>
      </c>
      <c r="J105" t="s">
        <v>23</v>
      </c>
      <c r="K105" t="s">
        <v>38</v>
      </c>
      <c r="L105">
        <v>327</v>
      </c>
      <c r="M105" t="s">
        <v>1799</v>
      </c>
      <c r="N105">
        <v>320</v>
      </c>
      <c r="O105" s="1" t="s">
        <v>152</v>
      </c>
      <c r="P105" s="1" t="s">
        <v>150</v>
      </c>
      <c r="Q105" s="25">
        <v>46.057878000000002</v>
      </c>
      <c r="R105" s="25">
        <v>-61.475248999999998</v>
      </c>
      <c r="S105">
        <v>-9.0821000000000005</v>
      </c>
      <c r="T105">
        <v>-6.0210999999999997</v>
      </c>
      <c r="U105">
        <v>9.0821000000000005</v>
      </c>
      <c r="V105" t="s">
        <v>1537</v>
      </c>
      <c r="W105" t="s">
        <v>14</v>
      </c>
      <c r="X105" t="s">
        <v>17</v>
      </c>
      <c r="Y105" t="s">
        <v>160</v>
      </c>
    </row>
    <row r="106" spans="1:25" x14ac:dyDescent="0.25">
      <c r="A106" s="4">
        <v>234</v>
      </c>
      <c r="B106" s="9" t="s">
        <v>165</v>
      </c>
      <c r="C106" s="8" t="s">
        <v>29</v>
      </c>
      <c r="D106" s="6" t="s">
        <v>157</v>
      </c>
      <c r="E106" s="10">
        <v>6</v>
      </c>
      <c r="F106">
        <v>14.655455083997399</v>
      </c>
      <c r="G106">
        <v>6.2850240200241201</v>
      </c>
      <c r="H106" t="s">
        <v>140</v>
      </c>
      <c r="I106" t="s">
        <v>24</v>
      </c>
      <c r="J106" t="s">
        <v>23</v>
      </c>
      <c r="K106" t="s">
        <v>38</v>
      </c>
      <c r="L106">
        <v>327</v>
      </c>
      <c r="M106" t="s">
        <v>1799</v>
      </c>
      <c r="N106">
        <v>320</v>
      </c>
      <c r="O106" s="1" t="s">
        <v>152</v>
      </c>
      <c r="P106" s="1" t="s">
        <v>150</v>
      </c>
      <c r="Q106" s="25">
        <v>46.057878000000002</v>
      </c>
      <c r="R106" s="25">
        <v>-61.475248999999998</v>
      </c>
      <c r="S106">
        <v>-9.0821000000000005</v>
      </c>
      <c r="T106">
        <v>-6.0210999999999997</v>
      </c>
      <c r="U106">
        <v>9.0821000000000005</v>
      </c>
      <c r="V106" t="s">
        <v>1537</v>
      </c>
      <c r="W106" t="s">
        <v>14</v>
      </c>
      <c r="X106" t="s">
        <v>17</v>
      </c>
      <c r="Y106" t="s">
        <v>160</v>
      </c>
    </row>
    <row r="107" spans="1:25" x14ac:dyDescent="0.25">
      <c r="A107" s="4">
        <v>235</v>
      </c>
      <c r="B107" s="9">
        <v>227939</v>
      </c>
      <c r="C107" s="8" t="s">
        <v>1269</v>
      </c>
      <c r="D107" s="6" t="s">
        <v>196</v>
      </c>
      <c r="E107" s="10">
        <v>6</v>
      </c>
      <c r="F107">
        <v>6.4717587334249203</v>
      </c>
      <c r="G107">
        <v>1.6123224465597401</v>
      </c>
      <c r="H107" t="s">
        <v>92</v>
      </c>
      <c r="I107" t="s">
        <v>24</v>
      </c>
      <c r="J107" t="s">
        <v>185</v>
      </c>
      <c r="K107" t="s">
        <v>186</v>
      </c>
      <c r="L107">
        <v>311</v>
      </c>
      <c r="M107" t="s">
        <v>1799</v>
      </c>
      <c r="N107">
        <v>320</v>
      </c>
      <c r="O107" t="s">
        <v>391</v>
      </c>
      <c r="P107" s="1" t="s">
        <v>1267</v>
      </c>
      <c r="Q107" s="25">
        <v>42.014491</v>
      </c>
      <c r="R107" s="25">
        <v>-71.357562999999999</v>
      </c>
      <c r="S107">
        <v>-11.5837</v>
      </c>
      <c r="T107">
        <v>-13.923400000000001</v>
      </c>
      <c r="U107">
        <v>11.5837</v>
      </c>
      <c r="V107" t="s">
        <v>1538</v>
      </c>
      <c r="W107" t="s">
        <v>15</v>
      </c>
      <c r="X107" t="s">
        <v>17</v>
      </c>
      <c r="Y107" s="1" t="s">
        <v>1268</v>
      </c>
    </row>
    <row r="108" spans="1:25" x14ac:dyDescent="0.25">
      <c r="A108" s="4">
        <v>236</v>
      </c>
      <c r="B108" s="9">
        <v>227940</v>
      </c>
      <c r="C108" s="8" t="s">
        <v>1269</v>
      </c>
      <c r="D108" s="6" t="s">
        <v>1272</v>
      </c>
      <c r="E108" s="10">
        <v>6</v>
      </c>
      <c r="F108">
        <v>6.5012169023546402</v>
      </c>
      <c r="G108">
        <v>2.47345325705977</v>
      </c>
      <c r="H108" t="s">
        <v>92</v>
      </c>
      <c r="I108" t="s">
        <v>24</v>
      </c>
      <c r="J108" t="s">
        <v>185</v>
      </c>
      <c r="K108" t="s">
        <v>186</v>
      </c>
      <c r="L108">
        <v>311</v>
      </c>
      <c r="M108" t="s">
        <v>1799</v>
      </c>
      <c r="N108">
        <v>320</v>
      </c>
      <c r="O108" t="s">
        <v>391</v>
      </c>
      <c r="P108" s="1" t="s">
        <v>1267</v>
      </c>
      <c r="Q108" s="25">
        <v>42.014491</v>
      </c>
      <c r="R108" s="25">
        <v>-71.357562999999999</v>
      </c>
      <c r="S108">
        <v>-11.5837</v>
      </c>
      <c r="T108">
        <v>-13.923400000000001</v>
      </c>
      <c r="U108">
        <v>11.5837</v>
      </c>
      <c r="V108" t="s">
        <v>1538</v>
      </c>
      <c r="W108" t="s">
        <v>15</v>
      </c>
      <c r="X108" t="s">
        <v>17</v>
      </c>
      <c r="Y108" s="1" t="s">
        <v>1268</v>
      </c>
    </row>
    <row r="109" spans="1:25" x14ac:dyDescent="0.25">
      <c r="A109" s="4">
        <v>237</v>
      </c>
      <c r="B109" s="9">
        <v>227941</v>
      </c>
      <c r="C109" s="8" t="s">
        <v>1269</v>
      </c>
      <c r="D109" s="6" t="s">
        <v>137</v>
      </c>
      <c r="E109" s="10">
        <v>6</v>
      </c>
      <c r="F109">
        <v>6.3319652416545402</v>
      </c>
      <c r="G109">
        <v>2.6789591130986801</v>
      </c>
      <c r="H109" t="s">
        <v>92</v>
      </c>
      <c r="I109" t="s">
        <v>24</v>
      </c>
      <c r="J109" t="s">
        <v>185</v>
      </c>
      <c r="K109" t="s">
        <v>186</v>
      </c>
      <c r="L109">
        <v>311</v>
      </c>
      <c r="M109" t="s">
        <v>1799</v>
      </c>
      <c r="N109">
        <v>320</v>
      </c>
      <c r="O109" t="s">
        <v>391</v>
      </c>
      <c r="P109" s="1" t="s">
        <v>1267</v>
      </c>
      <c r="Q109" s="25">
        <v>42.014491</v>
      </c>
      <c r="R109" s="25">
        <v>-71.357562999999999</v>
      </c>
      <c r="S109">
        <v>-11.5837</v>
      </c>
      <c r="T109">
        <v>-13.923400000000001</v>
      </c>
      <c r="U109">
        <v>11.5837</v>
      </c>
      <c r="V109" t="s">
        <v>1538</v>
      </c>
      <c r="W109" t="s">
        <v>15</v>
      </c>
      <c r="X109" t="s">
        <v>17</v>
      </c>
      <c r="Y109" s="1" t="s">
        <v>1268</v>
      </c>
    </row>
    <row r="110" spans="1:25" x14ac:dyDescent="0.25">
      <c r="A110" s="4">
        <v>238</v>
      </c>
      <c r="B110" s="9">
        <v>227944</v>
      </c>
      <c r="C110" s="8" t="s">
        <v>1269</v>
      </c>
      <c r="D110" s="6" t="s">
        <v>137</v>
      </c>
      <c r="E110" s="10">
        <v>6</v>
      </c>
      <c r="F110">
        <v>7.2427020302496299</v>
      </c>
      <c r="G110">
        <v>2.4373237997433601</v>
      </c>
      <c r="H110" t="s">
        <v>92</v>
      </c>
      <c r="I110" t="s">
        <v>24</v>
      </c>
      <c r="J110" t="s">
        <v>185</v>
      </c>
      <c r="K110" t="s">
        <v>186</v>
      </c>
      <c r="L110">
        <v>311</v>
      </c>
      <c r="M110" t="s">
        <v>1799</v>
      </c>
      <c r="N110">
        <v>320</v>
      </c>
      <c r="O110" t="s">
        <v>391</v>
      </c>
      <c r="P110" s="1" t="s">
        <v>1267</v>
      </c>
      <c r="Q110" s="25">
        <v>42.014491</v>
      </c>
      <c r="R110" s="25">
        <v>-71.357562999999999</v>
      </c>
      <c r="S110">
        <v>-11.5837</v>
      </c>
      <c r="T110">
        <v>-13.923400000000001</v>
      </c>
      <c r="U110">
        <v>11.5837</v>
      </c>
      <c r="V110" t="s">
        <v>1538</v>
      </c>
      <c r="W110" t="s">
        <v>15</v>
      </c>
      <c r="X110" t="s">
        <v>17</v>
      </c>
      <c r="Y110" s="1" t="s">
        <v>1268</v>
      </c>
    </row>
    <row r="111" spans="1:25" x14ac:dyDescent="0.25">
      <c r="A111" s="4">
        <v>239</v>
      </c>
      <c r="B111" s="9">
        <v>227945</v>
      </c>
      <c r="C111" s="8" t="s">
        <v>1269</v>
      </c>
      <c r="D111" s="6" t="s">
        <v>137</v>
      </c>
      <c r="E111" s="10">
        <v>6</v>
      </c>
      <c r="F111">
        <v>7.7701740671545902</v>
      </c>
      <c r="G111">
        <v>2.3698178504673102</v>
      </c>
      <c r="H111" t="s">
        <v>92</v>
      </c>
      <c r="I111" t="s">
        <v>24</v>
      </c>
      <c r="J111" t="s">
        <v>185</v>
      </c>
      <c r="K111" t="s">
        <v>186</v>
      </c>
      <c r="L111">
        <v>311</v>
      </c>
      <c r="M111" t="s">
        <v>1799</v>
      </c>
      <c r="N111">
        <v>320</v>
      </c>
      <c r="O111" t="s">
        <v>391</v>
      </c>
      <c r="P111" s="1" t="s">
        <v>1267</v>
      </c>
      <c r="Q111" s="25">
        <v>42.014491</v>
      </c>
      <c r="R111" s="25">
        <v>-71.357562999999999</v>
      </c>
      <c r="S111">
        <v>-11.5837</v>
      </c>
      <c r="T111">
        <v>-13.923400000000001</v>
      </c>
      <c r="U111">
        <v>11.5837</v>
      </c>
      <c r="V111" t="s">
        <v>1538</v>
      </c>
      <c r="W111" t="s">
        <v>15</v>
      </c>
      <c r="X111" t="s">
        <v>17</v>
      </c>
      <c r="Y111" s="1" t="s">
        <v>1268</v>
      </c>
    </row>
    <row r="112" spans="1:25" x14ac:dyDescent="0.25">
      <c r="A112" s="4">
        <v>240</v>
      </c>
      <c r="B112" s="9">
        <v>227946</v>
      </c>
      <c r="C112" s="8" t="s">
        <v>1269</v>
      </c>
      <c r="D112" s="6" t="s">
        <v>137</v>
      </c>
      <c r="E112" s="10">
        <v>6</v>
      </c>
      <c r="F112">
        <v>7.2006894104808596</v>
      </c>
      <c r="G112">
        <v>3.2668344616328402</v>
      </c>
      <c r="H112" t="s">
        <v>92</v>
      </c>
      <c r="I112" t="s">
        <v>24</v>
      </c>
      <c r="J112" t="s">
        <v>185</v>
      </c>
      <c r="K112" t="s">
        <v>186</v>
      </c>
      <c r="L112">
        <v>311</v>
      </c>
      <c r="M112" t="s">
        <v>1799</v>
      </c>
      <c r="N112">
        <v>320</v>
      </c>
      <c r="O112" t="s">
        <v>391</v>
      </c>
      <c r="P112" s="1" t="s">
        <v>1267</v>
      </c>
      <c r="Q112" s="25">
        <v>42.014491</v>
      </c>
      <c r="R112" s="25">
        <v>-71.357562999999999</v>
      </c>
      <c r="S112">
        <v>-11.5837</v>
      </c>
      <c r="T112">
        <v>-13.923400000000001</v>
      </c>
      <c r="U112">
        <v>11.5837</v>
      </c>
      <c r="V112" t="s">
        <v>1538</v>
      </c>
      <c r="W112" t="s">
        <v>15</v>
      </c>
      <c r="X112" t="s">
        <v>17</v>
      </c>
      <c r="Y112" s="1" t="s">
        <v>1268</v>
      </c>
    </row>
    <row r="113" spans="1:25" x14ac:dyDescent="0.25">
      <c r="A113" s="4">
        <v>241</v>
      </c>
      <c r="B113" s="9">
        <v>236963</v>
      </c>
      <c r="C113" s="8" t="s">
        <v>1269</v>
      </c>
      <c r="D113" s="6" t="s">
        <v>137</v>
      </c>
      <c r="E113" s="10">
        <v>6</v>
      </c>
      <c r="F113">
        <v>11.864125631651101</v>
      </c>
      <c r="G113">
        <v>1.77697857577737</v>
      </c>
      <c r="H113" t="s">
        <v>92</v>
      </c>
      <c r="I113" t="s">
        <v>24</v>
      </c>
      <c r="J113" t="s">
        <v>185</v>
      </c>
      <c r="K113" t="s">
        <v>186</v>
      </c>
      <c r="L113">
        <v>311</v>
      </c>
      <c r="M113" t="s">
        <v>1799</v>
      </c>
      <c r="N113">
        <v>320</v>
      </c>
      <c r="O113" t="s">
        <v>391</v>
      </c>
      <c r="P113" s="1" t="s">
        <v>1267</v>
      </c>
      <c r="Q113" s="25">
        <v>42.014491</v>
      </c>
      <c r="R113" s="25">
        <v>-71.357562999999999</v>
      </c>
      <c r="S113">
        <v>-11.5837</v>
      </c>
      <c r="T113">
        <v>-13.923400000000001</v>
      </c>
      <c r="U113">
        <v>11.5837</v>
      </c>
      <c r="V113" t="s">
        <v>1538</v>
      </c>
      <c r="W113" t="s">
        <v>15</v>
      </c>
      <c r="X113" t="s">
        <v>17</v>
      </c>
      <c r="Y113" s="1" t="s">
        <v>1268</v>
      </c>
    </row>
    <row r="114" spans="1:25" x14ac:dyDescent="0.25">
      <c r="A114" s="4">
        <v>242</v>
      </c>
      <c r="B114" s="9">
        <v>236965</v>
      </c>
      <c r="C114" s="8" t="s">
        <v>1269</v>
      </c>
      <c r="D114" s="6" t="s">
        <v>134</v>
      </c>
      <c r="E114" s="10">
        <v>6</v>
      </c>
      <c r="F114">
        <v>9.6259533323255599</v>
      </c>
      <c r="G114">
        <v>2.9695041862606502</v>
      </c>
      <c r="H114" t="s">
        <v>92</v>
      </c>
      <c r="I114" t="s">
        <v>24</v>
      </c>
      <c r="J114" t="s">
        <v>185</v>
      </c>
      <c r="K114" t="s">
        <v>186</v>
      </c>
      <c r="L114">
        <v>311</v>
      </c>
      <c r="M114" t="s">
        <v>1799</v>
      </c>
      <c r="N114">
        <v>320</v>
      </c>
      <c r="O114" t="s">
        <v>391</v>
      </c>
      <c r="P114" s="1" t="s">
        <v>1267</v>
      </c>
      <c r="Q114" s="25">
        <v>42.014491</v>
      </c>
      <c r="R114" s="25">
        <v>-71.357562999999999</v>
      </c>
      <c r="S114">
        <v>-11.5837</v>
      </c>
      <c r="T114">
        <v>-13.923400000000001</v>
      </c>
      <c r="U114">
        <v>11.5837</v>
      </c>
      <c r="V114" t="s">
        <v>1538</v>
      </c>
      <c r="W114" t="s">
        <v>15</v>
      </c>
      <c r="X114" t="s">
        <v>17</v>
      </c>
      <c r="Y114" s="1" t="s">
        <v>1268</v>
      </c>
    </row>
    <row r="115" spans="1:25" x14ac:dyDescent="0.25">
      <c r="A115" s="4">
        <v>243</v>
      </c>
      <c r="B115" s="9">
        <v>237004</v>
      </c>
      <c r="C115" s="8" t="s">
        <v>1269</v>
      </c>
      <c r="D115" s="6" t="s">
        <v>134</v>
      </c>
      <c r="E115" s="10">
        <v>6</v>
      </c>
      <c r="F115">
        <v>6.7351052044812798</v>
      </c>
      <c r="G115">
        <v>1.8759080674680799</v>
      </c>
      <c r="H115" t="s">
        <v>92</v>
      </c>
      <c r="I115" t="s">
        <v>24</v>
      </c>
      <c r="J115" t="s">
        <v>185</v>
      </c>
      <c r="K115" t="s">
        <v>186</v>
      </c>
      <c r="L115">
        <v>311</v>
      </c>
      <c r="M115" t="s">
        <v>1799</v>
      </c>
      <c r="N115">
        <v>320</v>
      </c>
      <c r="O115" t="s">
        <v>391</v>
      </c>
      <c r="P115" s="1" t="s">
        <v>1267</v>
      </c>
      <c r="Q115" s="25">
        <v>42.014491</v>
      </c>
      <c r="R115" s="25">
        <v>-71.357562999999999</v>
      </c>
      <c r="S115">
        <v>-11.5837</v>
      </c>
      <c r="T115">
        <v>-13.923400000000001</v>
      </c>
      <c r="U115">
        <v>11.5837</v>
      </c>
      <c r="V115" t="s">
        <v>1538</v>
      </c>
      <c r="W115" t="s">
        <v>15</v>
      </c>
      <c r="X115" t="s">
        <v>17</v>
      </c>
      <c r="Y115" s="1" t="s">
        <v>1268</v>
      </c>
    </row>
    <row r="116" spans="1:25" x14ac:dyDescent="0.25">
      <c r="A116" s="4">
        <v>245</v>
      </c>
      <c r="B116" s="17" t="s">
        <v>1281</v>
      </c>
      <c r="C116" s="8" t="s">
        <v>1270</v>
      </c>
      <c r="D116" s="6" t="s">
        <v>28</v>
      </c>
      <c r="E116" s="10">
        <v>6</v>
      </c>
      <c r="F116">
        <v>4.4267455780119596</v>
      </c>
      <c r="G116">
        <v>2.7628454019772999</v>
      </c>
      <c r="H116" t="s">
        <v>92</v>
      </c>
      <c r="I116" t="s">
        <v>24</v>
      </c>
      <c r="J116" t="s">
        <v>185</v>
      </c>
      <c r="K116" t="s">
        <v>186</v>
      </c>
      <c r="L116">
        <v>311</v>
      </c>
      <c r="M116" t="s">
        <v>1799</v>
      </c>
      <c r="N116">
        <v>320</v>
      </c>
      <c r="O116" t="s">
        <v>391</v>
      </c>
      <c r="P116" s="1" t="s">
        <v>1267</v>
      </c>
      <c r="Q116" s="25">
        <v>42.014491</v>
      </c>
      <c r="R116" s="25">
        <v>-71.357562999999999</v>
      </c>
      <c r="S116">
        <v>-11.5837</v>
      </c>
      <c r="T116">
        <v>-13.923400000000001</v>
      </c>
      <c r="U116">
        <v>11.5837</v>
      </c>
      <c r="V116" t="s">
        <v>1538</v>
      </c>
      <c r="W116" t="s">
        <v>15</v>
      </c>
      <c r="X116" t="s">
        <v>17</v>
      </c>
      <c r="Y116" s="1" t="s">
        <v>1280</v>
      </c>
    </row>
    <row r="117" spans="1:25" x14ac:dyDescent="0.25">
      <c r="A117" s="4">
        <v>246</v>
      </c>
      <c r="B117" s="17" t="s">
        <v>1282</v>
      </c>
      <c r="C117" s="8" t="s">
        <v>1270</v>
      </c>
      <c r="D117" s="6" t="s">
        <v>28</v>
      </c>
      <c r="E117" s="10">
        <v>6</v>
      </c>
      <c r="F117">
        <v>5.2036978934290001</v>
      </c>
      <c r="G117">
        <v>3.6297959238982198</v>
      </c>
      <c r="H117" t="s">
        <v>92</v>
      </c>
      <c r="I117" t="s">
        <v>24</v>
      </c>
      <c r="J117" t="s">
        <v>185</v>
      </c>
      <c r="K117" t="s">
        <v>186</v>
      </c>
      <c r="L117">
        <v>311</v>
      </c>
      <c r="M117" t="s">
        <v>1799</v>
      </c>
      <c r="N117">
        <v>320</v>
      </c>
      <c r="O117" t="s">
        <v>391</v>
      </c>
      <c r="P117" s="1" t="s">
        <v>1267</v>
      </c>
      <c r="Q117" s="25">
        <v>42.014491</v>
      </c>
      <c r="R117" s="25">
        <v>-71.357562999999999</v>
      </c>
      <c r="S117">
        <v>-11.5837</v>
      </c>
      <c r="T117">
        <v>-13.923400000000001</v>
      </c>
      <c r="U117">
        <v>11.5837</v>
      </c>
      <c r="V117" t="s">
        <v>1538</v>
      </c>
      <c r="W117" t="s">
        <v>15</v>
      </c>
      <c r="X117" t="s">
        <v>17</v>
      </c>
      <c r="Y117" s="1" t="s">
        <v>1280</v>
      </c>
    </row>
    <row r="118" spans="1:25" x14ac:dyDescent="0.25">
      <c r="A118" s="4">
        <v>247</v>
      </c>
      <c r="B118" s="17" t="s">
        <v>1283</v>
      </c>
      <c r="C118" s="8" t="s">
        <v>1270</v>
      </c>
      <c r="D118" s="6" t="s">
        <v>28</v>
      </c>
      <c r="E118" s="10">
        <v>6</v>
      </c>
      <c r="F118">
        <v>39.535540385858098</v>
      </c>
      <c r="G118">
        <v>22.638559465849099</v>
      </c>
      <c r="H118" t="s">
        <v>92</v>
      </c>
      <c r="I118" t="s">
        <v>24</v>
      </c>
      <c r="J118" t="s">
        <v>185</v>
      </c>
      <c r="K118" t="s">
        <v>186</v>
      </c>
      <c r="L118">
        <v>311</v>
      </c>
      <c r="M118" t="s">
        <v>1799</v>
      </c>
      <c r="N118">
        <v>320</v>
      </c>
      <c r="O118" t="s">
        <v>391</v>
      </c>
      <c r="P118" s="1" t="s">
        <v>1267</v>
      </c>
      <c r="Q118" s="25">
        <v>42.014491</v>
      </c>
      <c r="R118" s="25">
        <v>-71.357562999999999</v>
      </c>
      <c r="S118">
        <v>-11.5837</v>
      </c>
      <c r="T118">
        <v>-13.923400000000001</v>
      </c>
      <c r="U118">
        <v>11.5837</v>
      </c>
      <c r="V118" t="s">
        <v>1538</v>
      </c>
      <c r="W118" t="s">
        <v>15</v>
      </c>
      <c r="X118" t="s">
        <v>17</v>
      </c>
      <c r="Y118" s="1" t="s">
        <v>1280</v>
      </c>
    </row>
    <row r="119" spans="1:25" x14ac:dyDescent="0.25">
      <c r="A119" s="4">
        <v>248</v>
      </c>
      <c r="B119" s="17" t="s">
        <v>1284</v>
      </c>
      <c r="C119" s="8" t="s">
        <v>1270</v>
      </c>
      <c r="D119" s="6" t="s">
        <v>28</v>
      </c>
      <c r="E119" s="10">
        <v>6</v>
      </c>
      <c r="F119">
        <v>4.6014623508734802</v>
      </c>
      <c r="G119">
        <v>2.5797585955501798</v>
      </c>
      <c r="H119" t="s">
        <v>92</v>
      </c>
      <c r="I119" t="s">
        <v>24</v>
      </c>
      <c r="J119" t="s">
        <v>185</v>
      </c>
      <c r="K119" t="s">
        <v>186</v>
      </c>
      <c r="L119">
        <v>311</v>
      </c>
      <c r="M119" t="s">
        <v>1799</v>
      </c>
      <c r="N119">
        <v>320</v>
      </c>
      <c r="O119" t="s">
        <v>391</v>
      </c>
      <c r="P119" s="1" t="s">
        <v>1267</v>
      </c>
      <c r="Q119" s="25">
        <v>42.014491</v>
      </c>
      <c r="R119" s="25">
        <v>-71.357562999999999</v>
      </c>
      <c r="S119">
        <v>-11.5837</v>
      </c>
      <c r="T119">
        <v>-13.923400000000001</v>
      </c>
      <c r="U119">
        <v>11.5837</v>
      </c>
      <c r="V119" t="s">
        <v>1538</v>
      </c>
      <c r="W119" t="s">
        <v>15</v>
      </c>
      <c r="X119" t="s">
        <v>17</v>
      </c>
      <c r="Y119" s="1" t="s">
        <v>1280</v>
      </c>
    </row>
    <row r="120" spans="1:25" x14ac:dyDescent="0.25">
      <c r="A120" s="4">
        <v>249</v>
      </c>
      <c r="B120" s="17" t="s">
        <v>1285</v>
      </c>
      <c r="C120" s="8" t="s">
        <v>1270</v>
      </c>
      <c r="D120" s="6" t="s">
        <v>28</v>
      </c>
      <c r="E120" s="10">
        <v>6</v>
      </c>
      <c r="F120">
        <v>11.7423676979809</v>
      </c>
      <c r="G120">
        <v>8.2367607056377992</v>
      </c>
      <c r="H120" t="s">
        <v>92</v>
      </c>
      <c r="I120" t="s">
        <v>24</v>
      </c>
      <c r="J120" t="s">
        <v>185</v>
      </c>
      <c r="K120" t="s">
        <v>186</v>
      </c>
      <c r="L120">
        <v>311</v>
      </c>
      <c r="M120" t="s">
        <v>1799</v>
      </c>
      <c r="N120">
        <v>320</v>
      </c>
      <c r="O120" t="s">
        <v>391</v>
      </c>
      <c r="P120" s="1" t="s">
        <v>1267</v>
      </c>
      <c r="Q120" s="25">
        <v>42.014491</v>
      </c>
      <c r="R120" s="25">
        <v>-71.357562999999999</v>
      </c>
      <c r="S120">
        <v>-11.5837</v>
      </c>
      <c r="T120">
        <v>-13.923400000000001</v>
      </c>
      <c r="U120">
        <v>11.5837</v>
      </c>
      <c r="V120" t="s">
        <v>1538</v>
      </c>
      <c r="W120" t="s">
        <v>15</v>
      </c>
      <c r="X120" t="s">
        <v>17</v>
      </c>
      <c r="Y120" s="1" t="s">
        <v>1280</v>
      </c>
    </row>
    <row r="121" spans="1:25" x14ac:dyDescent="0.25">
      <c r="A121" s="4">
        <v>250</v>
      </c>
      <c r="B121" s="17" t="s">
        <v>1286</v>
      </c>
      <c r="C121" s="8" t="s">
        <v>1270</v>
      </c>
      <c r="D121" s="6" t="s">
        <v>28</v>
      </c>
      <c r="E121" s="10">
        <v>6</v>
      </c>
      <c r="F121">
        <v>34.925270811637098</v>
      </c>
      <c r="G121">
        <v>19.039842771124899</v>
      </c>
      <c r="H121" t="s">
        <v>92</v>
      </c>
      <c r="I121" t="s">
        <v>24</v>
      </c>
      <c r="J121" t="s">
        <v>185</v>
      </c>
      <c r="K121" t="s">
        <v>186</v>
      </c>
      <c r="L121">
        <v>311</v>
      </c>
      <c r="M121" t="s">
        <v>1799</v>
      </c>
      <c r="N121">
        <v>320</v>
      </c>
      <c r="O121" t="s">
        <v>391</v>
      </c>
      <c r="P121" s="1" t="s">
        <v>1267</v>
      </c>
      <c r="Q121" s="25">
        <v>42.014491</v>
      </c>
      <c r="R121" s="25">
        <v>-71.357562999999999</v>
      </c>
      <c r="S121">
        <v>-11.5837</v>
      </c>
      <c r="T121">
        <v>-13.923400000000001</v>
      </c>
      <c r="U121">
        <v>11.5837</v>
      </c>
      <c r="V121" t="s">
        <v>1538</v>
      </c>
      <c r="W121" t="s">
        <v>15</v>
      </c>
      <c r="X121" t="s">
        <v>17</v>
      </c>
      <c r="Y121" s="1" t="s">
        <v>1280</v>
      </c>
    </row>
    <row r="122" spans="1:25" x14ac:dyDescent="0.25">
      <c r="A122" s="4">
        <v>251</v>
      </c>
      <c r="B122" s="17" t="s">
        <v>1287</v>
      </c>
      <c r="C122" s="8" t="s">
        <v>1270</v>
      </c>
      <c r="D122" s="6" t="s">
        <v>28</v>
      </c>
      <c r="E122" s="10">
        <v>6</v>
      </c>
      <c r="F122">
        <v>19.918063614118001</v>
      </c>
      <c r="G122">
        <v>12.4805073036901</v>
      </c>
      <c r="H122" t="s">
        <v>92</v>
      </c>
      <c r="I122" t="s">
        <v>24</v>
      </c>
      <c r="J122" t="s">
        <v>185</v>
      </c>
      <c r="K122" t="s">
        <v>186</v>
      </c>
      <c r="L122">
        <v>311</v>
      </c>
      <c r="M122" t="s">
        <v>1799</v>
      </c>
      <c r="N122">
        <v>320</v>
      </c>
      <c r="O122" t="s">
        <v>391</v>
      </c>
      <c r="P122" s="1" t="s">
        <v>1267</v>
      </c>
      <c r="Q122" s="25">
        <v>42.014491</v>
      </c>
      <c r="R122" s="25">
        <v>-71.357562999999999</v>
      </c>
      <c r="S122">
        <v>-11.5837</v>
      </c>
      <c r="T122">
        <v>-13.923400000000001</v>
      </c>
      <c r="U122">
        <v>11.5837</v>
      </c>
      <c r="V122" t="s">
        <v>1538</v>
      </c>
      <c r="W122" t="s">
        <v>15</v>
      </c>
      <c r="X122" t="s">
        <v>17</v>
      </c>
      <c r="Y122" s="1" t="s">
        <v>1280</v>
      </c>
    </row>
    <row r="123" spans="1:25" x14ac:dyDescent="0.25">
      <c r="A123" s="4">
        <v>252</v>
      </c>
      <c r="B123" s="17" t="s">
        <v>1288</v>
      </c>
      <c r="C123" s="8" t="s">
        <v>1270</v>
      </c>
      <c r="D123" s="6" t="s">
        <v>59</v>
      </c>
      <c r="E123" s="10">
        <v>5</v>
      </c>
      <c r="F123">
        <v>6.3214311787353399</v>
      </c>
      <c r="G123">
        <v>2.8582779684805102</v>
      </c>
      <c r="H123" t="s">
        <v>92</v>
      </c>
      <c r="I123" t="s">
        <v>24</v>
      </c>
      <c r="J123" t="s">
        <v>185</v>
      </c>
      <c r="K123" t="s">
        <v>186</v>
      </c>
      <c r="L123">
        <v>311</v>
      </c>
      <c r="M123" t="s">
        <v>1799</v>
      </c>
      <c r="N123">
        <v>320</v>
      </c>
      <c r="O123" t="s">
        <v>391</v>
      </c>
      <c r="P123" s="1" t="s">
        <v>1267</v>
      </c>
      <c r="Q123" s="25">
        <v>42.014491</v>
      </c>
      <c r="R123" s="25">
        <v>-71.357562999999999</v>
      </c>
      <c r="S123">
        <v>-11.5837</v>
      </c>
      <c r="T123">
        <v>-13.923400000000001</v>
      </c>
      <c r="U123">
        <v>11.5837</v>
      </c>
      <c r="V123" t="s">
        <v>1538</v>
      </c>
      <c r="W123" t="s">
        <v>15</v>
      </c>
      <c r="X123" t="s">
        <v>17</v>
      </c>
      <c r="Y123" s="1" t="s">
        <v>1280</v>
      </c>
    </row>
    <row r="124" spans="1:25" x14ac:dyDescent="0.25">
      <c r="A124" s="4">
        <v>253</v>
      </c>
      <c r="B124" s="17" t="s">
        <v>1289</v>
      </c>
      <c r="C124" s="8" t="s">
        <v>1270</v>
      </c>
      <c r="D124" s="6" t="s">
        <v>59</v>
      </c>
      <c r="E124" s="10">
        <v>5</v>
      </c>
      <c r="F124">
        <v>4.8496701597210201</v>
      </c>
      <c r="G124">
        <v>1.4382486157269301</v>
      </c>
      <c r="H124" t="s">
        <v>92</v>
      </c>
      <c r="I124" t="s">
        <v>24</v>
      </c>
      <c r="J124" t="s">
        <v>185</v>
      </c>
      <c r="K124" t="s">
        <v>186</v>
      </c>
      <c r="L124">
        <v>311</v>
      </c>
      <c r="M124" t="s">
        <v>1799</v>
      </c>
      <c r="N124">
        <v>320</v>
      </c>
      <c r="O124" t="s">
        <v>391</v>
      </c>
      <c r="P124" s="1" t="s">
        <v>1267</v>
      </c>
      <c r="Q124" s="25">
        <v>42.014491</v>
      </c>
      <c r="R124" s="25">
        <v>-71.357562999999999</v>
      </c>
      <c r="S124">
        <v>-11.5837</v>
      </c>
      <c r="T124">
        <v>-13.923400000000001</v>
      </c>
      <c r="U124">
        <v>11.5837</v>
      </c>
      <c r="V124" t="s">
        <v>1538</v>
      </c>
      <c r="W124" t="s">
        <v>15</v>
      </c>
      <c r="X124" t="s">
        <v>17</v>
      </c>
      <c r="Y124" s="1" t="s">
        <v>1280</v>
      </c>
    </row>
    <row r="125" spans="1:25" x14ac:dyDescent="0.25">
      <c r="A125" s="4">
        <v>254</v>
      </c>
      <c r="B125" s="17" t="s">
        <v>1290</v>
      </c>
      <c r="C125" s="8" t="s">
        <v>1270</v>
      </c>
      <c r="D125" s="6" t="s">
        <v>59</v>
      </c>
      <c r="E125" s="10">
        <v>5</v>
      </c>
      <c r="F125">
        <v>4.0917777867971301</v>
      </c>
      <c r="G125">
        <v>1.0857744147639199</v>
      </c>
      <c r="H125" t="s">
        <v>92</v>
      </c>
      <c r="I125" t="s">
        <v>24</v>
      </c>
      <c r="J125" t="s">
        <v>185</v>
      </c>
      <c r="K125" t="s">
        <v>186</v>
      </c>
      <c r="L125">
        <v>311</v>
      </c>
      <c r="M125" t="s">
        <v>1799</v>
      </c>
      <c r="N125">
        <v>320</v>
      </c>
      <c r="O125" t="s">
        <v>391</v>
      </c>
      <c r="P125" s="1" t="s">
        <v>1267</v>
      </c>
      <c r="Q125" s="25">
        <v>42.014491</v>
      </c>
      <c r="R125" s="25">
        <v>-71.357562999999999</v>
      </c>
      <c r="S125">
        <v>-11.5837</v>
      </c>
      <c r="T125">
        <v>-13.923400000000001</v>
      </c>
      <c r="U125">
        <v>11.5837</v>
      </c>
      <c r="V125" t="s">
        <v>1538</v>
      </c>
      <c r="W125" t="s">
        <v>15</v>
      </c>
      <c r="X125" t="s">
        <v>17</v>
      </c>
      <c r="Y125" s="1" t="s">
        <v>1280</v>
      </c>
    </row>
    <row r="126" spans="1:25" x14ac:dyDescent="0.25">
      <c r="A126" s="4">
        <v>255</v>
      </c>
      <c r="B126" s="9">
        <v>227941</v>
      </c>
      <c r="C126" s="8" t="s">
        <v>1269</v>
      </c>
      <c r="D126" s="6" t="s">
        <v>1272</v>
      </c>
      <c r="E126" s="10">
        <v>6</v>
      </c>
      <c r="F126">
        <v>7.8885110335542397</v>
      </c>
      <c r="G126">
        <v>3.41880456272964</v>
      </c>
      <c r="H126" t="s">
        <v>92</v>
      </c>
      <c r="I126" t="s">
        <v>24</v>
      </c>
      <c r="J126" t="s">
        <v>185</v>
      </c>
      <c r="K126" t="s">
        <v>186</v>
      </c>
      <c r="L126">
        <v>311</v>
      </c>
      <c r="M126" t="s">
        <v>1799</v>
      </c>
      <c r="N126">
        <v>320</v>
      </c>
      <c r="O126" t="s">
        <v>391</v>
      </c>
      <c r="P126" s="1" t="s">
        <v>1267</v>
      </c>
      <c r="Q126" s="25">
        <v>42.014491</v>
      </c>
      <c r="R126" s="25">
        <v>-71.357562999999999</v>
      </c>
      <c r="S126">
        <v>-11.5837</v>
      </c>
      <c r="T126">
        <v>-13.923400000000001</v>
      </c>
      <c r="U126">
        <v>11.5837</v>
      </c>
      <c r="V126" t="s">
        <v>1538</v>
      </c>
      <c r="W126" t="s">
        <v>15</v>
      </c>
      <c r="X126" t="s">
        <v>17</v>
      </c>
      <c r="Y126" s="1" t="s">
        <v>1280</v>
      </c>
    </row>
    <row r="127" spans="1:25" x14ac:dyDescent="0.25">
      <c r="A127" s="4">
        <v>256</v>
      </c>
      <c r="B127" s="9">
        <v>227942</v>
      </c>
      <c r="C127" s="8" t="s">
        <v>1269</v>
      </c>
      <c r="D127" s="6" t="s">
        <v>137</v>
      </c>
      <c r="E127" s="10">
        <v>6</v>
      </c>
      <c r="F127">
        <v>8.0119925756950696</v>
      </c>
      <c r="G127">
        <v>3.6998051820247202</v>
      </c>
      <c r="H127" t="s">
        <v>92</v>
      </c>
      <c r="I127" t="s">
        <v>24</v>
      </c>
      <c r="J127" t="s">
        <v>185</v>
      </c>
      <c r="K127" t="s">
        <v>186</v>
      </c>
      <c r="L127">
        <v>311</v>
      </c>
      <c r="M127" t="s">
        <v>1799</v>
      </c>
      <c r="N127">
        <v>320</v>
      </c>
      <c r="O127" t="s">
        <v>391</v>
      </c>
      <c r="P127" s="1" t="s">
        <v>1267</v>
      </c>
      <c r="Q127" s="25">
        <v>42.014491</v>
      </c>
      <c r="R127" s="25">
        <v>-71.357562999999999</v>
      </c>
      <c r="S127">
        <v>-11.5837</v>
      </c>
      <c r="T127">
        <v>-13.923400000000001</v>
      </c>
      <c r="U127">
        <v>11.5837</v>
      </c>
      <c r="V127" t="s">
        <v>1538</v>
      </c>
      <c r="W127" t="s">
        <v>15</v>
      </c>
      <c r="X127" t="s">
        <v>17</v>
      </c>
      <c r="Y127" s="1" t="s">
        <v>1280</v>
      </c>
    </row>
    <row r="128" spans="1:25" x14ac:dyDescent="0.25">
      <c r="A128" s="4">
        <v>257</v>
      </c>
      <c r="B128" s="9">
        <v>237253</v>
      </c>
      <c r="C128" s="8" t="s">
        <v>1269</v>
      </c>
      <c r="D128" s="6" t="s">
        <v>1291</v>
      </c>
      <c r="E128" s="10">
        <v>7</v>
      </c>
      <c r="F128">
        <v>8.5772517484160904</v>
      </c>
      <c r="G128">
        <v>0.43552949473206698</v>
      </c>
      <c r="H128" t="s">
        <v>92</v>
      </c>
      <c r="I128" t="s">
        <v>24</v>
      </c>
      <c r="J128" t="s">
        <v>185</v>
      </c>
      <c r="K128" t="s">
        <v>186</v>
      </c>
      <c r="L128">
        <v>311</v>
      </c>
      <c r="M128" t="s">
        <v>1799</v>
      </c>
      <c r="N128">
        <v>320</v>
      </c>
      <c r="O128" t="s">
        <v>391</v>
      </c>
      <c r="P128" s="1" t="s">
        <v>1267</v>
      </c>
      <c r="Q128" s="25">
        <v>42.014491</v>
      </c>
      <c r="R128" s="25">
        <v>-71.357562999999999</v>
      </c>
      <c r="S128">
        <v>-11.5837</v>
      </c>
      <c r="T128">
        <v>-13.923400000000001</v>
      </c>
      <c r="U128">
        <v>11.5837</v>
      </c>
      <c r="V128" t="s">
        <v>1538</v>
      </c>
      <c r="W128" t="s">
        <v>15</v>
      </c>
      <c r="X128" t="s">
        <v>17</v>
      </c>
      <c r="Y128" s="1" t="s">
        <v>1280</v>
      </c>
    </row>
    <row r="129" spans="1:25" x14ac:dyDescent="0.25">
      <c r="A129" s="4">
        <v>258</v>
      </c>
      <c r="B129" s="9">
        <v>13020</v>
      </c>
      <c r="C129" s="8" t="s">
        <v>1298</v>
      </c>
      <c r="D129" s="6" t="s">
        <v>130</v>
      </c>
      <c r="E129" s="10">
        <v>6</v>
      </c>
      <c r="F129">
        <v>18.1246785873122</v>
      </c>
      <c r="G129">
        <v>3.1612101309982501</v>
      </c>
      <c r="H129" t="s">
        <v>92</v>
      </c>
      <c r="I129" t="s">
        <v>24</v>
      </c>
      <c r="J129" t="s">
        <v>185</v>
      </c>
      <c r="K129" t="s">
        <v>212</v>
      </c>
      <c r="L129">
        <v>319</v>
      </c>
      <c r="M129" t="s">
        <v>1799</v>
      </c>
      <c r="N129">
        <v>320</v>
      </c>
      <c r="O129" s="1" t="s">
        <v>97</v>
      </c>
      <c r="P129" s="1" t="s">
        <v>201</v>
      </c>
      <c r="Q129" s="25">
        <v>33.812252000000001</v>
      </c>
      <c r="R129" s="25">
        <f>-87.164963</f>
        <v>-87.164963</v>
      </c>
      <c r="S129">
        <v>-14.348800000000001</v>
      </c>
      <c r="T129">
        <v>-28.94</v>
      </c>
      <c r="U129">
        <v>14.348800000000001</v>
      </c>
      <c r="V129" t="s">
        <v>1538</v>
      </c>
      <c r="W129" t="s">
        <v>13</v>
      </c>
      <c r="X129" t="s">
        <v>17</v>
      </c>
      <c r="Y129" s="1" t="s">
        <v>1293</v>
      </c>
    </row>
    <row r="130" spans="1:25" x14ac:dyDescent="0.25">
      <c r="A130" s="4">
        <v>260</v>
      </c>
      <c r="B130" s="9" t="s">
        <v>1300</v>
      </c>
      <c r="C130" s="8" t="s">
        <v>304</v>
      </c>
      <c r="D130" s="6" t="s">
        <v>130</v>
      </c>
      <c r="E130" s="10">
        <v>6</v>
      </c>
      <c r="F130">
        <v>21.742294299612801</v>
      </c>
      <c r="G130">
        <v>4.23557184335837</v>
      </c>
      <c r="H130" t="s">
        <v>92</v>
      </c>
      <c r="I130" t="s">
        <v>24</v>
      </c>
      <c r="J130" t="s">
        <v>185</v>
      </c>
      <c r="K130" t="s">
        <v>212</v>
      </c>
      <c r="L130">
        <v>319</v>
      </c>
      <c r="M130" t="s">
        <v>1799</v>
      </c>
      <c r="N130">
        <v>320</v>
      </c>
      <c r="O130" s="1" t="s">
        <v>97</v>
      </c>
      <c r="P130" s="1" t="s">
        <v>201</v>
      </c>
      <c r="Q130" s="25">
        <v>33.812252000000001</v>
      </c>
      <c r="R130" s="25">
        <f>-87.164963</f>
        <v>-87.164963</v>
      </c>
      <c r="S130">
        <v>-14.348800000000001</v>
      </c>
      <c r="T130">
        <v>-28.94</v>
      </c>
      <c r="U130">
        <v>14.348800000000001</v>
      </c>
      <c r="V130" t="s">
        <v>1538</v>
      </c>
      <c r="W130" t="s">
        <v>13</v>
      </c>
      <c r="X130" t="s">
        <v>17</v>
      </c>
      <c r="Y130" s="1" t="s">
        <v>1293</v>
      </c>
    </row>
    <row r="131" spans="1:25" x14ac:dyDescent="0.25">
      <c r="A131" s="4">
        <v>261</v>
      </c>
      <c r="B131" s="9" t="s">
        <v>1302</v>
      </c>
      <c r="C131" s="8" t="s">
        <v>304</v>
      </c>
      <c r="D131" s="6" t="s">
        <v>130</v>
      </c>
      <c r="E131" s="10">
        <v>6</v>
      </c>
      <c r="F131">
        <v>19.043857057020599</v>
      </c>
      <c r="G131">
        <v>4.7030947200960602</v>
      </c>
      <c r="H131" t="s">
        <v>92</v>
      </c>
      <c r="I131" t="s">
        <v>24</v>
      </c>
      <c r="J131" t="s">
        <v>185</v>
      </c>
      <c r="K131" t="s">
        <v>212</v>
      </c>
      <c r="L131">
        <v>319</v>
      </c>
      <c r="M131" t="s">
        <v>1799</v>
      </c>
      <c r="N131">
        <v>320</v>
      </c>
      <c r="O131" s="1" t="s">
        <v>97</v>
      </c>
      <c r="P131" s="1" t="s">
        <v>201</v>
      </c>
      <c r="Q131" s="25">
        <v>33.812252000000001</v>
      </c>
      <c r="R131" s="25">
        <f>-87.164963</f>
        <v>-87.164963</v>
      </c>
      <c r="S131">
        <v>-14.348800000000001</v>
      </c>
      <c r="T131">
        <v>-28.94</v>
      </c>
      <c r="U131">
        <v>14.348800000000001</v>
      </c>
      <c r="V131" t="s">
        <v>1538</v>
      </c>
      <c r="W131" t="s">
        <v>13</v>
      </c>
      <c r="X131" t="s">
        <v>17</v>
      </c>
      <c r="Y131" s="1" t="s">
        <v>1293</v>
      </c>
    </row>
    <row r="132" spans="1:25" x14ac:dyDescent="0.25">
      <c r="A132" s="4">
        <v>262</v>
      </c>
      <c r="B132" s="9" t="s">
        <v>1301</v>
      </c>
      <c r="C132" s="8" t="s">
        <v>1296</v>
      </c>
      <c r="D132" s="6" t="s">
        <v>130</v>
      </c>
      <c r="E132" s="10">
        <v>6</v>
      </c>
      <c r="F132">
        <v>18.657157872810501</v>
      </c>
      <c r="G132">
        <v>2.6157394013483501</v>
      </c>
      <c r="H132" t="s">
        <v>92</v>
      </c>
      <c r="I132" t="s">
        <v>24</v>
      </c>
      <c r="J132" t="s">
        <v>185</v>
      </c>
      <c r="K132" t="s">
        <v>212</v>
      </c>
      <c r="L132">
        <v>319</v>
      </c>
      <c r="M132" t="s">
        <v>1799</v>
      </c>
      <c r="N132">
        <v>320</v>
      </c>
      <c r="O132" s="1" t="s">
        <v>97</v>
      </c>
      <c r="P132" s="1" t="s">
        <v>201</v>
      </c>
      <c r="Q132" s="25">
        <v>33.812252000000001</v>
      </c>
      <c r="R132" s="25">
        <f>-87.164963</f>
        <v>-87.164963</v>
      </c>
      <c r="S132">
        <v>-14.348800000000001</v>
      </c>
      <c r="T132">
        <v>-28.94</v>
      </c>
      <c r="U132">
        <v>14.348800000000001</v>
      </c>
      <c r="V132" t="s">
        <v>1538</v>
      </c>
      <c r="W132" t="s">
        <v>13</v>
      </c>
      <c r="X132" t="s">
        <v>17</v>
      </c>
      <c r="Y132" s="1" t="s">
        <v>1293</v>
      </c>
    </row>
    <row r="133" spans="1:25" x14ac:dyDescent="0.25">
      <c r="A133" s="4">
        <v>263</v>
      </c>
      <c r="B133" s="9">
        <v>27958</v>
      </c>
      <c r="C133" s="8" t="s">
        <v>1294</v>
      </c>
      <c r="D133" s="6" t="s">
        <v>130</v>
      </c>
      <c r="E133" s="10">
        <v>6</v>
      </c>
      <c r="F133">
        <v>24.701788160776299</v>
      </c>
      <c r="G133">
        <v>4.8668800095569198</v>
      </c>
      <c r="H133" t="s">
        <v>92</v>
      </c>
      <c r="I133" t="s">
        <v>24</v>
      </c>
      <c r="J133" t="s">
        <v>185</v>
      </c>
      <c r="K133" t="s">
        <v>212</v>
      </c>
      <c r="L133">
        <v>319</v>
      </c>
      <c r="M133" t="s">
        <v>1799</v>
      </c>
      <c r="N133">
        <v>320</v>
      </c>
      <c r="O133" s="1" t="s">
        <v>97</v>
      </c>
      <c r="P133" s="1" t="s">
        <v>201</v>
      </c>
      <c r="Q133" s="25">
        <v>33.812252000000001</v>
      </c>
      <c r="R133" s="25">
        <f>-87.164963</f>
        <v>-87.164963</v>
      </c>
      <c r="S133">
        <v>-14.348800000000001</v>
      </c>
      <c r="T133">
        <v>-28.94</v>
      </c>
      <c r="U133">
        <v>14.348800000000001</v>
      </c>
      <c r="V133" t="s">
        <v>1538</v>
      </c>
      <c r="W133" t="s">
        <v>13</v>
      </c>
      <c r="X133" t="s">
        <v>17</v>
      </c>
      <c r="Y133" s="1" t="s">
        <v>1293</v>
      </c>
    </row>
    <row r="134" spans="1:25" x14ac:dyDescent="0.25">
      <c r="A134" s="4">
        <v>264</v>
      </c>
      <c r="B134" s="9" t="s">
        <v>1303</v>
      </c>
      <c r="C134" s="8" t="s">
        <v>304</v>
      </c>
      <c r="D134" s="6" t="s">
        <v>130</v>
      </c>
      <c r="E134" s="10">
        <v>6</v>
      </c>
      <c r="F134">
        <v>30.856744022189201</v>
      </c>
      <c r="G134">
        <v>3.96722916950681</v>
      </c>
      <c r="H134" t="s">
        <v>92</v>
      </c>
      <c r="I134" t="s">
        <v>24</v>
      </c>
      <c r="J134" t="s">
        <v>185</v>
      </c>
      <c r="K134" t="s">
        <v>212</v>
      </c>
      <c r="L134">
        <v>319</v>
      </c>
      <c r="M134" t="s">
        <v>1799</v>
      </c>
      <c r="N134">
        <v>320</v>
      </c>
      <c r="O134" s="1" t="s">
        <v>97</v>
      </c>
      <c r="P134" s="1" t="s">
        <v>201</v>
      </c>
      <c r="Q134" s="25">
        <v>33.812252000000001</v>
      </c>
      <c r="R134" s="25">
        <f>-87.164963</f>
        <v>-87.164963</v>
      </c>
      <c r="S134">
        <v>-14.348800000000001</v>
      </c>
      <c r="T134">
        <v>-28.94</v>
      </c>
      <c r="U134">
        <v>14.348800000000001</v>
      </c>
      <c r="V134" t="s">
        <v>1538</v>
      </c>
      <c r="W134" t="s">
        <v>13</v>
      </c>
      <c r="X134" t="s">
        <v>17</v>
      </c>
      <c r="Y134" s="1" t="s">
        <v>1293</v>
      </c>
    </row>
    <row r="135" spans="1:25" x14ac:dyDescent="0.25">
      <c r="A135" s="4">
        <v>265</v>
      </c>
      <c r="B135" s="9">
        <v>25149</v>
      </c>
      <c r="C135" s="8" t="s">
        <v>1294</v>
      </c>
      <c r="D135" s="6" t="s">
        <v>130</v>
      </c>
      <c r="E135" s="10">
        <v>6</v>
      </c>
      <c r="F135">
        <v>21.633908079356299</v>
      </c>
      <c r="G135">
        <v>4.3633168250821504</v>
      </c>
      <c r="H135" t="s">
        <v>92</v>
      </c>
      <c r="I135" t="s">
        <v>24</v>
      </c>
      <c r="J135" t="s">
        <v>185</v>
      </c>
      <c r="K135" t="s">
        <v>212</v>
      </c>
      <c r="L135">
        <v>319</v>
      </c>
      <c r="M135" t="s">
        <v>1799</v>
      </c>
      <c r="N135">
        <v>320</v>
      </c>
      <c r="O135" s="1" t="s">
        <v>97</v>
      </c>
      <c r="P135" s="1" t="s">
        <v>201</v>
      </c>
      <c r="Q135" s="25">
        <v>33.812252000000001</v>
      </c>
      <c r="R135" s="25">
        <f>-87.164963</f>
        <v>-87.164963</v>
      </c>
      <c r="S135">
        <v>-14.348800000000001</v>
      </c>
      <c r="T135">
        <v>-28.94</v>
      </c>
      <c r="U135">
        <v>14.348800000000001</v>
      </c>
      <c r="V135" t="s">
        <v>1538</v>
      </c>
      <c r="W135" t="s">
        <v>13</v>
      </c>
      <c r="X135" t="s">
        <v>17</v>
      </c>
      <c r="Y135" s="1" t="s">
        <v>1293</v>
      </c>
    </row>
    <row r="136" spans="1:25" x14ac:dyDescent="0.25">
      <c r="A136" s="4">
        <v>266</v>
      </c>
      <c r="B136" s="9" t="s">
        <v>1304</v>
      </c>
      <c r="C136" s="8" t="s">
        <v>304</v>
      </c>
      <c r="D136" s="6" t="s">
        <v>130</v>
      </c>
      <c r="E136" s="10">
        <v>6</v>
      </c>
      <c r="F136">
        <v>9.2501520942794198</v>
      </c>
      <c r="G136">
        <v>2.5968205113602298</v>
      </c>
      <c r="H136" t="s">
        <v>92</v>
      </c>
      <c r="I136" t="s">
        <v>24</v>
      </c>
      <c r="J136" t="s">
        <v>185</v>
      </c>
      <c r="K136" t="s">
        <v>212</v>
      </c>
      <c r="L136">
        <v>319</v>
      </c>
      <c r="M136" t="s">
        <v>1799</v>
      </c>
      <c r="N136">
        <v>320</v>
      </c>
      <c r="O136" s="1" t="s">
        <v>97</v>
      </c>
      <c r="P136" s="1" t="s">
        <v>201</v>
      </c>
      <c r="Q136" s="25">
        <v>33.812252000000001</v>
      </c>
      <c r="R136" s="25">
        <f>-87.164963</f>
        <v>-87.164963</v>
      </c>
      <c r="S136">
        <v>-14.348800000000001</v>
      </c>
      <c r="T136">
        <v>-28.94</v>
      </c>
      <c r="U136">
        <v>14.348800000000001</v>
      </c>
      <c r="V136" t="s">
        <v>1538</v>
      </c>
      <c r="W136" t="s">
        <v>13</v>
      </c>
      <c r="X136" t="s">
        <v>17</v>
      </c>
      <c r="Y136" s="1" t="s">
        <v>1293</v>
      </c>
    </row>
    <row r="137" spans="1:25" x14ac:dyDescent="0.25">
      <c r="A137" s="4">
        <v>267</v>
      </c>
      <c r="B137" s="9" t="s">
        <v>1305</v>
      </c>
      <c r="C137" s="8" t="s">
        <v>1296</v>
      </c>
      <c r="D137" s="6" t="s">
        <v>130</v>
      </c>
      <c r="E137" s="10">
        <v>6</v>
      </c>
      <c r="F137">
        <v>37.080753499763603</v>
      </c>
      <c r="G137">
        <v>7.2047672085227399</v>
      </c>
      <c r="H137" t="s">
        <v>92</v>
      </c>
      <c r="I137" t="s">
        <v>24</v>
      </c>
      <c r="J137" t="s">
        <v>185</v>
      </c>
      <c r="K137" t="s">
        <v>212</v>
      </c>
      <c r="L137">
        <v>319</v>
      </c>
      <c r="M137" t="s">
        <v>1799</v>
      </c>
      <c r="N137">
        <v>320</v>
      </c>
      <c r="O137" s="1" t="s">
        <v>97</v>
      </c>
      <c r="P137" s="1" t="s">
        <v>201</v>
      </c>
      <c r="Q137" s="25">
        <v>33.812252000000001</v>
      </c>
      <c r="R137" s="25">
        <f>-87.164963</f>
        <v>-87.164963</v>
      </c>
      <c r="S137">
        <v>-14.348800000000001</v>
      </c>
      <c r="T137">
        <v>-28.94</v>
      </c>
      <c r="U137">
        <v>14.348800000000001</v>
      </c>
      <c r="V137" t="s">
        <v>1538</v>
      </c>
      <c r="W137" t="s">
        <v>13</v>
      </c>
      <c r="X137" t="s">
        <v>17</v>
      </c>
      <c r="Y137" s="1" t="s">
        <v>1293</v>
      </c>
    </row>
    <row r="138" spans="1:25" x14ac:dyDescent="0.25">
      <c r="A138" s="4">
        <v>268</v>
      </c>
      <c r="B138" s="9" t="s">
        <v>1306</v>
      </c>
      <c r="C138" s="8" t="s">
        <v>304</v>
      </c>
      <c r="D138" s="6" t="s">
        <v>130</v>
      </c>
      <c r="E138" s="10">
        <v>6</v>
      </c>
      <c r="F138">
        <v>60.783637748969802</v>
      </c>
      <c r="G138">
        <v>18.166064793581199</v>
      </c>
      <c r="H138" t="s">
        <v>92</v>
      </c>
      <c r="I138" t="s">
        <v>24</v>
      </c>
      <c r="J138" t="s">
        <v>185</v>
      </c>
      <c r="K138" t="s">
        <v>212</v>
      </c>
      <c r="L138">
        <v>319</v>
      </c>
      <c r="M138" t="s">
        <v>1799</v>
      </c>
      <c r="N138">
        <v>320</v>
      </c>
      <c r="O138" s="1" t="s">
        <v>97</v>
      </c>
      <c r="P138" s="1" t="s">
        <v>201</v>
      </c>
      <c r="Q138" s="25">
        <v>33.812252000000001</v>
      </c>
      <c r="R138" s="25">
        <f>-87.164963</f>
        <v>-87.164963</v>
      </c>
      <c r="S138">
        <v>-14.348800000000001</v>
      </c>
      <c r="T138">
        <v>-28.94</v>
      </c>
      <c r="U138">
        <v>14.348800000000001</v>
      </c>
      <c r="V138" t="s">
        <v>1538</v>
      </c>
      <c r="W138" t="s">
        <v>13</v>
      </c>
      <c r="X138" t="s">
        <v>17</v>
      </c>
      <c r="Y138" s="1" t="s">
        <v>1293</v>
      </c>
    </row>
    <row r="139" spans="1:25" x14ac:dyDescent="0.25">
      <c r="A139" s="4">
        <v>269</v>
      </c>
      <c r="B139" s="9" t="s">
        <v>1307</v>
      </c>
      <c r="C139" s="8" t="s">
        <v>304</v>
      </c>
      <c r="D139" s="6" t="s">
        <v>130</v>
      </c>
      <c r="E139" s="10">
        <v>6</v>
      </c>
      <c r="F139">
        <v>49.543234842414897</v>
      </c>
      <c r="G139">
        <v>20.736295551371398</v>
      </c>
      <c r="H139" t="s">
        <v>92</v>
      </c>
      <c r="I139" t="s">
        <v>24</v>
      </c>
      <c r="J139" t="s">
        <v>185</v>
      </c>
      <c r="K139" t="s">
        <v>212</v>
      </c>
      <c r="L139">
        <v>319</v>
      </c>
      <c r="M139" t="s">
        <v>1799</v>
      </c>
      <c r="N139">
        <v>320</v>
      </c>
      <c r="O139" s="1" t="s">
        <v>97</v>
      </c>
      <c r="P139" s="1" t="s">
        <v>201</v>
      </c>
      <c r="Q139" s="25">
        <v>33.812252000000001</v>
      </c>
      <c r="R139" s="25">
        <f>-87.164963</f>
        <v>-87.164963</v>
      </c>
      <c r="S139">
        <v>-14.348800000000001</v>
      </c>
      <c r="T139">
        <v>-28.94</v>
      </c>
      <c r="U139">
        <v>14.348800000000001</v>
      </c>
      <c r="V139" t="s">
        <v>1538</v>
      </c>
      <c r="W139" t="s">
        <v>13</v>
      </c>
      <c r="X139" t="s">
        <v>17</v>
      </c>
      <c r="Y139" s="1" t="s">
        <v>1293</v>
      </c>
    </row>
    <row r="140" spans="1:25" x14ac:dyDescent="0.25">
      <c r="A140" s="4">
        <v>270</v>
      </c>
      <c r="B140" s="9">
        <v>13017</v>
      </c>
      <c r="C140" s="8" t="s">
        <v>1298</v>
      </c>
      <c r="D140" s="6" t="s">
        <v>130</v>
      </c>
      <c r="E140" s="10">
        <v>6</v>
      </c>
      <c r="F140">
        <v>30.6159258025321</v>
      </c>
      <c r="G140">
        <v>4.5234146033751204</v>
      </c>
      <c r="H140" t="s">
        <v>92</v>
      </c>
      <c r="I140" t="s">
        <v>24</v>
      </c>
      <c r="J140" t="s">
        <v>185</v>
      </c>
      <c r="K140" t="s">
        <v>212</v>
      </c>
      <c r="L140">
        <v>319</v>
      </c>
      <c r="M140" t="s">
        <v>1799</v>
      </c>
      <c r="N140">
        <v>320</v>
      </c>
      <c r="O140" s="1" t="s">
        <v>97</v>
      </c>
      <c r="P140" s="1" t="s">
        <v>201</v>
      </c>
      <c r="Q140" s="25">
        <v>33.812252000000001</v>
      </c>
      <c r="R140" s="25">
        <f>-87.164963</f>
        <v>-87.164963</v>
      </c>
      <c r="S140">
        <v>-14.348800000000001</v>
      </c>
      <c r="T140">
        <v>-28.94</v>
      </c>
      <c r="U140">
        <v>14.348800000000001</v>
      </c>
      <c r="V140" t="s">
        <v>1538</v>
      </c>
      <c r="W140" t="s">
        <v>13</v>
      </c>
      <c r="X140" t="s">
        <v>17</v>
      </c>
      <c r="Y140" s="1" t="s">
        <v>1293</v>
      </c>
    </row>
    <row r="141" spans="1:25" x14ac:dyDescent="0.25">
      <c r="A141" s="4">
        <v>271</v>
      </c>
      <c r="B141" s="9">
        <v>27749</v>
      </c>
      <c r="C141" s="8" t="s">
        <v>1294</v>
      </c>
      <c r="D141" s="6" t="s">
        <v>130</v>
      </c>
      <c r="E141" s="10">
        <v>6</v>
      </c>
      <c r="F141">
        <v>54.247594016627197</v>
      </c>
      <c r="G141">
        <v>8.81353866715496</v>
      </c>
      <c r="H141" t="s">
        <v>92</v>
      </c>
      <c r="I141" t="s">
        <v>24</v>
      </c>
      <c r="J141" t="s">
        <v>185</v>
      </c>
      <c r="K141" t="s">
        <v>212</v>
      </c>
      <c r="L141">
        <v>319</v>
      </c>
      <c r="M141" t="s">
        <v>1799</v>
      </c>
      <c r="N141">
        <v>320</v>
      </c>
      <c r="O141" s="1" t="s">
        <v>97</v>
      </c>
      <c r="P141" s="1" t="s">
        <v>201</v>
      </c>
      <c r="Q141" s="25">
        <v>33.812252000000001</v>
      </c>
      <c r="R141" s="25">
        <f>-87.164963</f>
        <v>-87.164963</v>
      </c>
      <c r="S141">
        <v>-14.348800000000001</v>
      </c>
      <c r="T141">
        <v>-28.94</v>
      </c>
      <c r="U141">
        <v>14.348800000000001</v>
      </c>
      <c r="V141" t="s">
        <v>1538</v>
      </c>
      <c r="W141" t="s">
        <v>13</v>
      </c>
      <c r="X141" t="s">
        <v>17</v>
      </c>
      <c r="Y141" s="1" t="s">
        <v>1293</v>
      </c>
    </row>
    <row r="142" spans="1:25" x14ac:dyDescent="0.25">
      <c r="A142" s="4">
        <v>273</v>
      </c>
      <c r="B142" s="9" t="s">
        <v>1308</v>
      </c>
      <c r="C142" s="8" t="s">
        <v>1294</v>
      </c>
      <c r="D142" s="6" t="s">
        <v>130</v>
      </c>
      <c r="E142" s="10">
        <v>6</v>
      </c>
      <c r="F142">
        <v>59.362621869749297</v>
      </c>
      <c r="G142">
        <v>21.010029018744898</v>
      </c>
      <c r="H142" t="s">
        <v>92</v>
      </c>
      <c r="I142" t="s">
        <v>24</v>
      </c>
      <c r="J142" t="s">
        <v>185</v>
      </c>
      <c r="K142" t="s">
        <v>212</v>
      </c>
      <c r="L142">
        <v>319</v>
      </c>
      <c r="M142" t="s">
        <v>1799</v>
      </c>
      <c r="N142">
        <v>320</v>
      </c>
      <c r="O142" s="1" t="s">
        <v>97</v>
      </c>
      <c r="P142" s="1" t="s">
        <v>201</v>
      </c>
      <c r="Q142" s="25">
        <v>33.812252000000001</v>
      </c>
      <c r="R142" s="25">
        <f>-87.164963</f>
        <v>-87.164963</v>
      </c>
      <c r="S142">
        <v>-14.348800000000001</v>
      </c>
      <c r="T142">
        <v>-28.94</v>
      </c>
      <c r="U142">
        <v>14.348800000000001</v>
      </c>
      <c r="V142" t="s">
        <v>1538</v>
      </c>
      <c r="W142" t="s">
        <v>13</v>
      </c>
      <c r="X142" t="s">
        <v>17</v>
      </c>
      <c r="Y142" s="1" t="s">
        <v>1293</v>
      </c>
    </row>
    <row r="143" spans="1:25" x14ac:dyDescent="0.25">
      <c r="A143" s="4">
        <v>274</v>
      </c>
      <c r="B143" s="9">
        <v>38454</v>
      </c>
      <c r="C143" s="8" t="s">
        <v>1294</v>
      </c>
      <c r="D143" s="6" t="s">
        <v>130</v>
      </c>
      <c r="E143" s="10">
        <v>6</v>
      </c>
      <c r="F143">
        <v>20.978831480954</v>
      </c>
      <c r="G143">
        <v>4.8100028715532996</v>
      </c>
      <c r="H143" t="s">
        <v>92</v>
      </c>
      <c r="I143" t="s">
        <v>24</v>
      </c>
      <c r="J143" t="s">
        <v>185</v>
      </c>
      <c r="K143" t="s">
        <v>212</v>
      </c>
      <c r="L143">
        <v>319</v>
      </c>
      <c r="M143" t="s">
        <v>1799</v>
      </c>
      <c r="N143">
        <v>320</v>
      </c>
      <c r="O143" s="1" t="s">
        <v>97</v>
      </c>
      <c r="P143" s="1" t="s">
        <v>201</v>
      </c>
      <c r="Q143" s="25">
        <v>33.812252000000001</v>
      </c>
      <c r="R143" s="25">
        <f>-87.164963</f>
        <v>-87.164963</v>
      </c>
      <c r="S143">
        <v>-14.348800000000001</v>
      </c>
      <c r="T143">
        <v>-28.94</v>
      </c>
      <c r="U143">
        <v>14.348800000000001</v>
      </c>
      <c r="V143" t="s">
        <v>1538</v>
      </c>
      <c r="W143" t="s">
        <v>13</v>
      </c>
      <c r="X143" t="s">
        <v>17</v>
      </c>
      <c r="Y143" s="1" t="s">
        <v>1293</v>
      </c>
    </row>
    <row r="144" spans="1:25" x14ac:dyDescent="0.25">
      <c r="A144" s="4">
        <v>275</v>
      </c>
      <c r="B144" s="9">
        <v>38454</v>
      </c>
      <c r="C144" s="8" t="s">
        <v>1294</v>
      </c>
      <c r="D144" s="6" t="s">
        <v>28</v>
      </c>
      <c r="E144" s="10">
        <v>6</v>
      </c>
      <c r="F144">
        <v>5.2235624467802504</v>
      </c>
      <c r="G144">
        <v>2.69619788425819</v>
      </c>
      <c r="H144" t="s">
        <v>92</v>
      </c>
      <c r="I144" t="s">
        <v>24</v>
      </c>
      <c r="J144" t="s">
        <v>185</v>
      </c>
      <c r="K144" t="s">
        <v>212</v>
      </c>
      <c r="L144">
        <v>319</v>
      </c>
      <c r="M144" t="s">
        <v>1799</v>
      </c>
      <c r="N144">
        <v>320</v>
      </c>
      <c r="O144" s="1" t="s">
        <v>97</v>
      </c>
      <c r="P144" s="1" t="s">
        <v>201</v>
      </c>
      <c r="Q144" s="25">
        <v>33.812252000000001</v>
      </c>
      <c r="R144" s="25">
        <f>-87.164963</f>
        <v>-87.164963</v>
      </c>
      <c r="S144">
        <v>-14.348800000000001</v>
      </c>
      <c r="T144">
        <v>-28.94</v>
      </c>
      <c r="U144">
        <v>14.348800000000001</v>
      </c>
      <c r="V144" t="s">
        <v>1538</v>
      </c>
      <c r="W144" t="s">
        <v>13</v>
      </c>
      <c r="X144" t="s">
        <v>17</v>
      </c>
      <c r="Y144" s="1" t="s">
        <v>1293</v>
      </c>
    </row>
    <row r="145" spans="1:25" x14ac:dyDescent="0.25">
      <c r="A145" s="4">
        <v>276</v>
      </c>
      <c r="B145" s="9">
        <v>6</v>
      </c>
      <c r="C145" s="8" t="s">
        <v>1298</v>
      </c>
      <c r="D145" s="6" t="s">
        <v>130</v>
      </c>
      <c r="E145" s="10">
        <v>6</v>
      </c>
      <c r="F145">
        <v>87.711785860443399</v>
      </c>
      <c r="G145">
        <v>10.3517855944297</v>
      </c>
      <c r="H145" t="s">
        <v>92</v>
      </c>
      <c r="I145" t="s">
        <v>24</v>
      </c>
      <c r="J145" t="s">
        <v>185</v>
      </c>
      <c r="K145" t="s">
        <v>212</v>
      </c>
      <c r="L145">
        <v>319</v>
      </c>
      <c r="M145" t="s">
        <v>1799</v>
      </c>
      <c r="N145">
        <v>320</v>
      </c>
      <c r="O145" s="1" t="s">
        <v>97</v>
      </c>
      <c r="P145" s="1" t="s">
        <v>201</v>
      </c>
      <c r="Q145" s="25">
        <v>33.812252000000001</v>
      </c>
      <c r="R145" s="25">
        <f>-87.164963</f>
        <v>-87.164963</v>
      </c>
      <c r="S145">
        <v>-14.348800000000001</v>
      </c>
      <c r="T145">
        <v>-28.94</v>
      </c>
      <c r="U145">
        <v>14.348800000000001</v>
      </c>
      <c r="V145" t="s">
        <v>1538</v>
      </c>
      <c r="W145" t="s">
        <v>13</v>
      </c>
      <c r="X145" t="s">
        <v>17</v>
      </c>
      <c r="Y145" s="1" t="s">
        <v>1293</v>
      </c>
    </row>
    <row r="146" spans="1:25" x14ac:dyDescent="0.25">
      <c r="A146" s="4">
        <v>277</v>
      </c>
      <c r="B146" s="9" t="s">
        <v>1309</v>
      </c>
      <c r="C146" s="8" t="s">
        <v>1294</v>
      </c>
      <c r="D146" s="6" t="s">
        <v>130</v>
      </c>
      <c r="E146" s="10">
        <v>6</v>
      </c>
      <c r="F146">
        <v>85.349306344785006</v>
      </c>
      <c r="G146">
        <v>18.906196774878801</v>
      </c>
      <c r="H146" t="s">
        <v>92</v>
      </c>
      <c r="I146" t="s">
        <v>24</v>
      </c>
      <c r="J146" t="s">
        <v>185</v>
      </c>
      <c r="K146" t="s">
        <v>212</v>
      </c>
      <c r="L146">
        <v>319</v>
      </c>
      <c r="M146" t="s">
        <v>1799</v>
      </c>
      <c r="N146">
        <v>320</v>
      </c>
      <c r="O146" s="1" t="s">
        <v>97</v>
      </c>
      <c r="P146" s="1" t="s">
        <v>201</v>
      </c>
      <c r="Q146" s="25">
        <v>33.812252000000001</v>
      </c>
      <c r="R146" s="25">
        <f>-87.164963</f>
        <v>-87.164963</v>
      </c>
      <c r="S146">
        <v>-14.348800000000001</v>
      </c>
      <c r="T146">
        <v>-28.94</v>
      </c>
      <c r="U146">
        <v>14.348800000000001</v>
      </c>
      <c r="V146" t="s">
        <v>1538</v>
      </c>
      <c r="W146" t="s">
        <v>13</v>
      </c>
      <c r="X146" t="s">
        <v>17</v>
      </c>
      <c r="Y146" s="1" t="s">
        <v>1293</v>
      </c>
    </row>
    <row r="147" spans="1:25" x14ac:dyDescent="0.25">
      <c r="A147" s="4">
        <v>278</v>
      </c>
      <c r="B147" s="9" t="s">
        <v>1310</v>
      </c>
      <c r="C147" s="8" t="s">
        <v>1294</v>
      </c>
      <c r="D147" s="6" t="s">
        <v>130</v>
      </c>
      <c r="E147" s="10">
        <v>6</v>
      </c>
      <c r="F147">
        <v>41.834681022334799</v>
      </c>
      <c r="G147">
        <v>14.802437227406701</v>
      </c>
      <c r="H147" t="s">
        <v>92</v>
      </c>
      <c r="I147" t="s">
        <v>24</v>
      </c>
      <c r="J147" t="s">
        <v>185</v>
      </c>
      <c r="K147" t="s">
        <v>212</v>
      </c>
      <c r="L147">
        <v>319</v>
      </c>
      <c r="M147" t="s">
        <v>1799</v>
      </c>
      <c r="N147">
        <v>320</v>
      </c>
      <c r="O147" s="1" t="s">
        <v>97</v>
      </c>
      <c r="P147" s="1" t="s">
        <v>201</v>
      </c>
      <c r="Q147" s="25">
        <v>33.812252000000001</v>
      </c>
      <c r="R147" s="25">
        <f>-87.164963</f>
        <v>-87.164963</v>
      </c>
      <c r="S147">
        <v>-14.348800000000001</v>
      </c>
      <c r="T147">
        <v>-28.94</v>
      </c>
      <c r="U147">
        <v>14.348800000000001</v>
      </c>
      <c r="V147" t="s">
        <v>1538</v>
      </c>
      <c r="W147" t="s">
        <v>13</v>
      </c>
      <c r="X147" t="s">
        <v>17</v>
      </c>
      <c r="Y147" s="1" t="s">
        <v>1293</v>
      </c>
    </row>
    <row r="148" spans="1:25" x14ac:dyDescent="0.25">
      <c r="A148" s="4">
        <v>279</v>
      </c>
      <c r="B148" s="9" t="s">
        <v>1311</v>
      </c>
      <c r="C148" s="8" t="s">
        <v>1296</v>
      </c>
      <c r="D148" s="6" t="s">
        <v>130</v>
      </c>
      <c r="E148" s="10">
        <v>6</v>
      </c>
      <c r="F148">
        <v>75.680798081484596</v>
      </c>
      <c r="G148">
        <v>35.722140140548397</v>
      </c>
      <c r="H148" t="s">
        <v>92</v>
      </c>
      <c r="I148" t="s">
        <v>24</v>
      </c>
      <c r="J148" t="s">
        <v>185</v>
      </c>
      <c r="K148" t="s">
        <v>212</v>
      </c>
      <c r="L148">
        <v>319</v>
      </c>
      <c r="M148" t="s">
        <v>1799</v>
      </c>
      <c r="N148">
        <v>320</v>
      </c>
      <c r="O148" s="1" t="s">
        <v>97</v>
      </c>
      <c r="P148" s="1" t="s">
        <v>201</v>
      </c>
      <c r="Q148" s="25">
        <v>33.812252000000001</v>
      </c>
      <c r="R148" s="25">
        <f>-87.164963</f>
        <v>-87.164963</v>
      </c>
      <c r="S148">
        <v>-14.348800000000001</v>
      </c>
      <c r="T148">
        <v>-28.94</v>
      </c>
      <c r="U148">
        <v>14.348800000000001</v>
      </c>
      <c r="V148" t="s">
        <v>1538</v>
      </c>
      <c r="W148" t="s">
        <v>13</v>
      </c>
      <c r="X148" t="s">
        <v>17</v>
      </c>
      <c r="Y148" s="1" t="s">
        <v>1293</v>
      </c>
    </row>
    <row r="149" spans="1:25" x14ac:dyDescent="0.25">
      <c r="A149" s="4">
        <v>280</v>
      </c>
      <c r="B149" s="9">
        <v>9324</v>
      </c>
      <c r="C149" s="8" t="s">
        <v>1294</v>
      </c>
      <c r="D149" s="6" t="s">
        <v>130</v>
      </c>
      <c r="E149" s="10">
        <v>6</v>
      </c>
      <c r="F149">
        <v>75.198289285849498</v>
      </c>
      <c r="G149">
        <v>31.726739287270899</v>
      </c>
      <c r="H149" t="s">
        <v>92</v>
      </c>
      <c r="I149" t="s">
        <v>24</v>
      </c>
      <c r="J149" t="s">
        <v>185</v>
      </c>
      <c r="K149" t="s">
        <v>212</v>
      </c>
      <c r="L149">
        <v>319</v>
      </c>
      <c r="M149" t="s">
        <v>1799</v>
      </c>
      <c r="N149">
        <v>320</v>
      </c>
      <c r="O149" s="1" t="s">
        <v>97</v>
      </c>
      <c r="P149" s="1" t="s">
        <v>201</v>
      </c>
      <c r="Q149" s="25">
        <v>33.812252000000001</v>
      </c>
      <c r="R149" s="25">
        <f>-87.164963</f>
        <v>-87.164963</v>
      </c>
      <c r="S149">
        <v>-14.348800000000001</v>
      </c>
      <c r="T149">
        <v>-28.94</v>
      </c>
      <c r="U149">
        <v>14.348800000000001</v>
      </c>
      <c r="V149" t="s">
        <v>1538</v>
      </c>
      <c r="W149" t="s">
        <v>13</v>
      </c>
      <c r="X149" t="s">
        <v>17</v>
      </c>
      <c r="Y149" s="1" t="s">
        <v>1293</v>
      </c>
    </row>
    <row r="150" spans="1:25" x14ac:dyDescent="0.25">
      <c r="A150" s="4">
        <v>281</v>
      </c>
      <c r="B150" s="9" t="s">
        <v>1312</v>
      </c>
      <c r="C150" s="8" t="s">
        <v>1296</v>
      </c>
      <c r="D150" s="6" t="s">
        <v>130</v>
      </c>
      <c r="E150" s="10">
        <v>6</v>
      </c>
      <c r="F150">
        <v>70.868611003683199</v>
      </c>
      <c r="G150">
        <v>39.092208408207597</v>
      </c>
      <c r="H150" t="s">
        <v>92</v>
      </c>
      <c r="I150" t="s">
        <v>24</v>
      </c>
      <c r="J150" t="s">
        <v>185</v>
      </c>
      <c r="K150" t="s">
        <v>212</v>
      </c>
      <c r="L150">
        <v>319</v>
      </c>
      <c r="M150" t="s">
        <v>1799</v>
      </c>
      <c r="N150">
        <v>320</v>
      </c>
      <c r="O150" s="1" t="s">
        <v>97</v>
      </c>
      <c r="P150" s="1" t="s">
        <v>201</v>
      </c>
      <c r="Q150" s="25">
        <v>33.812252000000001</v>
      </c>
      <c r="R150" s="25">
        <f>-87.164963</f>
        <v>-87.164963</v>
      </c>
      <c r="S150">
        <v>-14.348800000000001</v>
      </c>
      <c r="T150">
        <v>-28.94</v>
      </c>
      <c r="U150">
        <v>14.348800000000001</v>
      </c>
      <c r="V150" t="s">
        <v>1538</v>
      </c>
      <c r="W150" t="s">
        <v>13</v>
      </c>
      <c r="X150" t="s">
        <v>17</v>
      </c>
      <c r="Y150" s="1" t="s">
        <v>1293</v>
      </c>
    </row>
    <row r="151" spans="1:25" x14ac:dyDescent="0.25">
      <c r="A151" s="4">
        <v>282</v>
      </c>
      <c r="B151" s="9" t="s">
        <v>1313</v>
      </c>
      <c r="C151" s="8" t="s">
        <v>304</v>
      </c>
      <c r="D151" s="6" t="s">
        <v>130</v>
      </c>
      <c r="E151" s="10">
        <v>6</v>
      </c>
      <c r="F151">
        <v>55.336713487290503</v>
      </c>
      <c r="G151">
        <v>27.8644331082923</v>
      </c>
      <c r="H151" t="s">
        <v>92</v>
      </c>
      <c r="I151" t="s">
        <v>24</v>
      </c>
      <c r="J151" t="s">
        <v>185</v>
      </c>
      <c r="K151" t="s">
        <v>212</v>
      </c>
      <c r="L151">
        <v>319</v>
      </c>
      <c r="M151" t="s">
        <v>1799</v>
      </c>
      <c r="N151">
        <v>320</v>
      </c>
      <c r="O151" s="1" t="s">
        <v>97</v>
      </c>
      <c r="P151" s="1" t="s">
        <v>201</v>
      </c>
      <c r="Q151" s="25">
        <v>33.812252000000001</v>
      </c>
      <c r="R151" s="25">
        <f>-87.164963</f>
        <v>-87.164963</v>
      </c>
      <c r="S151">
        <v>-14.348800000000001</v>
      </c>
      <c r="T151">
        <v>-28.94</v>
      </c>
      <c r="U151">
        <v>14.348800000000001</v>
      </c>
      <c r="V151" t="s">
        <v>1538</v>
      </c>
      <c r="W151" t="s">
        <v>13</v>
      </c>
      <c r="X151" t="s">
        <v>17</v>
      </c>
      <c r="Y151" s="1" t="s">
        <v>1293</v>
      </c>
    </row>
    <row r="152" spans="1:25" x14ac:dyDescent="0.25">
      <c r="A152" s="4">
        <v>283</v>
      </c>
      <c r="B152" s="9" t="s">
        <v>1314</v>
      </c>
      <c r="C152" s="8" t="s">
        <v>304</v>
      </c>
      <c r="D152" s="6" t="s">
        <v>130</v>
      </c>
      <c r="E152" s="10">
        <v>6</v>
      </c>
      <c r="F152">
        <v>100.312876193408</v>
      </c>
      <c r="G152">
        <v>22.369968986687901</v>
      </c>
      <c r="H152" t="s">
        <v>92</v>
      </c>
      <c r="I152" t="s">
        <v>24</v>
      </c>
      <c r="J152" t="s">
        <v>185</v>
      </c>
      <c r="K152" t="s">
        <v>212</v>
      </c>
      <c r="L152">
        <v>319</v>
      </c>
      <c r="M152" t="s">
        <v>1799</v>
      </c>
      <c r="N152">
        <v>320</v>
      </c>
      <c r="O152" s="1" t="s">
        <v>97</v>
      </c>
      <c r="P152" s="1" t="s">
        <v>201</v>
      </c>
      <c r="Q152" s="25">
        <v>33.812252000000001</v>
      </c>
      <c r="R152" s="25">
        <f>-87.164963</f>
        <v>-87.164963</v>
      </c>
      <c r="S152">
        <v>-14.348800000000001</v>
      </c>
      <c r="T152">
        <v>-28.94</v>
      </c>
      <c r="U152">
        <v>14.348800000000001</v>
      </c>
      <c r="V152" t="s">
        <v>1538</v>
      </c>
      <c r="W152" t="s">
        <v>13</v>
      </c>
      <c r="X152" t="s">
        <v>17</v>
      </c>
      <c r="Y152" s="1" t="s">
        <v>1293</v>
      </c>
    </row>
    <row r="153" spans="1:25" x14ac:dyDescent="0.25">
      <c r="A153" s="4">
        <v>284</v>
      </c>
      <c r="B153" s="9">
        <v>28063</v>
      </c>
      <c r="C153" s="8" t="s">
        <v>1294</v>
      </c>
      <c r="D153" s="6" t="s">
        <v>130</v>
      </c>
      <c r="E153" s="10">
        <v>6</v>
      </c>
      <c r="F153">
        <v>79.720525536662905</v>
      </c>
      <c r="G153">
        <v>12.535434619255099</v>
      </c>
      <c r="H153" t="s">
        <v>92</v>
      </c>
      <c r="I153" t="s">
        <v>24</v>
      </c>
      <c r="J153" t="s">
        <v>185</v>
      </c>
      <c r="K153" t="s">
        <v>212</v>
      </c>
      <c r="L153">
        <v>319</v>
      </c>
      <c r="M153" t="s">
        <v>1799</v>
      </c>
      <c r="N153">
        <v>320</v>
      </c>
      <c r="O153" s="1" t="s">
        <v>97</v>
      </c>
      <c r="P153" s="1" t="s">
        <v>201</v>
      </c>
      <c r="Q153" s="25">
        <v>33.812252000000001</v>
      </c>
      <c r="R153" s="25">
        <f>-87.164963</f>
        <v>-87.164963</v>
      </c>
      <c r="S153">
        <v>-14.348800000000001</v>
      </c>
      <c r="T153">
        <v>-28.94</v>
      </c>
      <c r="U153">
        <v>14.348800000000001</v>
      </c>
      <c r="V153" t="s">
        <v>1538</v>
      </c>
      <c r="W153" t="s">
        <v>13</v>
      </c>
      <c r="X153" t="s">
        <v>17</v>
      </c>
      <c r="Y153" s="1" t="s">
        <v>1293</v>
      </c>
    </row>
    <row r="154" spans="1:25" x14ac:dyDescent="0.25">
      <c r="A154" s="4">
        <v>285</v>
      </c>
      <c r="B154" s="9">
        <v>5920</v>
      </c>
      <c r="C154" s="8" t="s">
        <v>1298</v>
      </c>
      <c r="D154" s="6" t="s">
        <v>337</v>
      </c>
      <c r="E154" s="10">
        <v>8</v>
      </c>
      <c r="F154">
        <v>14.9623446703391</v>
      </c>
      <c r="G154">
        <v>6.5483745944980498</v>
      </c>
      <c r="H154" t="s">
        <v>92</v>
      </c>
      <c r="I154" t="s">
        <v>24</v>
      </c>
      <c r="J154" t="s">
        <v>185</v>
      </c>
      <c r="K154" t="s">
        <v>212</v>
      </c>
      <c r="L154">
        <v>319</v>
      </c>
      <c r="M154" t="s">
        <v>1799</v>
      </c>
      <c r="N154">
        <v>320</v>
      </c>
      <c r="O154" s="1" t="s">
        <v>97</v>
      </c>
      <c r="P154" s="1" t="s">
        <v>201</v>
      </c>
      <c r="Q154" s="25">
        <v>33.812252000000001</v>
      </c>
      <c r="R154" s="25">
        <f>-87.164963</f>
        <v>-87.164963</v>
      </c>
      <c r="S154">
        <v>-14.348800000000001</v>
      </c>
      <c r="T154">
        <v>-28.94</v>
      </c>
      <c r="U154">
        <v>14.348800000000001</v>
      </c>
      <c r="V154" t="s">
        <v>1538</v>
      </c>
      <c r="W154" t="s">
        <v>13</v>
      </c>
      <c r="X154" t="s">
        <v>17</v>
      </c>
      <c r="Y154" s="1" t="s">
        <v>1293</v>
      </c>
    </row>
    <row r="155" spans="1:25" x14ac:dyDescent="0.25">
      <c r="A155" s="4">
        <v>287</v>
      </c>
      <c r="B155" s="9" t="s">
        <v>1316</v>
      </c>
      <c r="C155" s="8" t="s">
        <v>304</v>
      </c>
      <c r="D155" s="6" t="s">
        <v>337</v>
      </c>
      <c r="E155" s="10">
        <v>8</v>
      </c>
      <c r="F155">
        <v>52.319643949073701</v>
      </c>
      <c r="G155">
        <v>21.796438779204799</v>
      </c>
      <c r="H155" t="s">
        <v>92</v>
      </c>
      <c r="I155" t="s">
        <v>24</v>
      </c>
      <c r="J155" t="s">
        <v>185</v>
      </c>
      <c r="K155" t="s">
        <v>212</v>
      </c>
      <c r="L155">
        <v>319</v>
      </c>
      <c r="M155" t="s">
        <v>1799</v>
      </c>
      <c r="N155">
        <v>320</v>
      </c>
      <c r="O155" s="1" t="s">
        <v>97</v>
      </c>
      <c r="P155" s="1" t="s">
        <v>201</v>
      </c>
      <c r="Q155" s="25">
        <v>33.812252000000001</v>
      </c>
      <c r="R155" s="25">
        <f>-87.164963</f>
        <v>-87.164963</v>
      </c>
      <c r="S155">
        <v>-14.348800000000001</v>
      </c>
      <c r="T155">
        <v>-28.94</v>
      </c>
      <c r="U155">
        <v>14.348800000000001</v>
      </c>
      <c r="V155" t="s">
        <v>1538</v>
      </c>
      <c r="W155" t="s">
        <v>13</v>
      </c>
      <c r="X155" t="s">
        <v>17</v>
      </c>
      <c r="Y155" s="1" t="s">
        <v>1293</v>
      </c>
    </row>
    <row r="156" spans="1:25" x14ac:dyDescent="0.25">
      <c r="A156" s="4">
        <v>288</v>
      </c>
      <c r="B156" s="9" t="s">
        <v>1315</v>
      </c>
      <c r="C156" s="8" t="s">
        <v>1294</v>
      </c>
      <c r="D156" s="6" t="s">
        <v>337</v>
      </c>
      <c r="E156" s="10">
        <v>8</v>
      </c>
      <c r="F156">
        <v>41.354719332694998</v>
      </c>
      <c r="G156">
        <v>7.1804571534218304</v>
      </c>
      <c r="H156" t="s">
        <v>92</v>
      </c>
      <c r="I156" t="s">
        <v>24</v>
      </c>
      <c r="J156" t="s">
        <v>185</v>
      </c>
      <c r="K156" t="s">
        <v>212</v>
      </c>
      <c r="L156">
        <v>319</v>
      </c>
      <c r="M156" t="s">
        <v>1799</v>
      </c>
      <c r="N156">
        <v>320</v>
      </c>
      <c r="O156" s="1" t="s">
        <v>97</v>
      </c>
      <c r="P156" s="1" t="s">
        <v>201</v>
      </c>
      <c r="Q156" s="25">
        <v>33.812252000000001</v>
      </c>
      <c r="R156" s="25">
        <f>-87.164963</f>
        <v>-87.164963</v>
      </c>
      <c r="S156">
        <v>-14.348800000000001</v>
      </c>
      <c r="T156">
        <v>-28.94</v>
      </c>
      <c r="U156">
        <v>14.348800000000001</v>
      </c>
      <c r="V156" t="s">
        <v>1538</v>
      </c>
      <c r="W156" t="s">
        <v>13</v>
      </c>
      <c r="X156" t="s">
        <v>17</v>
      </c>
      <c r="Y156" s="1" t="s">
        <v>1293</v>
      </c>
    </row>
    <row r="157" spans="1:25" x14ac:dyDescent="0.25">
      <c r="A157" s="4">
        <v>289</v>
      </c>
      <c r="B157" s="9">
        <v>27086</v>
      </c>
      <c r="C157" s="8" t="s">
        <v>1294</v>
      </c>
      <c r="D157" s="6" t="s">
        <v>337</v>
      </c>
      <c r="E157" s="10">
        <v>8</v>
      </c>
      <c r="F157">
        <v>40.376245611106498</v>
      </c>
      <c r="G157">
        <v>8.3874403941998601</v>
      </c>
      <c r="H157" t="s">
        <v>92</v>
      </c>
      <c r="I157" t="s">
        <v>24</v>
      </c>
      <c r="J157" t="s">
        <v>185</v>
      </c>
      <c r="K157" t="s">
        <v>212</v>
      </c>
      <c r="L157">
        <v>319</v>
      </c>
      <c r="M157" t="s">
        <v>1799</v>
      </c>
      <c r="N157">
        <v>320</v>
      </c>
      <c r="O157" s="1" t="s">
        <v>97</v>
      </c>
      <c r="P157" s="1" t="s">
        <v>201</v>
      </c>
      <c r="Q157" s="25">
        <v>33.812252000000001</v>
      </c>
      <c r="R157" s="25">
        <f>-87.164963</f>
        <v>-87.164963</v>
      </c>
      <c r="S157">
        <v>-14.348800000000001</v>
      </c>
      <c r="T157">
        <v>-28.94</v>
      </c>
      <c r="U157">
        <v>14.348800000000001</v>
      </c>
      <c r="V157" t="s">
        <v>1538</v>
      </c>
      <c r="W157" t="s">
        <v>13</v>
      </c>
      <c r="X157" t="s">
        <v>17</v>
      </c>
      <c r="Y157" s="1" t="s">
        <v>1293</v>
      </c>
    </row>
    <row r="158" spans="1:25" x14ac:dyDescent="0.25">
      <c r="A158" s="4">
        <v>290</v>
      </c>
      <c r="B158" s="9">
        <v>38462</v>
      </c>
      <c r="C158" s="8" t="s">
        <v>1294</v>
      </c>
      <c r="D158" s="10" t="s">
        <v>1318</v>
      </c>
      <c r="E158" s="10">
        <v>6</v>
      </c>
      <c r="F158">
        <v>38.011600233559399</v>
      </c>
      <c r="G158">
        <v>7.5473804673635803</v>
      </c>
      <c r="H158" t="s">
        <v>92</v>
      </c>
      <c r="I158" t="s">
        <v>24</v>
      </c>
      <c r="J158" t="s">
        <v>185</v>
      </c>
      <c r="K158" t="s">
        <v>212</v>
      </c>
      <c r="L158">
        <v>319</v>
      </c>
      <c r="M158" t="s">
        <v>1799</v>
      </c>
      <c r="N158">
        <v>320</v>
      </c>
      <c r="O158" s="1" t="s">
        <v>97</v>
      </c>
      <c r="P158" s="1" t="s">
        <v>201</v>
      </c>
      <c r="Q158" s="25">
        <v>33.812252000000001</v>
      </c>
      <c r="R158" s="25">
        <f>-87.164963</f>
        <v>-87.164963</v>
      </c>
      <c r="S158">
        <v>-14.348800000000001</v>
      </c>
      <c r="T158">
        <v>-28.94</v>
      </c>
      <c r="U158">
        <v>14.348800000000001</v>
      </c>
      <c r="V158" t="s">
        <v>1538</v>
      </c>
      <c r="W158" t="s">
        <v>13</v>
      </c>
      <c r="X158" t="s">
        <v>17</v>
      </c>
      <c r="Y158" s="1" t="s">
        <v>1293</v>
      </c>
    </row>
    <row r="159" spans="1:25" x14ac:dyDescent="0.25">
      <c r="A159" s="4">
        <v>291</v>
      </c>
      <c r="B159" s="9">
        <v>38462</v>
      </c>
      <c r="C159" s="8" t="s">
        <v>1294</v>
      </c>
      <c r="D159" s="10" t="s">
        <v>1317</v>
      </c>
      <c r="E159" s="10">
        <v>7</v>
      </c>
      <c r="F159">
        <v>31.999527962831898</v>
      </c>
      <c r="G159">
        <v>6.7405326417414004</v>
      </c>
      <c r="H159" t="s">
        <v>92</v>
      </c>
      <c r="I159" t="s">
        <v>24</v>
      </c>
      <c r="J159" t="s">
        <v>185</v>
      </c>
      <c r="K159" t="s">
        <v>212</v>
      </c>
      <c r="L159">
        <v>319</v>
      </c>
      <c r="M159" t="s">
        <v>1799</v>
      </c>
      <c r="N159">
        <v>320</v>
      </c>
      <c r="O159" s="1" t="s">
        <v>97</v>
      </c>
      <c r="P159" s="1" t="s">
        <v>201</v>
      </c>
      <c r="Q159" s="25">
        <v>33.812252000000001</v>
      </c>
      <c r="R159" s="25">
        <f>-87.164963</f>
        <v>-87.164963</v>
      </c>
      <c r="S159">
        <v>-14.348800000000001</v>
      </c>
      <c r="T159">
        <v>-28.94</v>
      </c>
      <c r="U159">
        <v>14.348800000000001</v>
      </c>
      <c r="V159" t="s">
        <v>1538</v>
      </c>
      <c r="W159" t="s">
        <v>13</v>
      </c>
      <c r="X159" t="s">
        <v>17</v>
      </c>
      <c r="Y159" s="1" t="s">
        <v>1293</v>
      </c>
    </row>
    <row r="160" spans="1:25" x14ac:dyDescent="0.25">
      <c r="A160" s="4">
        <v>292</v>
      </c>
      <c r="B160" s="9">
        <v>13108</v>
      </c>
      <c r="C160" s="8" t="s">
        <v>1298</v>
      </c>
      <c r="D160" s="10" t="s">
        <v>1318</v>
      </c>
      <c r="E160" s="10">
        <v>6</v>
      </c>
      <c r="F160">
        <v>30.074868447699401</v>
      </c>
      <c r="G160">
        <v>10.6002268207924</v>
      </c>
      <c r="H160" t="s">
        <v>92</v>
      </c>
      <c r="I160" t="s">
        <v>24</v>
      </c>
      <c r="J160" t="s">
        <v>185</v>
      </c>
      <c r="K160" t="s">
        <v>212</v>
      </c>
      <c r="L160">
        <v>319</v>
      </c>
      <c r="M160" t="s">
        <v>1799</v>
      </c>
      <c r="N160">
        <v>320</v>
      </c>
      <c r="O160" s="1" t="s">
        <v>97</v>
      </c>
      <c r="P160" s="1" t="s">
        <v>201</v>
      </c>
      <c r="Q160" s="25">
        <v>33.812252000000001</v>
      </c>
      <c r="R160" s="25">
        <f>-87.164963</f>
        <v>-87.164963</v>
      </c>
      <c r="S160">
        <v>-14.348800000000001</v>
      </c>
      <c r="T160">
        <v>-28.94</v>
      </c>
      <c r="U160">
        <v>14.348800000000001</v>
      </c>
      <c r="V160" t="s">
        <v>1538</v>
      </c>
      <c r="W160" t="s">
        <v>13</v>
      </c>
      <c r="X160" t="s">
        <v>17</v>
      </c>
      <c r="Y160" s="1" t="s">
        <v>1293</v>
      </c>
    </row>
    <row r="161" spans="1:25" x14ac:dyDescent="0.25">
      <c r="A161" s="4">
        <v>293</v>
      </c>
      <c r="B161" s="9">
        <v>5959</v>
      </c>
      <c r="C161" s="8" t="s">
        <v>1298</v>
      </c>
      <c r="D161" s="10" t="s">
        <v>1318</v>
      </c>
      <c r="E161" s="10">
        <v>6</v>
      </c>
      <c r="F161">
        <v>34.020944679688199</v>
      </c>
      <c r="G161">
        <v>14.4234432513157</v>
      </c>
      <c r="H161" t="s">
        <v>92</v>
      </c>
      <c r="I161" t="s">
        <v>24</v>
      </c>
      <c r="J161" t="s">
        <v>185</v>
      </c>
      <c r="K161" t="s">
        <v>212</v>
      </c>
      <c r="L161">
        <v>319</v>
      </c>
      <c r="M161" t="s">
        <v>1799</v>
      </c>
      <c r="N161">
        <v>320</v>
      </c>
      <c r="O161" s="1" t="s">
        <v>97</v>
      </c>
      <c r="P161" s="1" t="s">
        <v>201</v>
      </c>
      <c r="Q161" s="25">
        <v>33.812252000000001</v>
      </c>
      <c r="R161" s="25">
        <f>-87.164963</f>
        <v>-87.164963</v>
      </c>
      <c r="S161">
        <v>-14.348800000000001</v>
      </c>
      <c r="T161">
        <v>-28.94</v>
      </c>
      <c r="U161">
        <v>14.348800000000001</v>
      </c>
      <c r="V161" t="s">
        <v>1538</v>
      </c>
      <c r="W161" t="s">
        <v>13</v>
      </c>
      <c r="X161" t="s">
        <v>17</v>
      </c>
      <c r="Y161" s="1" t="s">
        <v>1293</v>
      </c>
    </row>
    <row r="162" spans="1:25" x14ac:dyDescent="0.25">
      <c r="A162" s="4">
        <v>294</v>
      </c>
      <c r="B162" s="9">
        <v>6003</v>
      </c>
      <c r="C162" s="8" t="s">
        <v>1298</v>
      </c>
      <c r="D162" s="10" t="s">
        <v>1318</v>
      </c>
      <c r="E162" s="10">
        <v>6</v>
      </c>
      <c r="F162">
        <v>32.878659120896799</v>
      </c>
      <c r="G162">
        <v>9.2261569118696105</v>
      </c>
      <c r="H162" t="s">
        <v>92</v>
      </c>
      <c r="I162" t="s">
        <v>24</v>
      </c>
      <c r="J162" t="s">
        <v>185</v>
      </c>
      <c r="K162" t="s">
        <v>212</v>
      </c>
      <c r="L162">
        <v>319</v>
      </c>
      <c r="M162" t="s">
        <v>1799</v>
      </c>
      <c r="N162">
        <v>320</v>
      </c>
      <c r="O162" s="1" t="s">
        <v>97</v>
      </c>
      <c r="P162" s="1" t="s">
        <v>201</v>
      </c>
      <c r="Q162" s="25">
        <v>33.812252000000001</v>
      </c>
      <c r="R162" s="25">
        <f>-87.164963</f>
        <v>-87.164963</v>
      </c>
      <c r="S162">
        <v>-14.348800000000001</v>
      </c>
      <c r="T162">
        <v>-28.94</v>
      </c>
      <c r="U162">
        <v>14.348800000000001</v>
      </c>
      <c r="V162" t="s">
        <v>1538</v>
      </c>
      <c r="W162" t="s">
        <v>13</v>
      </c>
      <c r="X162" t="s">
        <v>17</v>
      </c>
      <c r="Y162" s="1" t="s">
        <v>1293</v>
      </c>
    </row>
    <row r="163" spans="1:25" x14ac:dyDescent="0.25">
      <c r="A163" s="4">
        <v>295</v>
      </c>
      <c r="B163" s="9" t="s">
        <v>1319</v>
      </c>
      <c r="C163" s="8" t="s">
        <v>1294</v>
      </c>
      <c r="D163" s="10" t="s">
        <v>1318</v>
      </c>
      <c r="E163" s="10">
        <v>6</v>
      </c>
      <c r="F163">
        <v>37.897347531624298</v>
      </c>
      <c r="G163">
        <v>9.0591985414919005</v>
      </c>
      <c r="H163" t="s">
        <v>92</v>
      </c>
      <c r="I163" t="s">
        <v>24</v>
      </c>
      <c r="J163" t="s">
        <v>185</v>
      </c>
      <c r="K163" t="s">
        <v>212</v>
      </c>
      <c r="L163">
        <v>319</v>
      </c>
      <c r="M163" t="s">
        <v>1799</v>
      </c>
      <c r="N163">
        <v>320</v>
      </c>
      <c r="O163" s="1" t="s">
        <v>97</v>
      </c>
      <c r="P163" s="1" t="s">
        <v>201</v>
      </c>
      <c r="Q163" s="25">
        <v>33.812252000000001</v>
      </c>
      <c r="R163" s="25">
        <f>-87.164963</f>
        <v>-87.164963</v>
      </c>
      <c r="S163">
        <v>-14.348800000000001</v>
      </c>
      <c r="T163">
        <v>-28.94</v>
      </c>
      <c r="U163">
        <v>14.348800000000001</v>
      </c>
      <c r="V163" t="s">
        <v>1538</v>
      </c>
      <c r="W163" t="s">
        <v>13</v>
      </c>
      <c r="X163" t="s">
        <v>17</v>
      </c>
      <c r="Y163" s="1" t="s">
        <v>1293</v>
      </c>
    </row>
    <row r="164" spans="1:25" x14ac:dyDescent="0.25">
      <c r="A164" s="4">
        <v>296</v>
      </c>
      <c r="B164" s="9">
        <v>27764</v>
      </c>
      <c r="C164" s="8" t="s">
        <v>1294</v>
      </c>
      <c r="D164" s="10" t="s">
        <v>1318</v>
      </c>
      <c r="E164" s="10">
        <v>6</v>
      </c>
      <c r="F164">
        <v>34.542904534608901</v>
      </c>
      <c r="G164">
        <v>12.9752595937021</v>
      </c>
      <c r="H164" t="s">
        <v>92</v>
      </c>
      <c r="I164" t="s">
        <v>24</v>
      </c>
      <c r="J164" t="s">
        <v>185</v>
      </c>
      <c r="K164" t="s">
        <v>212</v>
      </c>
      <c r="L164">
        <v>319</v>
      </c>
      <c r="M164" t="s">
        <v>1799</v>
      </c>
      <c r="N164">
        <v>320</v>
      </c>
      <c r="O164" s="1" t="s">
        <v>97</v>
      </c>
      <c r="P164" s="1" t="s">
        <v>201</v>
      </c>
      <c r="Q164" s="25">
        <v>33.812252000000001</v>
      </c>
      <c r="R164" s="25">
        <f>-87.164963</f>
        <v>-87.164963</v>
      </c>
      <c r="S164">
        <v>-14.348800000000001</v>
      </c>
      <c r="T164">
        <v>-28.94</v>
      </c>
      <c r="U164">
        <v>14.348800000000001</v>
      </c>
      <c r="V164" t="s">
        <v>1538</v>
      </c>
      <c r="W164" t="s">
        <v>13</v>
      </c>
      <c r="X164" t="s">
        <v>17</v>
      </c>
      <c r="Y164" s="1" t="s">
        <v>1293</v>
      </c>
    </row>
    <row r="165" spans="1:25" x14ac:dyDescent="0.25">
      <c r="A165" s="4">
        <v>297</v>
      </c>
      <c r="B165" s="9">
        <v>6014</v>
      </c>
      <c r="C165" s="8" t="s">
        <v>1298</v>
      </c>
      <c r="D165" s="10" t="s">
        <v>1318</v>
      </c>
      <c r="E165" s="10">
        <v>6</v>
      </c>
      <c r="F165">
        <v>39.005606401555497</v>
      </c>
      <c r="G165">
        <v>7.67353597998975</v>
      </c>
      <c r="H165" t="s">
        <v>92</v>
      </c>
      <c r="I165" t="s">
        <v>24</v>
      </c>
      <c r="J165" t="s">
        <v>185</v>
      </c>
      <c r="K165" t="s">
        <v>212</v>
      </c>
      <c r="L165">
        <v>319</v>
      </c>
      <c r="M165" t="s">
        <v>1799</v>
      </c>
      <c r="N165">
        <v>320</v>
      </c>
      <c r="O165" s="1" t="s">
        <v>97</v>
      </c>
      <c r="P165" s="1" t="s">
        <v>201</v>
      </c>
      <c r="Q165" s="25">
        <v>33.812252000000001</v>
      </c>
      <c r="R165" s="25">
        <f>-87.164963</f>
        <v>-87.164963</v>
      </c>
      <c r="S165">
        <v>-14.348800000000001</v>
      </c>
      <c r="T165">
        <v>-28.94</v>
      </c>
      <c r="U165">
        <v>14.348800000000001</v>
      </c>
      <c r="V165" t="s">
        <v>1538</v>
      </c>
      <c r="W165" t="s">
        <v>13</v>
      </c>
      <c r="X165" t="s">
        <v>17</v>
      </c>
      <c r="Y165" s="1" t="s">
        <v>1293</v>
      </c>
    </row>
    <row r="166" spans="1:25" x14ac:dyDescent="0.25">
      <c r="A166" s="4">
        <v>298</v>
      </c>
      <c r="B166" s="9">
        <v>27781</v>
      </c>
      <c r="C166" s="8" t="s">
        <v>1294</v>
      </c>
      <c r="D166" s="10" t="s">
        <v>1318</v>
      </c>
      <c r="E166" s="10">
        <v>6</v>
      </c>
      <c r="F166">
        <v>39.547698053273002</v>
      </c>
      <c r="G166">
        <v>16.9313711580612</v>
      </c>
      <c r="H166" t="s">
        <v>92</v>
      </c>
      <c r="I166" t="s">
        <v>24</v>
      </c>
      <c r="J166" t="s">
        <v>185</v>
      </c>
      <c r="K166" t="s">
        <v>212</v>
      </c>
      <c r="L166">
        <v>319</v>
      </c>
      <c r="M166" t="s">
        <v>1799</v>
      </c>
      <c r="N166">
        <v>320</v>
      </c>
      <c r="O166" s="1" t="s">
        <v>97</v>
      </c>
      <c r="P166" s="1" t="s">
        <v>201</v>
      </c>
      <c r="Q166" s="25">
        <v>33.812252000000001</v>
      </c>
      <c r="R166" s="25">
        <f>-87.164963</f>
        <v>-87.164963</v>
      </c>
      <c r="S166">
        <v>-14.348800000000001</v>
      </c>
      <c r="T166">
        <v>-28.94</v>
      </c>
      <c r="U166">
        <v>14.348800000000001</v>
      </c>
      <c r="V166" t="s">
        <v>1538</v>
      </c>
      <c r="W166" t="s">
        <v>13</v>
      </c>
      <c r="X166" t="s">
        <v>17</v>
      </c>
      <c r="Y166" s="1" t="s">
        <v>1293</v>
      </c>
    </row>
    <row r="167" spans="1:25" x14ac:dyDescent="0.25">
      <c r="A167" s="4">
        <v>299</v>
      </c>
      <c r="B167" s="9" t="s">
        <v>1320</v>
      </c>
      <c r="C167" s="8" t="s">
        <v>1294</v>
      </c>
      <c r="D167" s="10" t="s">
        <v>1318</v>
      </c>
      <c r="E167" s="10">
        <v>6</v>
      </c>
      <c r="F167">
        <v>28.667034094757401</v>
      </c>
      <c r="G167">
        <v>12.6052595322112</v>
      </c>
      <c r="H167" t="s">
        <v>92</v>
      </c>
      <c r="I167" t="s">
        <v>24</v>
      </c>
      <c r="J167" t="s">
        <v>185</v>
      </c>
      <c r="K167" t="s">
        <v>212</v>
      </c>
      <c r="L167">
        <v>319</v>
      </c>
      <c r="M167" t="s">
        <v>1799</v>
      </c>
      <c r="N167">
        <v>320</v>
      </c>
      <c r="O167" s="1" t="s">
        <v>97</v>
      </c>
      <c r="P167" s="1" t="s">
        <v>201</v>
      </c>
      <c r="Q167" s="25">
        <v>33.812252000000001</v>
      </c>
      <c r="R167" s="25">
        <f>-87.164963</f>
        <v>-87.164963</v>
      </c>
      <c r="S167">
        <v>-14.348800000000001</v>
      </c>
      <c r="T167">
        <v>-28.94</v>
      </c>
      <c r="U167">
        <v>14.348800000000001</v>
      </c>
      <c r="V167" t="s">
        <v>1538</v>
      </c>
      <c r="W167" t="s">
        <v>13</v>
      </c>
      <c r="X167" t="s">
        <v>17</v>
      </c>
      <c r="Y167" s="1" t="s">
        <v>1293</v>
      </c>
    </row>
    <row r="168" spans="1:25" x14ac:dyDescent="0.25">
      <c r="A168" s="4">
        <v>300</v>
      </c>
      <c r="B168" s="9">
        <v>6012</v>
      </c>
      <c r="C168" s="8" t="s">
        <v>1298</v>
      </c>
      <c r="D168" s="10" t="s">
        <v>1318</v>
      </c>
      <c r="E168" s="10">
        <v>6</v>
      </c>
      <c r="F168">
        <v>30.0321681796174</v>
      </c>
      <c r="G168">
        <v>13.7257779034192</v>
      </c>
      <c r="H168" t="s">
        <v>92</v>
      </c>
      <c r="I168" t="s">
        <v>24</v>
      </c>
      <c r="J168" t="s">
        <v>185</v>
      </c>
      <c r="K168" t="s">
        <v>212</v>
      </c>
      <c r="L168">
        <v>319</v>
      </c>
      <c r="M168" t="s">
        <v>1799</v>
      </c>
      <c r="N168">
        <v>320</v>
      </c>
      <c r="O168" s="1" t="s">
        <v>97</v>
      </c>
      <c r="P168" s="1" t="s">
        <v>201</v>
      </c>
      <c r="Q168" s="25">
        <v>33.812252000000001</v>
      </c>
      <c r="R168" s="25">
        <f>-87.164963</f>
        <v>-87.164963</v>
      </c>
      <c r="S168">
        <v>-14.348800000000001</v>
      </c>
      <c r="T168">
        <v>-28.94</v>
      </c>
      <c r="U168">
        <v>14.348800000000001</v>
      </c>
      <c r="V168" t="s">
        <v>1538</v>
      </c>
      <c r="W168" t="s">
        <v>13</v>
      </c>
      <c r="X168" t="s">
        <v>17</v>
      </c>
      <c r="Y168" s="1" t="s">
        <v>1293</v>
      </c>
    </row>
    <row r="169" spans="1:25" x14ac:dyDescent="0.25">
      <c r="A169" s="4">
        <v>303</v>
      </c>
      <c r="B169" s="9">
        <v>25968</v>
      </c>
      <c r="C169" s="8" t="s">
        <v>1294</v>
      </c>
      <c r="D169" s="6" t="s">
        <v>208</v>
      </c>
      <c r="E169" s="10">
        <v>7</v>
      </c>
      <c r="F169">
        <v>20.5526425556546</v>
      </c>
      <c r="G169">
        <v>4.5176474996218596</v>
      </c>
      <c r="H169" t="s">
        <v>92</v>
      </c>
      <c r="I169" t="s">
        <v>24</v>
      </c>
      <c r="J169" t="s">
        <v>185</v>
      </c>
      <c r="K169" t="s">
        <v>212</v>
      </c>
      <c r="L169">
        <v>319</v>
      </c>
      <c r="M169" t="s">
        <v>1799</v>
      </c>
      <c r="N169">
        <v>320</v>
      </c>
      <c r="O169" s="1" t="s">
        <v>97</v>
      </c>
      <c r="P169" s="1" t="s">
        <v>201</v>
      </c>
      <c r="Q169" s="25">
        <v>33.812252000000001</v>
      </c>
      <c r="R169" s="25">
        <f>-87.164963</f>
        <v>-87.164963</v>
      </c>
      <c r="S169">
        <v>-14.348800000000001</v>
      </c>
      <c r="T169">
        <v>-28.94</v>
      </c>
      <c r="U169">
        <v>14.348800000000001</v>
      </c>
      <c r="V169" t="s">
        <v>1538</v>
      </c>
      <c r="W169" t="s">
        <v>13</v>
      </c>
      <c r="X169" t="s">
        <v>17</v>
      </c>
      <c r="Y169" s="1" t="s">
        <v>1293</v>
      </c>
    </row>
    <row r="170" spans="1:25" x14ac:dyDescent="0.25">
      <c r="A170" s="4">
        <v>305</v>
      </c>
      <c r="B170" s="9">
        <v>27905</v>
      </c>
      <c r="C170" s="8" t="s">
        <v>1294</v>
      </c>
      <c r="D170" s="6" t="s">
        <v>208</v>
      </c>
      <c r="E170" s="10">
        <v>7</v>
      </c>
      <c r="F170">
        <v>27.821947032958999</v>
      </c>
      <c r="G170">
        <v>4.0782402078263402</v>
      </c>
      <c r="H170" t="s">
        <v>92</v>
      </c>
      <c r="I170" t="s">
        <v>24</v>
      </c>
      <c r="J170" t="s">
        <v>185</v>
      </c>
      <c r="K170" t="s">
        <v>212</v>
      </c>
      <c r="L170">
        <v>319</v>
      </c>
      <c r="M170" t="s">
        <v>1799</v>
      </c>
      <c r="N170">
        <v>320</v>
      </c>
      <c r="O170" s="1" t="s">
        <v>97</v>
      </c>
      <c r="P170" s="1" t="s">
        <v>201</v>
      </c>
      <c r="Q170" s="25">
        <v>33.812252000000001</v>
      </c>
      <c r="R170" s="25">
        <f>-87.164963</f>
        <v>-87.164963</v>
      </c>
      <c r="S170">
        <v>-14.348800000000001</v>
      </c>
      <c r="T170">
        <v>-28.94</v>
      </c>
      <c r="U170">
        <v>14.348800000000001</v>
      </c>
      <c r="V170" t="s">
        <v>1538</v>
      </c>
      <c r="W170" t="s">
        <v>13</v>
      </c>
      <c r="X170" t="s">
        <v>17</v>
      </c>
      <c r="Y170" s="1" t="s">
        <v>1293</v>
      </c>
    </row>
    <row r="171" spans="1:25" x14ac:dyDescent="0.25">
      <c r="A171" s="4">
        <v>306</v>
      </c>
      <c r="B171" s="9" t="s">
        <v>1330</v>
      </c>
      <c r="C171" s="8" t="s">
        <v>1329</v>
      </c>
      <c r="D171" s="6" t="s">
        <v>1327</v>
      </c>
      <c r="E171" s="10">
        <v>7</v>
      </c>
      <c r="F171">
        <v>14.01</v>
      </c>
      <c r="G171">
        <v>2.8722682662380001</v>
      </c>
      <c r="H171" t="s">
        <v>92</v>
      </c>
      <c r="I171" t="s">
        <v>24</v>
      </c>
      <c r="J171" t="s">
        <v>185</v>
      </c>
      <c r="K171" t="s">
        <v>212</v>
      </c>
      <c r="L171">
        <v>319</v>
      </c>
      <c r="M171" t="s">
        <v>1799</v>
      </c>
      <c r="N171">
        <v>320</v>
      </c>
      <c r="O171" t="s">
        <v>391</v>
      </c>
      <c r="P171" s="1" t="s">
        <v>390</v>
      </c>
      <c r="Q171" s="25">
        <v>41.994224000000003</v>
      </c>
      <c r="R171" s="25">
        <v>-71.351927000000003</v>
      </c>
      <c r="S171">
        <v>-11.6043</v>
      </c>
      <c r="T171">
        <v>-13.925000000000001</v>
      </c>
      <c r="U171">
        <v>11.6043</v>
      </c>
      <c r="V171" t="s">
        <v>1537</v>
      </c>
      <c r="W171" t="s">
        <v>14</v>
      </c>
      <c r="X171" t="s">
        <v>17</v>
      </c>
      <c r="Y171" s="1" t="s">
        <v>1326</v>
      </c>
    </row>
    <row r="172" spans="1:25" x14ac:dyDescent="0.25">
      <c r="A172" s="4">
        <v>307</v>
      </c>
      <c r="B172" s="9" t="s">
        <v>1330</v>
      </c>
      <c r="C172" s="8" t="s">
        <v>1329</v>
      </c>
      <c r="D172" s="10" t="s">
        <v>434</v>
      </c>
      <c r="E172" s="10">
        <v>6</v>
      </c>
      <c r="F172">
        <v>0.784438262356421</v>
      </c>
      <c r="G172">
        <v>0.63078120804861904</v>
      </c>
      <c r="H172" t="s">
        <v>92</v>
      </c>
      <c r="I172" t="s">
        <v>24</v>
      </c>
      <c r="J172" t="s">
        <v>185</v>
      </c>
      <c r="K172" t="s">
        <v>212</v>
      </c>
      <c r="L172">
        <v>319</v>
      </c>
      <c r="M172" t="s">
        <v>1799</v>
      </c>
      <c r="N172">
        <v>320</v>
      </c>
      <c r="O172" t="s">
        <v>391</v>
      </c>
      <c r="P172" s="1" t="s">
        <v>390</v>
      </c>
      <c r="Q172" s="25">
        <v>41.994224000000003</v>
      </c>
      <c r="R172" s="25">
        <v>-71.351927000000003</v>
      </c>
      <c r="S172">
        <v>-11.6043</v>
      </c>
      <c r="T172">
        <v>-13.925000000000001</v>
      </c>
      <c r="U172">
        <v>11.6043</v>
      </c>
      <c r="V172" t="s">
        <v>1537</v>
      </c>
      <c r="W172" t="s">
        <v>14</v>
      </c>
      <c r="X172" t="s">
        <v>17</v>
      </c>
      <c r="Y172" s="1" t="s">
        <v>1326</v>
      </c>
    </row>
    <row r="173" spans="1:25" x14ac:dyDescent="0.25">
      <c r="A173" s="4">
        <v>308</v>
      </c>
      <c r="B173" s="9">
        <v>489</v>
      </c>
      <c r="C173" s="8" t="s">
        <v>298</v>
      </c>
      <c r="D173" s="6" t="s">
        <v>130</v>
      </c>
      <c r="E173" s="10">
        <v>6</v>
      </c>
      <c r="F173">
        <v>59.690000458303501</v>
      </c>
      <c r="G173">
        <v>19.191314802001799</v>
      </c>
      <c r="H173" t="s">
        <v>92</v>
      </c>
      <c r="I173" t="s">
        <v>24</v>
      </c>
      <c r="J173" t="s">
        <v>185</v>
      </c>
      <c r="K173" t="s">
        <v>212</v>
      </c>
      <c r="L173">
        <v>319</v>
      </c>
      <c r="M173" t="s">
        <v>1799</v>
      </c>
      <c r="N173">
        <v>320</v>
      </c>
      <c r="O173" s="1" t="s">
        <v>97</v>
      </c>
      <c r="P173" s="1" t="s">
        <v>201</v>
      </c>
      <c r="Q173" s="25">
        <v>33.812252000000001</v>
      </c>
      <c r="R173" s="25">
        <f>-87.164963</f>
        <v>-87.164963</v>
      </c>
      <c r="S173">
        <v>-14.348800000000001</v>
      </c>
      <c r="T173">
        <v>-28.94</v>
      </c>
      <c r="U173">
        <v>14.348800000000001</v>
      </c>
      <c r="V173" t="s">
        <v>1538</v>
      </c>
      <c r="W173" t="s">
        <v>13</v>
      </c>
      <c r="X173" t="s">
        <v>17</v>
      </c>
      <c r="Y173" s="1" t="s">
        <v>1367</v>
      </c>
    </row>
    <row r="174" spans="1:25" x14ac:dyDescent="0.25">
      <c r="A174" s="4">
        <v>309</v>
      </c>
      <c r="B174" s="9">
        <v>118</v>
      </c>
      <c r="C174" s="8" t="s">
        <v>298</v>
      </c>
      <c r="D174" s="6" t="s">
        <v>130</v>
      </c>
      <c r="E174" s="10">
        <v>6</v>
      </c>
      <c r="F174">
        <v>52.550267168719003</v>
      </c>
      <c r="G174">
        <v>15.278842911365601</v>
      </c>
      <c r="H174" t="s">
        <v>92</v>
      </c>
      <c r="I174" t="s">
        <v>24</v>
      </c>
      <c r="J174" t="s">
        <v>185</v>
      </c>
      <c r="K174" t="s">
        <v>212</v>
      </c>
      <c r="L174">
        <v>319</v>
      </c>
      <c r="M174" t="s">
        <v>1799</v>
      </c>
      <c r="N174">
        <v>320</v>
      </c>
      <c r="O174" s="1" t="s">
        <v>97</v>
      </c>
      <c r="P174" s="1" t="s">
        <v>201</v>
      </c>
      <c r="Q174" s="25">
        <v>33.812252000000001</v>
      </c>
      <c r="R174" s="25">
        <f>-87.164963</f>
        <v>-87.164963</v>
      </c>
      <c r="S174">
        <v>-14.348800000000001</v>
      </c>
      <c r="T174">
        <v>-28.94</v>
      </c>
      <c r="U174">
        <v>14.348800000000001</v>
      </c>
      <c r="V174" t="s">
        <v>1538</v>
      </c>
      <c r="W174" t="s">
        <v>13</v>
      </c>
      <c r="X174" t="s">
        <v>17</v>
      </c>
      <c r="Y174" s="1" t="s">
        <v>1367</v>
      </c>
    </row>
    <row r="175" spans="1:25" x14ac:dyDescent="0.25">
      <c r="A175" s="4">
        <v>310</v>
      </c>
      <c r="B175" s="9">
        <v>1207</v>
      </c>
      <c r="C175" s="8" t="s">
        <v>298</v>
      </c>
      <c r="D175" s="6" t="s">
        <v>130</v>
      </c>
      <c r="E175" s="10">
        <v>6</v>
      </c>
      <c r="F175">
        <v>61.629115158203398</v>
      </c>
      <c r="G175">
        <v>13.8368149372325</v>
      </c>
      <c r="H175" t="s">
        <v>92</v>
      </c>
      <c r="I175" t="s">
        <v>24</v>
      </c>
      <c r="J175" t="s">
        <v>185</v>
      </c>
      <c r="K175" t="s">
        <v>212</v>
      </c>
      <c r="L175">
        <v>319</v>
      </c>
      <c r="M175" t="s">
        <v>1799</v>
      </c>
      <c r="N175">
        <v>320</v>
      </c>
      <c r="O175" s="1" t="s">
        <v>97</v>
      </c>
      <c r="P175" s="1" t="s">
        <v>201</v>
      </c>
      <c r="Q175" s="25">
        <v>33.812252000000001</v>
      </c>
      <c r="R175" s="25">
        <f>-87.164963</f>
        <v>-87.164963</v>
      </c>
      <c r="S175">
        <v>-14.348800000000001</v>
      </c>
      <c r="T175">
        <v>-28.94</v>
      </c>
      <c r="U175">
        <v>14.348800000000001</v>
      </c>
      <c r="V175" t="s">
        <v>1538</v>
      </c>
      <c r="W175" t="s">
        <v>13</v>
      </c>
      <c r="X175" t="s">
        <v>17</v>
      </c>
      <c r="Y175" s="1" t="s">
        <v>1367</v>
      </c>
    </row>
    <row r="176" spans="1:25" x14ac:dyDescent="0.25">
      <c r="A176" s="4">
        <v>311</v>
      </c>
      <c r="B176" s="9">
        <v>546</v>
      </c>
      <c r="C176" s="8" t="s">
        <v>298</v>
      </c>
      <c r="D176" s="6" t="s">
        <v>130</v>
      </c>
      <c r="E176" s="10">
        <v>6</v>
      </c>
      <c r="F176">
        <v>28.040397736667501</v>
      </c>
      <c r="G176">
        <v>13.153764213944299</v>
      </c>
      <c r="H176" t="s">
        <v>92</v>
      </c>
      <c r="I176" t="s">
        <v>24</v>
      </c>
      <c r="J176" t="s">
        <v>185</v>
      </c>
      <c r="K176" t="s">
        <v>212</v>
      </c>
      <c r="L176">
        <v>319</v>
      </c>
      <c r="M176" t="s">
        <v>1799</v>
      </c>
      <c r="N176">
        <v>320</v>
      </c>
      <c r="O176" s="1" t="s">
        <v>97</v>
      </c>
      <c r="P176" s="1" t="s">
        <v>201</v>
      </c>
      <c r="Q176" s="25">
        <v>33.812252000000001</v>
      </c>
      <c r="R176" s="25">
        <f>-87.164963</f>
        <v>-87.164963</v>
      </c>
      <c r="S176">
        <v>-14.348800000000001</v>
      </c>
      <c r="T176">
        <v>-28.94</v>
      </c>
      <c r="U176">
        <v>14.348800000000001</v>
      </c>
      <c r="V176" t="s">
        <v>1538</v>
      </c>
      <c r="W176" t="s">
        <v>13</v>
      </c>
      <c r="X176" t="s">
        <v>17</v>
      </c>
      <c r="Y176" s="1" t="s">
        <v>1367</v>
      </c>
    </row>
    <row r="177" spans="1:25" x14ac:dyDescent="0.25">
      <c r="A177" s="4">
        <v>312</v>
      </c>
      <c r="B177" s="9">
        <v>556</v>
      </c>
      <c r="C177" s="8" t="s">
        <v>298</v>
      </c>
      <c r="D177" s="6" t="s">
        <v>130</v>
      </c>
      <c r="E177" s="10">
        <v>6</v>
      </c>
      <c r="F177">
        <v>38.958929904724499</v>
      </c>
      <c r="G177">
        <v>11.238891433322401</v>
      </c>
      <c r="H177" t="s">
        <v>92</v>
      </c>
      <c r="I177" t="s">
        <v>24</v>
      </c>
      <c r="J177" t="s">
        <v>185</v>
      </c>
      <c r="K177" t="s">
        <v>212</v>
      </c>
      <c r="L177">
        <v>319</v>
      </c>
      <c r="M177" t="s">
        <v>1799</v>
      </c>
      <c r="N177">
        <v>320</v>
      </c>
      <c r="O177" s="1" t="s">
        <v>97</v>
      </c>
      <c r="P177" s="1" t="s">
        <v>201</v>
      </c>
      <c r="Q177" s="25">
        <v>33.812252000000001</v>
      </c>
      <c r="R177" s="25">
        <f>-87.164963</f>
        <v>-87.164963</v>
      </c>
      <c r="S177">
        <v>-14.348800000000001</v>
      </c>
      <c r="T177">
        <v>-28.94</v>
      </c>
      <c r="U177">
        <v>14.348800000000001</v>
      </c>
      <c r="V177" t="s">
        <v>1538</v>
      </c>
      <c r="W177" t="s">
        <v>13</v>
      </c>
      <c r="X177" t="s">
        <v>17</v>
      </c>
      <c r="Y177" s="1" t="s">
        <v>1367</v>
      </c>
    </row>
    <row r="178" spans="1:25" x14ac:dyDescent="0.25">
      <c r="A178" s="4">
        <v>313</v>
      </c>
      <c r="B178" s="9">
        <v>1118</v>
      </c>
      <c r="C178" s="8" t="s">
        <v>298</v>
      </c>
      <c r="D178" s="6" t="s">
        <v>130</v>
      </c>
      <c r="E178" s="10">
        <v>6</v>
      </c>
      <c r="F178">
        <v>28.0511015261105</v>
      </c>
      <c r="G178">
        <v>14.7196060465497</v>
      </c>
      <c r="H178" t="s">
        <v>92</v>
      </c>
      <c r="I178" t="s">
        <v>24</v>
      </c>
      <c r="J178" t="s">
        <v>185</v>
      </c>
      <c r="K178" t="s">
        <v>212</v>
      </c>
      <c r="L178">
        <v>319</v>
      </c>
      <c r="M178" t="s">
        <v>1799</v>
      </c>
      <c r="N178">
        <v>320</v>
      </c>
      <c r="O178" s="1" t="s">
        <v>97</v>
      </c>
      <c r="P178" s="1" t="s">
        <v>201</v>
      </c>
      <c r="Q178" s="25">
        <v>33.812252000000001</v>
      </c>
      <c r="R178" s="25">
        <f>-87.164963</f>
        <v>-87.164963</v>
      </c>
      <c r="S178">
        <v>-14.348800000000001</v>
      </c>
      <c r="T178">
        <v>-28.94</v>
      </c>
      <c r="U178">
        <v>14.348800000000001</v>
      </c>
      <c r="V178" t="s">
        <v>1538</v>
      </c>
      <c r="W178" t="s">
        <v>13</v>
      </c>
      <c r="X178" t="s">
        <v>17</v>
      </c>
      <c r="Y178" s="1" t="s">
        <v>1367</v>
      </c>
    </row>
    <row r="179" spans="1:25" x14ac:dyDescent="0.25">
      <c r="A179" s="4">
        <v>314</v>
      </c>
      <c r="B179" s="9">
        <v>620</v>
      </c>
      <c r="C179" s="8" t="s">
        <v>298</v>
      </c>
      <c r="D179" s="6" t="s">
        <v>130</v>
      </c>
      <c r="E179" s="10">
        <v>6</v>
      </c>
      <c r="F179">
        <v>30.448941319785298</v>
      </c>
      <c r="G179">
        <v>15.259334620015199</v>
      </c>
      <c r="H179" t="s">
        <v>92</v>
      </c>
      <c r="I179" t="s">
        <v>24</v>
      </c>
      <c r="J179" t="s">
        <v>185</v>
      </c>
      <c r="K179" t="s">
        <v>212</v>
      </c>
      <c r="L179">
        <v>319</v>
      </c>
      <c r="M179" t="s">
        <v>1799</v>
      </c>
      <c r="N179">
        <v>320</v>
      </c>
      <c r="O179" s="1" t="s">
        <v>97</v>
      </c>
      <c r="P179" s="1" t="s">
        <v>201</v>
      </c>
      <c r="Q179" s="25">
        <v>33.812252000000001</v>
      </c>
      <c r="R179" s="25">
        <f>-87.164963</f>
        <v>-87.164963</v>
      </c>
      <c r="S179">
        <v>-14.348800000000001</v>
      </c>
      <c r="T179">
        <v>-28.94</v>
      </c>
      <c r="U179">
        <v>14.348800000000001</v>
      </c>
      <c r="V179" t="s">
        <v>1538</v>
      </c>
      <c r="W179" t="s">
        <v>13</v>
      </c>
      <c r="X179" t="s">
        <v>17</v>
      </c>
      <c r="Y179" s="1" t="s">
        <v>1367</v>
      </c>
    </row>
    <row r="180" spans="1:25" x14ac:dyDescent="0.25">
      <c r="A180" s="4">
        <v>316</v>
      </c>
      <c r="B180" s="9">
        <v>689</v>
      </c>
      <c r="C180" s="8" t="s">
        <v>298</v>
      </c>
      <c r="D180" s="6" t="s">
        <v>130</v>
      </c>
      <c r="E180" s="10">
        <v>6</v>
      </c>
      <c r="F180">
        <v>30.668670844381001</v>
      </c>
      <c r="G180">
        <v>17.256353229725899</v>
      </c>
      <c r="H180" t="s">
        <v>92</v>
      </c>
      <c r="I180" t="s">
        <v>24</v>
      </c>
      <c r="J180" t="s">
        <v>185</v>
      </c>
      <c r="K180" t="s">
        <v>212</v>
      </c>
      <c r="L180">
        <v>319</v>
      </c>
      <c r="M180" t="s">
        <v>1799</v>
      </c>
      <c r="N180">
        <v>320</v>
      </c>
      <c r="O180" s="1" t="s">
        <v>97</v>
      </c>
      <c r="P180" s="1" t="s">
        <v>201</v>
      </c>
      <c r="Q180" s="25">
        <v>33.812252000000001</v>
      </c>
      <c r="R180" s="25">
        <f>-87.164963</f>
        <v>-87.164963</v>
      </c>
      <c r="S180">
        <v>-14.348800000000001</v>
      </c>
      <c r="T180">
        <v>-28.94</v>
      </c>
      <c r="U180">
        <v>14.348800000000001</v>
      </c>
      <c r="V180" t="s">
        <v>1538</v>
      </c>
      <c r="W180" t="s">
        <v>13</v>
      </c>
      <c r="X180" t="s">
        <v>17</v>
      </c>
      <c r="Y180" s="1" t="s">
        <v>1367</v>
      </c>
    </row>
    <row r="181" spans="1:25" x14ac:dyDescent="0.25">
      <c r="A181" s="4">
        <v>318</v>
      </c>
      <c r="B181" s="9">
        <v>723</v>
      </c>
      <c r="C181" s="8" t="s">
        <v>298</v>
      </c>
      <c r="D181" s="6" t="s">
        <v>130</v>
      </c>
      <c r="E181" s="10">
        <v>6</v>
      </c>
      <c r="F181">
        <v>33.611594858618197</v>
      </c>
      <c r="G181">
        <v>12.7529031824934</v>
      </c>
      <c r="H181" t="s">
        <v>92</v>
      </c>
      <c r="I181" t="s">
        <v>24</v>
      </c>
      <c r="J181" t="s">
        <v>185</v>
      </c>
      <c r="K181" t="s">
        <v>212</v>
      </c>
      <c r="L181">
        <v>319</v>
      </c>
      <c r="M181" t="s">
        <v>1799</v>
      </c>
      <c r="N181">
        <v>320</v>
      </c>
      <c r="O181" s="1" t="s">
        <v>97</v>
      </c>
      <c r="P181" s="1" t="s">
        <v>201</v>
      </c>
      <c r="Q181" s="25">
        <v>33.812252000000001</v>
      </c>
      <c r="R181" s="25">
        <f>-87.164963</f>
        <v>-87.164963</v>
      </c>
      <c r="S181">
        <v>-14.348800000000001</v>
      </c>
      <c r="T181">
        <v>-28.94</v>
      </c>
      <c r="U181">
        <v>14.348800000000001</v>
      </c>
      <c r="V181" t="s">
        <v>1538</v>
      </c>
      <c r="W181" t="s">
        <v>13</v>
      </c>
      <c r="X181" t="s">
        <v>17</v>
      </c>
      <c r="Y181" s="1" t="s">
        <v>1367</v>
      </c>
    </row>
    <row r="182" spans="1:25" x14ac:dyDescent="0.25">
      <c r="A182" s="4">
        <v>319</v>
      </c>
      <c r="B182" s="9">
        <v>959</v>
      </c>
      <c r="C182" s="8" t="s">
        <v>298</v>
      </c>
      <c r="D182" s="6" t="s">
        <v>130</v>
      </c>
      <c r="E182" s="10">
        <v>6</v>
      </c>
      <c r="F182">
        <v>48.149078227692698</v>
      </c>
      <c r="G182">
        <v>12.4539403877365</v>
      </c>
      <c r="H182" t="s">
        <v>92</v>
      </c>
      <c r="I182" t="s">
        <v>24</v>
      </c>
      <c r="J182" t="s">
        <v>185</v>
      </c>
      <c r="K182" t="s">
        <v>212</v>
      </c>
      <c r="L182">
        <v>319</v>
      </c>
      <c r="M182" t="s">
        <v>1799</v>
      </c>
      <c r="N182">
        <v>320</v>
      </c>
      <c r="O182" s="1" t="s">
        <v>97</v>
      </c>
      <c r="P182" s="1" t="s">
        <v>201</v>
      </c>
      <c r="Q182" s="25">
        <v>33.812252000000001</v>
      </c>
      <c r="R182" s="25">
        <f>-87.164963</f>
        <v>-87.164963</v>
      </c>
      <c r="S182">
        <v>-14.348800000000001</v>
      </c>
      <c r="T182">
        <v>-28.94</v>
      </c>
      <c r="U182">
        <v>14.348800000000001</v>
      </c>
      <c r="V182" t="s">
        <v>1538</v>
      </c>
      <c r="W182" t="s">
        <v>13</v>
      </c>
      <c r="X182" t="s">
        <v>17</v>
      </c>
      <c r="Y182" s="1" t="s">
        <v>1367</v>
      </c>
    </row>
    <row r="183" spans="1:25" x14ac:dyDescent="0.25">
      <c r="A183" s="4">
        <v>320</v>
      </c>
      <c r="B183" s="9">
        <v>1224</v>
      </c>
      <c r="C183" s="8" t="s">
        <v>298</v>
      </c>
      <c r="D183" s="6" t="s">
        <v>130</v>
      </c>
      <c r="E183" s="10">
        <v>6</v>
      </c>
      <c r="F183">
        <v>41.9655801388244</v>
      </c>
      <c r="G183">
        <v>20.531305577734699</v>
      </c>
      <c r="H183" t="s">
        <v>92</v>
      </c>
      <c r="I183" t="s">
        <v>24</v>
      </c>
      <c r="J183" t="s">
        <v>185</v>
      </c>
      <c r="K183" t="s">
        <v>212</v>
      </c>
      <c r="L183">
        <v>319</v>
      </c>
      <c r="M183" t="s">
        <v>1799</v>
      </c>
      <c r="N183">
        <v>320</v>
      </c>
      <c r="O183" s="1" t="s">
        <v>97</v>
      </c>
      <c r="P183" s="1" t="s">
        <v>201</v>
      </c>
      <c r="Q183" s="25">
        <v>33.812252000000001</v>
      </c>
      <c r="R183" s="25">
        <f>-87.164963</f>
        <v>-87.164963</v>
      </c>
      <c r="S183">
        <v>-14.348800000000001</v>
      </c>
      <c r="T183">
        <v>-28.94</v>
      </c>
      <c r="U183">
        <v>14.348800000000001</v>
      </c>
      <c r="V183" t="s">
        <v>1538</v>
      </c>
      <c r="W183" t="s">
        <v>13</v>
      </c>
      <c r="X183" t="s">
        <v>17</v>
      </c>
      <c r="Y183" s="1" t="s">
        <v>1367</v>
      </c>
    </row>
    <row r="184" spans="1:25" x14ac:dyDescent="0.25">
      <c r="A184" s="4">
        <v>321</v>
      </c>
      <c r="B184" s="9">
        <v>2497</v>
      </c>
      <c r="C184" s="8" t="s">
        <v>298</v>
      </c>
      <c r="D184" s="6" t="s">
        <v>130</v>
      </c>
      <c r="E184" s="10">
        <v>6</v>
      </c>
      <c r="F184">
        <v>40.9960125455246</v>
      </c>
      <c r="G184">
        <v>8.8854069911092495</v>
      </c>
      <c r="H184" t="s">
        <v>92</v>
      </c>
      <c r="I184" t="s">
        <v>24</v>
      </c>
      <c r="J184" t="s">
        <v>185</v>
      </c>
      <c r="K184" t="s">
        <v>212</v>
      </c>
      <c r="L184">
        <v>319</v>
      </c>
      <c r="M184" t="s">
        <v>1799</v>
      </c>
      <c r="N184">
        <v>320</v>
      </c>
      <c r="O184" s="1" t="s">
        <v>97</v>
      </c>
      <c r="P184" s="1" t="s">
        <v>201</v>
      </c>
      <c r="Q184" s="25">
        <v>33.812252000000001</v>
      </c>
      <c r="R184" s="25">
        <f>-87.164963</f>
        <v>-87.164963</v>
      </c>
      <c r="S184">
        <v>-14.348800000000001</v>
      </c>
      <c r="T184">
        <v>-28.94</v>
      </c>
      <c r="U184">
        <v>14.348800000000001</v>
      </c>
      <c r="V184" t="s">
        <v>1538</v>
      </c>
      <c r="W184" t="s">
        <v>13</v>
      </c>
      <c r="X184" t="s">
        <v>17</v>
      </c>
      <c r="Y184" s="1" t="s">
        <v>1367</v>
      </c>
    </row>
    <row r="185" spans="1:25" x14ac:dyDescent="0.25">
      <c r="A185" s="4">
        <v>322</v>
      </c>
      <c r="B185" s="9">
        <v>1117</v>
      </c>
      <c r="C185" s="8" t="s">
        <v>298</v>
      </c>
      <c r="D185" s="6" t="s">
        <v>130</v>
      </c>
      <c r="E185" s="10">
        <v>6</v>
      </c>
      <c r="F185">
        <v>37.493661928565402</v>
      </c>
      <c r="G185">
        <v>10.1055210446163</v>
      </c>
      <c r="H185" t="s">
        <v>92</v>
      </c>
      <c r="I185" t="s">
        <v>24</v>
      </c>
      <c r="J185" t="s">
        <v>185</v>
      </c>
      <c r="K185" t="s">
        <v>212</v>
      </c>
      <c r="L185">
        <v>319</v>
      </c>
      <c r="M185" t="s">
        <v>1799</v>
      </c>
      <c r="N185">
        <v>320</v>
      </c>
      <c r="O185" s="1" t="s">
        <v>97</v>
      </c>
      <c r="P185" s="1" t="s">
        <v>201</v>
      </c>
      <c r="Q185" s="25">
        <v>33.812252000000001</v>
      </c>
      <c r="R185" s="25">
        <f>-87.164963</f>
        <v>-87.164963</v>
      </c>
      <c r="S185">
        <v>-14.348800000000001</v>
      </c>
      <c r="T185">
        <v>-28.94</v>
      </c>
      <c r="U185">
        <v>14.348800000000001</v>
      </c>
      <c r="V185" t="s">
        <v>1538</v>
      </c>
      <c r="W185" t="s">
        <v>13</v>
      </c>
      <c r="X185" t="s">
        <v>17</v>
      </c>
      <c r="Y185" s="1" t="s">
        <v>1367</v>
      </c>
    </row>
    <row r="186" spans="1:25" x14ac:dyDescent="0.25">
      <c r="A186" s="4">
        <v>323</v>
      </c>
      <c r="B186" s="9">
        <v>1264</v>
      </c>
      <c r="C186" s="8" t="s">
        <v>298</v>
      </c>
      <c r="D186" s="6" t="s">
        <v>130</v>
      </c>
      <c r="E186" s="10">
        <v>6</v>
      </c>
      <c r="F186">
        <v>28.943941385478201</v>
      </c>
      <c r="G186">
        <v>15.2441526848783</v>
      </c>
      <c r="H186" t="s">
        <v>92</v>
      </c>
      <c r="I186" t="s">
        <v>24</v>
      </c>
      <c r="J186" t="s">
        <v>185</v>
      </c>
      <c r="K186" t="s">
        <v>212</v>
      </c>
      <c r="L186">
        <v>319</v>
      </c>
      <c r="M186" t="s">
        <v>1799</v>
      </c>
      <c r="N186">
        <v>320</v>
      </c>
      <c r="O186" s="1" t="s">
        <v>97</v>
      </c>
      <c r="P186" s="1" t="s">
        <v>201</v>
      </c>
      <c r="Q186" s="25">
        <v>33.812252000000001</v>
      </c>
      <c r="R186" s="25">
        <f>-87.164963</f>
        <v>-87.164963</v>
      </c>
      <c r="S186">
        <v>-14.348800000000001</v>
      </c>
      <c r="T186">
        <v>-28.94</v>
      </c>
      <c r="U186">
        <v>14.348800000000001</v>
      </c>
      <c r="V186" t="s">
        <v>1538</v>
      </c>
      <c r="W186" t="s">
        <v>13</v>
      </c>
      <c r="X186" t="s">
        <v>17</v>
      </c>
      <c r="Y186" s="1" t="s">
        <v>1367</v>
      </c>
    </row>
    <row r="187" spans="1:25" x14ac:dyDescent="0.25">
      <c r="A187" s="4">
        <v>325</v>
      </c>
      <c r="B187" s="9">
        <v>1265</v>
      </c>
      <c r="C187" s="8" t="s">
        <v>298</v>
      </c>
      <c r="D187" s="6" t="s">
        <v>130</v>
      </c>
      <c r="E187" s="10">
        <v>6</v>
      </c>
      <c r="F187">
        <v>26.6819041865899</v>
      </c>
      <c r="G187">
        <v>7.1413022914331101</v>
      </c>
      <c r="H187" t="s">
        <v>92</v>
      </c>
      <c r="I187" t="s">
        <v>24</v>
      </c>
      <c r="J187" t="s">
        <v>185</v>
      </c>
      <c r="K187" t="s">
        <v>212</v>
      </c>
      <c r="L187">
        <v>319</v>
      </c>
      <c r="M187" t="s">
        <v>1799</v>
      </c>
      <c r="N187">
        <v>320</v>
      </c>
      <c r="O187" s="1" t="s">
        <v>97</v>
      </c>
      <c r="P187" s="1" t="s">
        <v>201</v>
      </c>
      <c r="Q187" s="25">
        <v>33.812252000000001</v>
      </c>
      <c r="R187" s="25">
        <f>-87.164963</f>
        <v>-87.164963</v>
      </c>
      <c r="S187">
        <v>-14.348800000000001</v>
      </c>
      <c r="T187">
        <v>-28.94</v>
      </c>
      <c r="U187">
        <v>14.348800000000001</v>
      </c>
      <c r="V187" t="s">
        <v>1538</v>
      </c>
      <c r="W187" t="s">
        <v>13</v>
      </c>
      <c r="X187" t="s">
        <v>17</v>
      </c>
      <c r="Y187" s="1" t="s">
        <v>1367</v>
      </c>
    </row>
    <row r="188" spans="1:25" x14ac:dyDescent="0.25">
      <c r="A188" s="4">
        <v>326</v>
      </c>
      <c r="B188" s="9">
        <v>1402</v>
      </c>
      <c r="C188" s="8" t="s">
        <v>298</v>
      </c>
      <c r="D188" s="6" t="s">
        <v>130</v>
      </c>
      <c r="E188" s="10">
        <v>6</v>
      </c>
      <c r="F188">
        <v>34.393573135840299</v>
      </c>
      <c r="G188">
        <v>7.4142914062600198</v>
      </c>
      <c r="H188" t="s">
        <v>92</v>
      </c>
      <c r="I188" t="s">
        <v>24</v>
      </c>
      <c r="J188" t="s">
        <v>185</v>
      </c>
      <c r="K188" t="s">
        <v>212</v>
      </c>
      <c r="L188">
        <v>319</v>
      </c>
      <c r="M188" t="s">
        <v>1799</v>
      </c>
      <c r="N188">
        <v>320</v>
      </c>
      <c r="O188" s="1" t="s">
        <v>97</v>
      </c>
      <c r="P188" s="1" t="s">
        <v>201</v>
      </c>
      <c r="Q188" s="25">
        <v>33.812252000000001</v>
      </c>
      <c r="R188" s="25">
        <f>-87.164963</f>
        <v>-87.164963</v>
      </c>
      <c r="S188">
        <v>-14.348800000000001</v>
      </c>
      <c r="T188">
        <v>-28.94</v>
      </c>
      <c r="U188">
        <v>14.348800000000001</v>
      </c>
      <c r="V188" t="s">
        <v>1538</v>
      </c>
      <c r="W188" t="s">
        <v>13</v>
      </c>
      <c r="X188" t="s">
        <v>17</v>
      </c>
      <c r="Y188" s="1" t="s">
        <v>1367</v>
      </c>
    </row>
    <row r="189" spans="1:25" x14ac:dyDescent="0.25">
      <c r="A189" s="4">
        <v>327</v>
      </c>
      <c r="B189" s="9">
        <v>479</v>
      </c>
      <c r="C189" s="8" t="s">
        <v>298</v>
      </c>
      <c r="D189" s="6" t="s">
        <v>130</v>
      </c>
      <c r="E189" s="10">
        <v>6</v>
      </c>
      <c r="F189">
        <v>31.586226437440601</v>
      </c>
      <c r="G189">
        <v>12.0897245509497</v>
      </c>
      <c r="H189" t="s">
        <v>92</v>
      </c>
      <c r="I189" t="s">
        <v>24</v>
      </c>
      <c r="J189" t="s">
        <v>185</v>
      </c>
      <c r="K189" t="s">
        <v>212</v>
      </c>
      <c r="L189">
        <v>319</v>
      </c>
      <c r="M189" t="s">
        <v>1799</v>
      </c>
      <c r="N189">
        <v>320</v>
      </c>
      <c r="O189" s="1" t="s">
        <v>97</v>
      </c>
      <c r="P189" s="1" t="s">
        <v>201</v>
      </c>
      <c r="Q189" s="25">
        <v>33.812252000000001</v>
      </c>
      <c r="R189" s="25">
        <f>-87.164963</f>
        <v>-87.164963</v>
      </c>
      <c r="S189">
        <v>-14.348800000000001</v>
      </c>
      <c r="T189">
        <v>-28.94</v>
      </c>
      <c r="U189">
        <v>14.348800000000001</v>
      </c>
      <c r="V189" t="s">
        <v>1538</v>
      </c>
      <c r="W189" t="s">
        <v>13</v>
      </c>
      <c r="X189" t="s">
        <v>17</v>
      </c>
      <c r="Y189" s="1" t="s">
        <v>1367</v>
      </c>
    </row>
    <row r="190" spans="1:25" x14ac:dyDescent="0.25">
      <c r="A190" s="4">
        <v>328</v>
      </c>
      <c r="B190" s="9">
        <v>1220</v>
      </c>
      <c r="C190" s="8" t="s">
        <v>298</v>
      </c>
      <c r="D190" s="6" t="s">
        <v>130</v>
      </c>
      <c r="E190" s="10">
        <v>6</v>
      </c>
      <c r="F190">
        <v>37.773723650910597</v>
      </c>
      <c r="G190">
        <v>15.5775831995707</v>
      </c>
      <c r="H190" t="s">
        <v>92</v>
      </c>
      <c r="I190" t="s">
        <v>24</v>
      </c>
      <c r="J190" t="s">
        <v>185</v>
      </c>
      <c r="K190" t="s">
        <v>212</v>
      </c>
      <c r="L190">
        <v>319</v>
      </c>
      <c r="M190" t="s">
        <v>1799</v>
      </c>
      <c r="N190">
        <v>320</v>
      </c>
      <c r="O190" s="1" t="s">
        <v>97</v>
      </c>
      <c r="P190" s="1" t="s">
        <v>201</v>
      </c>
      <c r="Q190" s="25">
        <v>33.812252000000001</v>
      </c>
      <c r="R190" s="25">
        <f>-87.164963</f>
        <v>-87.164963</v>
      </c>
      <c r="S190">
        <v>-14.348800000000001</v>
      </c>
      <c r="T190">
        <v>-28.94</v>
      </c>
      <c r="U190">
        <v>14.348800000000001</v>
      </c>
      <c r="V190" t="s">
        <v>1538</v>
      </c>
      <c r="W190" t="s">
        <v>13</v>
      </c>
      <c r="X190" t="s">
        <v>17</v>
      </c>
      <c r="Y190" s="1" t="s">
        <v>1367</v>
      </c>
    </row>
    <row r="191" spans="1:25" x14ac:dyDescent="0.25">
      <c r="A191" s="4">
        <v>329</v>
      </c>
      <c r="B191" s="9">
        <v>692</v>
      </c>
      <c r="C191" s="8" t="s">
        <v>298</v>
      </c>
      <c r="D191" s="6" t="s">
        <v>130</v>
      </c>
      <c r="E191" s="10">
        <v>6</v>
      </c>
      <c r="F191">
        <v>43.534123266976799</v>
      </c>
      <c r="G191">
        <v>9.2173511396197298</v>
      </c>
      <c r="H191" t="s">
        <v>92</v>
      </c>
      <c r="I191" t="s">
        <v>24</v>
      </c>
      <c r="J191" t="s">
        <v>185</v>
      </c>
      <c r="K191" t="s">
        <v>212</v>
      </c>
      <c r="L191">
        <v>319</v>
      </c>
      <c r="M191" t="s">
        <v>1799</v>
      </c>
      <c r="N191">
        <v>320</v>
      </c>
      <c r="O191" s="1" t="s">
        <v>97</v>
      </c>
      <c r="P191" s="1" t="s">
        <v>201</v>
      </c>
      <c r="Q191" s="25">
        <v>33.812252000000001</v>
      </c>
      <c r="R191" s="25">
        <f>-87.164963</f>
        <v>-87.164963</v>
      </c>
      <c r="S191">
        <v>-14.348800000000001</v>
      </c>
      <c r="T191">
        <v>-28.94</v>
      </c>
      <c r="U191">
        <v>14.348800000000001</v>
      </c>
      <c r="V191" t="s">
        <v>1538</v>
      </c>
      <c r="W191" t="s">
        <v>13</v>
      </c>
      <c r="X191" t="s">
        <v>17</v>
      </c>
      <c r="Y191" s="1" t="s">
        <v>1367</v>
      </c>
    </row>
    <row r="192" spans="1:25" x14ac:dyDescent="0.25">
      <c r="A192" s="4">
        <v>330</v>
      </c>
      <c r="B192" s="9">
        <v>1410</v>
      </c>
      <c r="C192" s="8" t="s">
        <v>298</v>
      </c>
      <c r="D192" s="6" t="s">
        <v>130</v>
      </c>
      <c r="E192" s="10">
        <v>6</v>
      </c>
      <c r="F192">
        <v>31.084582580649499</v>
      </c>
      <c r="G192">
        <v>11.2827830495855</v>
      </c>
      <c r="H192" t="s">
        <v>92</v>
      </c>
      <c r="I192" t="s">
        <v>24</v>
      </c>
      <c r="J192" t="s">
        <v>185</v>
      </c>
      <c r="K192" t="s">
        <v>212</v>
      </c>
      <c r="L192">
        <v>319</v>
      </c>
      <c r="M192" t="s">
        <v>1799</v>
      </c>
      <c r="N192">
        <v>320</v>
      </c>
      <c r="O192" s="1" t="s">
        <v>97</v>
      </c>
      <c r="P192" s="1" t="s">
        <v>201</v>
      </c>
      <c r="Q192" s="25">
        <v>33.812252000000001</v>
      </c>
      <c r="R192" s="25">
        <f>-87.164963</f>
        <v>-87.164963</v>
      </c>
      <c r="S192">
        <v>-14.348800000000001</v>
      </c>
      <c r="T192">
        <v>-28.94</v>
      </c>
      <c r="U192">
        <v>14.348800000000001</v>
      </c>
      <c r="V192" t="s">
        <v>1538</v>
      </c>
      <c r="W192" t="s">
        <v>13</v>
      </c>
      <c r="X192" t="s">
        <v>17</v>
      </c>
      <c r="Y192" s="1" t="s">
        <v>1367</v>
      </c>
    </row>
    <row r="193" spans="1:25" x14ac:dyDescent="0.25">
      <c r="A193" s="4">
        <v>331</v>
      </c>
      <c r="B193" s="9">
        <v>1801</v>
      </c>
      <c r="C193" s="8" t="s">
        <v>298</v>
      </c>
      <c r="D193" s="6" t="s">
        <v>130</v>
      </c>
      <c r="E193" s="10">
        <v>6</v>
      </c>
      <c r="F193">
        <v>30.696659326996901</v>
      </c>
      <c r="G193">
        <v>10.5852513266146</v>
      </c>
      <c r="H193" t="s">
        <v>92</v>
      </c>
      <c r="I193" t="s">
        <v>24</v>
      </c>
      <c r="J193" t="s">
        <v>185</v>
      </c>
      <c r="K193" t="s">
        <v>212</v>
      </c>
      <c r="L193">
        <v>319</v>
      </c>
      <c r="M193" t="s">
        <v>1799</v>
      </c>
      <c r="N193">
        <v>320</v>
      </c>
      <c r="O193" s="1" t="s">
        <v>97</v>
      </c>
      <c r="P193" s="1" t="s">
        <v>201</v>
      </c>
      <c r="Q193" s="25">
        <v>33.812252000000001</v>
      </c>
      <c r="R193" s="25">
        <f>-87.164963</f>
        <v>-87.164963</v>
      </c>
      <c r="S193">
        <v>-14.348800000000001</v>
      </c>
      <c r="T193">
        <v>-28.94</v>
      </c>
      <c r="U193">
        <v>14.348800000000001</v>
      </c>
      <c r="V193" t="s">
        <v>1538</v>
      </c>
      <c r="W193" t="s">
        <v>13</v>
      </c>
      <c r="X193" t="s">
        <v>17</v>
      </c>
      <c r="Y193" s="1" t="s">
        <v>1367</v>
      </c>
    </row>
    <row r="194" spans="1:25" x14ac:dyDescent="0.25">
      <c r="A194" s="4">
        <v>332</v>
      </c>
      <c r="B194" s="9">
        <v>1281</v>
      </c>
      <c r="C194" s="8" t="s">
        <v>298</v>
      </c>
      <c r="D194" s="6" t="s">
        <v>130</v>
      </c>
      <c r="E194" s="10">
        <v>6</v>
      </c>
      <c r="F194">
        <v>45.112413994802502</v>
      </c>
      <c r="G194">
        <v>12.182573509295199</v>
      </c>
      <c r="H194" t="s">
        <v>92</v>
      </c>
      <c r="I194" t="s">
        <v>24</v>
      </c>
      <c r="J194" t="s">
        <v>185</v>
      </c>
      <c r="K194" t="s">
        <v>212</v>
      </c>
      <c r="L194">
        <v>319</v>
      </c>
      <c r="M194" t="s">
        <v>1799</v>
      </c>
      <c r="N194">
        <v>320</v>
      </c>
      <c r="O194" s="1" t="s">
        <v>97</v>
      </c>
      <c r="P194" s="1" t="s">
        <v>201</v>
      </c>
      <c r="Q194" s="25">
        <v>33.812252000000001</v>
      </c>
      <c r="R194" s="25">
        <f>-87.164963</f>
        <v>-87.164963</v>
      </c>
      <c r="S194">
        <v>-14.348800000000001</v>
      </c>
      <c r="T194">
        <v>-28.94</v>
      </c>
      <c r="U194">
        <v>14.348800000000001</v>
      </c>
      <c r="V194" t="s">
        <v>1538</v>
      </c>
      <c r="W194" t="s">
        <v>13</v>
      </c>
      <c r="X194" t="s">
        <v>17</v>
      </c>
      <c r="Y194" s="1" t="s">
        <v>1367</v>
      </c>
    </row>
    <row r="195" spans="1:25" x14ac:dyDescent="0.25">
      <c r="A195" s="4">
        <v>333</v>
      </c>
      <c r="B195" s="9">
        <v>1281</v>
      </c>
      <c r="C195" s="8" t="s">
        <v>298</v>
      </c>
      <c r="D195" s="6" t="s">
        <v>130</v>
      </c>
      <c r="E195" s="10">
        <v>6</v>
      </c>
      <c r="F195">
        <v>35.289057483370897</v>
      </c>
      <c r="G195">
        <v>9.1753855022438398</v>
      </c>
      <c r="H195" t="s">
        <v>92</v>
      </c>
      <c r="I195" t="s">
        <v>24</v>
      </c>
      <c r="J195" t="s">
        <v>185</v>
      </c>
      <c r="K195" t="s">
        <v>212</v>
      </c>
      <c r="L195">
        <v>319</v>
      </c>
      <c r="M195" t="s">
        <v>1799</v>
      </c>
      <c r="N195">
        <v>320</v>
      </c>
      <c r="O195" s="1" t="s">
        <v>97</v>
      </c>
      <c r="P195" s="1" t="s">
        <v>201</v>
      </c>
      <c r="Q195" s="25">
        <v>33.812252000000001</v>
      </c>
      <c r="R195" s="25">
        <f>-87.164963</f>
        <v>-87.164963</v>
      </c>
      <c r="S195">
        <v>-14.348800000000001</v>
      </c>
      <c r="T195">
        <v>-28.94</v>
      </c>
      <c r="U195">
        <v>14.348800000000001</v>
      </c>
      <c r="V195" t="s">
        <v>1538</v>
      </c>
      <c r="W195" t="s">
        <v>13</v>
      </c>
      <c r="X195" t="s">
        <v>17</v>
      </c>
      <c r="Y195" s="1" t="s">
        <v>1367</v>
      </c>
    </row>
    <row r="196" spans="1:25" x14ac:dyDescent="0.25">
      <c r="A196" s="4">
        <v>334</v>
      </c>
      <c r="B196" s="9">
        <v>1349</v>
      </c>
      <c r="C196" s="8" t="s">
        <v>298</v>
      </c>
      <c r="D196" s="6" t="s">
        <v>130</v>
      </c>
      <c r="E196" s="10">
        <v>6</v>
      </c>
      <c r="F196">
        <v>28.4599598080863</v>
      </c>
      <c r="G196">
        <v>8.2463175772050405</v>
      </c>
      <c r="H196" t="s">
        <v>92</v>
      </c>
      <c r="I196" t="s">
        <v>24</v>
      </c>
      <c r="J196" t="s">
        <v>185</v>
      </c>
      <c r="K196" t="s">
        <v>212</v>
      </c>
      <c r="L196">
        <v>319</v>
      </c>
      <c r="M196" t="s">
        <v>1799</v>
      </c>
      <c r="N196">
        <v>320</v>
      </c>
      <c r="O196" s="1" t="s">
        <v>97</v>
      </c>
      <c r="P196" s="1" t="s">
        <v>201</v>
      </c>
      <c r="Q196" s="25">
        <v>33.812252000000001</v>
      </c>
      <c r="R196" s="25">
        <f>-87.164963</f>
        <v>-87.164963</v>
      </c>
      <c r="S196">
        <v>-14.348800000000001</v>
      </c>
      <c r="T196">
        <v>-28.94</v>
      </c>
      <c r="U196">
        <v>14.348800000000001</v>
      </c>
      <c r="V196" t="s">
        <v>1538</v>
      </c>
      <c r="W196" t="s">
        <v>13</v>
      </c>
      <c r="X196" t="s">
        <v>17</v>
      </c>
      <c r="Y196" s="1" t="s">
        <v>1367</v>
      </c>
    </row>
    <row r="197" spans="1:25" x14ac:dyDescent="0.25">
      <c r="A197" s="4">
        <v>336</v>
      </c>
      <c r="B197" s="9">
        <v>333</v>
      </c>
      <c r="C197" s="8" t="s">
        <v>298</v>
      </c>
      <c r="D197" s="6" t="s">
        <v>130</v>
      </c>
      <c r="E197" s="10">
        <v>6</v>
      </c>
      <c r="F197">
        <v>19.865234660189699</v>
      </c>
      <c r="G197">
        <v>4.2087825148363098</v>
      </c>
      <c r="H197" t="s">
        <v>92</v>
      </c>
      <c r="I197" t="s">
        <v>24</v>
      </c>
      <c r="J197" t="s">
        <v>185</v>
      </c>
      <c r="K197" t="s">
        <v>212</v>
      </c>
      <c r="L197">
        <v>319</v>
      </c>
      <c r="M197" t="s">
        <v>1799</v>
      </c>
      <c r="N197">
        <v>320</v>
      </c>
      <c r="O197" s="1" t="s">
        <v>97</v>
      </c>
      <c r="P197" s="1" t="s">
        <v>201</v>
      </c>
      <c r="Q197" s="25">
        <v>33.812252000000001</v>
      </c>
      <c r="R197" s="25">
        <f>-87.164963</f>
        <v>-87.164963</v>
      </c>
      <c r="S197">
        <v>-14.348800000000001</v>
      </c>
      <c r="T197">
        <v>-28.94</v>
      </c>
      <c r="U197">
        <v>14.348800000000001</v>
      </c>
      <c r="V197" t="s">
        <v>1538</v>
      </c>
      <c r="W197" t="s">
        <v>13</v>
      </c>
      <c r="X197" t="s">
        <v>17</v>
      </c>
      <c r="Y197" s="1" t="s">
        <v>1367</v>
      </c>
    </row>
    <row r="198" spans="1:25" x14ac:dyDescent="0.25">
      <c r="A198" s="4">
        <v>337</v>
      </c>
      <c r="B198" s="9">
        <v>1397</v>
      </c>
      <c r="C198" s="8" t="s">
        <v>298</v>
      </c>
      <c r="D198" s="6" t="s">
        <v>130</v>
      </c>
      <c r="E198" s="10">
        <v>6</v>
      </c>
      <c r="F198">
        <v>30.3611010960546</v>
      </c>
      <c r="G198">
        <v>8.9532573918970098</v>
      </c>
      <c r="H198" t="s">
        <v>92</v>
      </c>
      <c r="I198" t="s">
        <v>24</v>
      </c>
      <c r="J198" t="s">
        <v>185</v>
      </c>
      <c r="K198" t="s">
        <v>212</v>
      </c>
      <c r="L198">
        <v>319</v>
      </c>
      <c r="M198" t="s">
        <v>1799</v>
      </c>
      <c r="N198">
        <v>320</v>
      </c>
      <c r="O198" s="1" t="s">
        <v>97</v>
      </c>
      <c r="P198" s="1" t="s">
        <v>201</v>
      </c>
      <c r="Q198" s="25">
        <v>33.812252000000001</v>
      </c>
      <c r="R198" s="25">
        <f>-87.164963</f>
        <v>-87.164963</v>
      </c>
      <c r="S198">
        <v>-14.348800000000001</v>
      </c>
      <c r="T198">
        <v>-28.94</v>
      </c>
      <c r="U198">
        <v>14.348800000000001</v>
      </c>
      <c r="V198" t="s">
        <v>1538</v>
      </c>
      <c r="W198" t="s">
        <v>13</v>
      </c>
      <c r="X198" t="s">
        <v>17</v>
      </c>
      <c r="Y198" s="1" t="s">
        <v>1367</v>
      </c>
    </row>
    <row r="199" spans="1:25" x14ac:dyDescent="0.25">
      <c r="A199" s="4">
        <v>338</v>
      </c>
      <c r="B199" s="9">
        <v>2495</v>
      </c>
      <c r="C199" s="8" t="s">
        <v>298</v>
      </c>
      <c r="D199" s="6" t="s">
        <v>130</v>
      </c>
      <c r="E199" s="10">
        <v>6</v>
      </c>
      <c r="F199">
        <v>40.032636359176699</v>
      </c>
      <c r="G199">
        <v>13.365390298506499</v>
      </c>
      <c r="H199" t="s">
        <v>92</v>
      </c>
      <c r="I199" t="s">
        <v>24</v>
      </c>
      <c r="J199" t="s">
        <v>185</v>
      </c>
      <c r="K199" t="s">
        <v>212</v>
      </c>
      <c r="L199">
        <v>319</v>
      </c>
      <c r="M199" t="s">
        <v>1799</v>
      </c>
      <c r="N199">
        <v>320</v>
      </c>
      <c r="O199" s="1" t="s">
        <v>97</v>
      </c>
      <c r="P199" s="1" t="s">
        <v>201</v>
      </c>
      <c r="Q199" s="25">
        <v>33.812252000000001</v>
      </c>
      <c r="R199" s="25">
        <f>-87.164963</f>
        <v>-87.164963</v>
      </c>
      <c r="S199">
        <v>-14.348800000000001</v>
      </c>
      <c r="T199">
        <v>-28.94</v>
      </c>
      <c r="U199">
        <v>14.348800000000001</v>
      </c>
      <c r="V199" t="s">
        <v>1538</v>
      </c>
      <c r="W199" t="s">
        <v>13</v>
      </c>
      <c r="X199" t="s">
        <v>17</v>
      </c>
      <c r="Y199" s="1" t="s">
        <v>1367</v>
      </c>
    </row>
    <row r="200" spans="1:25" x14ac:dyDescent="0.25">
      <c r="A200" s="4">
        <v>339</v>
      </c>
      <c r="B200" s="9">
        <v>387</v>
      </c>
      <c r="C200" s="8" t="s">
        <v>298</v>
      </c>
      <c r="D200" s="6" t="s">
        <v>130</v>
      </c>
      <c r="E200" s="10">
        <v>6</v>
      </c>
      <c r="F200">
        <v>23.927086792167099</v>
      </c>
      <c r="G200">
        <v>4.7182267778212603</v>
      </c>
      <c r="H200" t="s">
        <v>92</v>
      </c>
      <c r="I200" t="s">
        <v>24</v>
      </c>
      <c r="J200" t="s">
        <v>185</v>
      </c>
      <c r="K200" t="s">
        <v>212</v>
      </c>
      <c r="L200">
        <v>319</v>
      </c>
      <c r="M200" t="s">
        <v>1799</v>
      </c>
      <c r="N200">
        <v>320</v>
      </c>
      <c r="O200" s="1" t="s">
        <v>97</v>
      </c>
      <c r="P200" s="1" t="s">
        <v>201</v>
      </c>
      <c r="Q200" s="25">
        <v>33.812252000000001</v>
      </c>
      <c r="R200" s="25">
        <f>-87.164963</f>
        <v>-87.164963</v>
      </c>
      <c r="S200">
        <v>-14.348800000000001</v>
      </c>
      <c r="T200">
        <v>-28.94</v>
      </c>
      <c r="U200">
        <v>14.348800000000001</v>
      </c>
      <c r="V200" t="s">
        <v>1538</v>
      </c>
      <c r="W200" t="s">
        <v>13</v>
      </c>
      <c r="X200" t="s">
        <v>17</v>
      </c>
      <c r="Y200" s="1" t="s">
        <v>1367</v>
      </c>
    </row>
    <row r="201" spans="1:25" x14ac:dyDescent="0.25">
      <c r="A201" s="4">
        <v>340</v>
      </c>
      <c r="B201" s="9">
        <v>1124</v>
      </c>
      <c r="C201" s="8" t="s">
        <v>298</v>
      </c>
      <c r="D201" s="6" t="s">
        <v>130</v>
      </c>
      <c r="E201" s="10">
        <v>6</v>
      </c>
      <c r="F201">
        <v>21.550722702171701</v>
      </c>
      <c r="G201">
        <v>5.1656554682716704</v>
      </c>
      <c r="H201" t="s">
        <v>92</v>
      </c>
      <c r="I201" t="s">
        <v>24</v>
      </c>
      <c r="J201" t="s">
        <v>185</v>
      </c>
      <c r="K201" t="s">
        <v>212</v>
      </c>
      <c r="L201">
        <v>319</v>
      </c>
      <c r="M201" t="s">
        <v>1799</v>
      </c>
      <c r="N201">
        <v>320</v>
      </c>
      <c r="O201" s="1" t="s">
        <v>97</v>
      </c>
      <c r="P201" s="1" t="s">
        <v>201</v>
      </c>
      <c r="Q201" s="25">
        <v>33.812252000000001</v>
      </c>
      <c r="R201" s="25">
        <f>-87.164963</f>
        <v>-87.164963</v>
      </c>
      <c r="S201">
        <v>-14.348800000000001</v>
      </c>
      <c r="T201">
        <v>-28.94</v>
      </c>
      <c r="U201">
        <v>14.348800000000001</v>
      </c>
      <c r="V201" t="s">
        <v>1538</v>
      </c>
      <c r="W201" t="s">
        <v>13</v>
      </c>
      <c r="X201" t="s">
        <v>17</v>
      </c>
      <c r="Y201" s="1" t="s">
        <v>1367</v>
      </c>
    </row>
    <row r="202" spans="1:25" x14ac:dyDescent="0.25">
      <c r="A202" s="4">
        <v>341</v>
      </c>
      <c r="B202" s="9">
        <v>1368</v>
      </c>
      <c r="C202" s="8" t="s">
        <v>298</v>
      </c>
      <c r="D202" s="6" t="s">
        <v>130</v>
      </c>
      <c r="E202" s="10">
        <v>6</v>
      </c>
      <c r="F202">
        <v>25.295416445797699</v>
      </c>
      <c r="G202">
        <v>8.3797088636754697</v>
      </c>
      <c r="H202" t="s">
        <v>92</v>
      </c>
      <c r="I202" t="s">
        <v>24</v>
      </c>
      <c r="J202" t="s">
        <v>185</v>
      </c>
      <c r="K202" t="s">
        <v>212</v>
      </c>
      <c r="L202">
        <v>319</v>
      </c>
      <c r="M202" t="s">
        <v>1799</v>
      </c>
      <c r="N202">
        <v>320</v>
      </c>
      <c r="O202" s="1" t="s">
        <v>97</v>
      </c>
      <c r="P202" s="1" t="s">
        <v>201</v>
      </c>
      <c r="Q202" s="25">
        <v>33.812252000000001</v>
      </c>
      <c r="R202" s="25">
        <f>-87.164963</f>
        <v>-87.164963</v>
      </c>
      <c r="S202">
        <v>-14.348800000000001</v>
      </c>
      <c r="T202">
        <v>-28.94</v>
      </c>
      <c r="U202">
        <v>14.348800000000001</v>
      </c>
      <c r="V202" t="s">
        <v>1538</v>
      </c>
      <c r="W202" t="s">
        <v>13</v>
      </c>
      <c r="X202" t="s">
        <v>17</v>
      </c>
      <c r="Y202" s="1" t="s">
        <v>1367</v>
      </c>
    </row>
    <row r="203" spans="1:25" x14ac:dyDescent="0.25">
      <c r="A203" s="4">
        <v>342</v>
      </c>
      <c r="B203" s="9">
        <v>1376</v>
      </c>
      <c r="C203" s="8" t="s">
        <v>298</v>
      </c>
      <c r="D203" s="6" t="s">
        <v>130</v>
      </c>
      <c r="E203" s="10">
        <v>6</v>
      </c>
      <c r="F203">
        <v>17.259676083535801</v>
      </c>
      <c r="G203">
        <v>3.7030352658719599</v>
      </c>
      <c r="H203" t="s">
        <v>92</v>
      </c>
      <c r="I203" t="s">
        <v>24</v>
      </c>
      <c r="J203" t="s">
        <v>185</v>
      </c>
      <c r="K203" t="s">
        <v>212</v>
      </c>
      <c r="L203">
        <v>319</v>
      </c>
      <c r="M203" t="s">
        <v>1799</v>
      </c>
      <c r="N203">
        <v>320</v>
      </c>
      <c r="O203" s="1" t="s">
        <v>97</v>
      </c>
      <c r="P203" s="1" t="s">
        <v>201</v>
      </c>
      <c r="Q203" s="25">
        <v>33.812252000000001</v>
      </c>
      <c r="R203" s="25">
        <f>-87.164963</f>
        <v>-87.164963</v>
      </c>
      <c r="S203">
        <v>-14.348800000000001</v>
      </c>
      <c r="T203">
        <v>-28.94</v>
      </c>
      <c r="U203">
        <v>14.348800000000001</v>
      </c>
      <c r="V203" t="s">
        <v>1538</v>
      </c>
      <c r="W203" t="s">
        <v>13</v>
      </c>
      <c r="X203" t="s">
        <v>17</v>
      </c>
      <c r="Y203" s="1" t="s">
        <v>1367</v>
      </c>
    </row>
    <row r="204" spans="1:25" x14ac:dyDescent="0.25">
      <c r="A204" s="4">
        <v>343</v>
      </c>
      <c r="B204" s="9">
        <v>1384</v>
      </c>
      <c r="C204" s="8" t="s">
        <v>298</v>
      </c>
      <c r="D204" s="6" t="s">
        <v>130</v>
      </c>
      <c r="E204" s="10">
        <v>6</v>
      </c>
      <c r="F204">
        <v>25.868782679689801</v>
      </c>
      <c r="G204">
        <v>6.9490482470623496</v>
      </c>
      <c r="H204" t="s">
        <v>92</v>
      </c>
      <c r="I204" t="s">
        <v>24</v>
      </c>
      <c r="J204" t="s">
        <v>185</v>
      </c>
      <c r="K204" t="s">
        <v>212</v>
      </c>
      <c r="L204">
        <v>319</v>
      </c>
      <c r="M204" t="s">
        <v>1799</v>
      </c>
      <c r="N204">
        <v>320</v>
      </c>
      <c r="O204" s="1" t="s">
        <v>97</v>
      </c>
      <c r="P204" s="1" t="s">
        <v>201</v>
      </c>
      <c r="Q204" s="25">
        <v>33.812252000000001</v>
      </c>
      <c r="R204" s="25">
        <f>-87.164963</f>
        <v>-87.164963</v>
      </c>
      <c r="S204">
        <v>-14.348800000000001</v>
      </c>
      <c r="T204">
        <v>-28.94</v>
      </c>
      <c r="U204">
        <v>14.348800000000001</v>
      </c>
      <c r="V204" t="s">
        <v>1538</v>
      </c>
      <c r="W204" t="s">
        <v>13</v>
      </c>
      <c r="X204" t="s">
        <v>17</v>
      </c>
      <c r="Y204" s="1" t="s">
        <v>1367</v>
      </c>
    </row>
    <row r="205" spans="1:25" x14ac:dyDescent="0.25">
      <c r="A205" s="4">
        <v>344</v>
      </c>
      <c r="B205" s="9">
        <v>1390</v>
      </c>
      <c r="C205" s="8" t="s">
        <v>298</v>
      </c>
      <c r="D205" s="6" t="s">
        <v>130</v>
      </c>
      <c r="E205" s="10">
        <v>6</v>
      </c>
      <c r="F205">
        <v>19.651118949096499</v>
      </c>
      <c r="G205">
        <v>5.5323784306468804</v>
      </c>
      <c r="H205" t="s">
        <v>92</v>
      </c>
      <c r="I205" t="s">
        <v>24</v>
      </c>
      <c r="J205" t="s">
        <v>185</v>
      </c>
      <c r="K205" t="s">
        <v>212</v>
      </c>
      <c r="L205">
        <v>319</v>
      </c>
      <c r="M205" t="s">
        <v>1799</v>
      </c>
      <c r="N205">
        <v>320</v>
      </c>
      <c r="O205" s="1" t="s">
        <v>97</v>
      </c>
      <c r="P205" s="1" t="s">
        <v>201</v>
      </c>
      <c r="Q205" s="25">
        <v>33.812252000000001</v>
      </c>
      <c r="R205" s="25">
        <f>-87.164963</f>
        <v>-87.164963</v>
      </c>
      <c r="S205">
        <v>-14.348800000000001</v>
      </c>
      <c r="T205">
        <v>-28.94</v>
      </c>
      <c r="U205">
        <v>14.348800000000001</v>
      </c>
      <c r="V205" t="s">
        <v>1538</v>
      </c>
      <c r="W205" t="s">
        <v>13</v>
      </c>
      <c r="X205" t="s">
        <v>17</v>
      </c>
      <c r="Y205" s="1" t="s">
        <v>1367</v>
      </c>
    </row>
    <row r="206" spans="1:25" x14ac:dyDescent="0.25">
      <c r="A206" s="4">
        <v>345</v>
      </c>
      <c r="B206" s="9">
        <v>485</v>
      </c>
      <c r="C206" s="8" t="s">
        <v>298</v>
      </c>
      <c r="D206" s="6" t="s">
        <v>130</v>
      </c>
      <c r="E206" s="10">
        <v>6</v>
      </c>
      <c r="F206">
        <v>18.768959444540499</v>
      </c>
      <c r="G206">
        <v>2.9202940535866002</v>
      </c>
      <c r="H206" t="s">
        <v>92</v>
      </c>
      <c r="I206" t="s">
        <v>24</v>
      </c>
      <c r="J206" t="s">
        <v>185</v>
      </c>
      <c r="K206" t="s">
        <v>212</v>
      </c>
      <c r="L206">
        <v>319</v>
      </c>
      <c r="M206" t="s">
        <v>1799</v>
      </c>
      <c r="N206">
        <v>320</v>
      </c>
      <c r="O206" s="1" t="s">
        <v>97</v>
      </c>
      <c r="P206" s="1" t="s">
        <v>201</v>
      </c>
      <c r="Q206" s="25">
        <v>33.812252000000001</v>
      </c>
      <c r="R206" s="25">
        <f>-87.164963</f>
        <v>-87.164963</v>
      </c>
      <c r="S206">
        <v>-14.348800000000001</v>
      </c>
      <c r="T206">
        <v>-28.94</v>
      </c>
      <c r="U206">
        <v>14.348800000000001</v>
      </c>
      <c r="V206" t="s">
        <v>1538</v>
      </c>
      <c r="W206" t="s">
        <v>13</v>
      </c>
      <c r="X206" t="s">
        <v>17</v>
      </c>
      <c r="Y206" s="1" t="s">
        <v>1367</v>
      </c>
    </row>
    <row r="207" spans="1:25" x14ac:dyDescent="0.25">
      <c r="A207" s="4">
        <v>346</v>
      </c>
      <c r="B207" s="9">
        <v>2469</v>
      </c>
      <c r="C207" s="8" t="s">
        <v>298</v>
      </c>
      <c r="D207" s="6" t="s">
        <v>130</v>
      </c>
      <c r="E207" s="10">
        <v>6</v>
      </c>
      <c r="F207">
        <v>42.740187524275797</v>
      </c>
      <c r="G207">
        <v>18.758183474176199</v>
      </c>
      <c r="H207" t="s">
        <v>92</v>
      </c>
      <c r="I207" t="s">
        <v>24</v>
      </c>
      <c r="J207" t="s">
        <v>185</v>
      </c>
      <c r="K207" t="s">
        <v>212</v>
      </c>
      <c r="L207">
        <v>319</v>
      </c>
      <c r="M207" t="s">
        <v>1799</v>
      </c>
      <c r="N207">
        <v>320</v>
      </c>
      <c r="O207" s="1" t="s">
        <v>97</v>
      </c>
      <c r="P207" s="1" t="s">
        <v>201</v>
      </c>
      <c r="Q207" s="25">
        <v>33.812252000000001</v>
      </c>
      <c r="R207" s="25">
        <f>-87.164963</f>
        <v>-87.164963</v>
      </c>
      <c r="S207">
        <v>-14.348800000000001</v>
      </c>
      <c r="T207">
        <v>-28.94</v>
      </c>
      <c r="U207">
        <v>14.348800000000001</v>
      </c>
      <c r="V207" t="s">
        <v>1538</v>
      </c>
      <c r="W207" t="s">
        <v>13</v>
      </c>
      <c r="X207" t="s">
        <v>17</v>
      </c>
      <c r="Y207" s="1" t="s">
        <v>1367</v>
      </c>
    </row>
    <row r="208" spans="1:25" x14ac:dyDescent="0.25">
      <c r="A208" s="4">
        <v>347</v>
      </c>
      <c r="B208" s="9">
        <v>602</v>
      </c>
      <c r="C208" s="8" t="s">
        <v>298</v>
      </c>
      <c r="D208" s="6" t="s">
        <v>130</v>
      </c>
      <c r="E208" s="10">
        <v>6</v>
      </c>
      <c r="F208">
        <v>26.661616125470601</v>
      </c>
      <c r="G208">
        <v>8.12259180177705</v>
      </c>
      <c r="H208" t="s">
        <v>92</v>
      </c>
      <c r="I208" t="s">
        <v>24</v>
      </c>
      <c r="J208" t="s">
        <v>185</v>
      </c>
      <c r="K208" t="s">
        <v>212</v>
      </c>
      <c r="L208">
        <v>319</v>
      </c>
      <c r="M208" t="s">
        <v>1799</v>
      </c>
      <c r="N208">
        <v>320</v>
      </c>
      <c r="O208" s="1" t="s">
        <v>97</v>
      </c>
      <c r="P208" s="1" t="s">
        <v>201</v>
      </c>
      <c r="Q208" s="25">
        <v>33.812252000000001</v>
      </c>
      <c r="R208" s="25">
        <f>-87.164963</f>
        <v>-87.164963</v>
      </c>
      <c r="S208">
        <v>-14.348800000000001</v>
      </c>
      <c r="T208">
        <v>-28.94</v>
      </c>
      <c r="U208">
        <v>14.348800000000001</v>
      </c>
      <c r="V208" t="s">
        <v>1538</v>
      </c>
      <c r="W208" t="s">
        <v>13</v>
      </c>
      <c r="X208" t="s">
        <v>17</v>
      </c>
      <c r="Y208" s="1" t="s">
        <v>1367</v>
      </c>
    </row>
    <row r="209" spans="1:25" x14ac:dyDescent="0.25">
      <c r="A209" s="4">
        <v>348</v>
      </c>
      <c r="B209" s="9">
        <v>215</v>
      </c>
      <c r="C209" s="8" t="s">
        <v>298</v>
      </c>
      <c r="D209" s="6" t="s">
        <v>130</v>
      </c>
      <c r="E209" s="10">
        <v>6</v>
      </c>
      <c r="F209">
        <v>59.913740901849998</v>
      </c>
      <c r="G209">
        <v>19.9558050047</v>
      </c>
      <c r="H209" t="s">
        <v>92</v>
      </c>
      <c r="I209" t="s">
        <v>24</v>
      </c>
      <c r="J209" t="s">
        <v>185</v>
      </c>
      <c r="K209" t="s">
        <v>212</v>
      </c>
      <c r="L209">
        <v>319</v>
      </c>
      <c r="M209" t="s">
        <v>1799</v>
      </c>
      <c r="N209">
        <v>320</v>
      </c>
      <c r="O209" s="1" t="s">
        <v>97</v>
      </c>
      <c r="P209" s="1" t="s">
        <v>201</v>
      </c>
      <c r="Q209" s="25">
        <v>33.812252000000001</v>
      </c>
      <c r="R209" s="25">
        <f>-87.164963</f>
        <v>-87.164963</v>
      </c>
      <c r="S209">
        <v>-14.348800000000001</v>
      </c>
      <c r="T209">
        <v>-28.94</v>
      </c>
      <c r="U209">
        <v>14.348800000000001</v>
      </c>
      <c r="V209" t="s">
        <v>1538</v>
      </c>
      <c r="W209" t="s">
        <v>13</v>
      </c>
      <c r="X209" t="s">
        <v>17</v>
      </c>
      <c r="Y209" s="1" t="s">
        <v>1367</v>
      </c>
    </row>
    <row r="210" spans="1:25" x14ac:dyDescent="0.25">
      <c r="A210" s="4">
        <v>349</v>
      </c>
      <c r="B210" s="9">
        <v>426</v>
      </c>
      <c r="C210" s="8" t="s">
        <v>298</v>
      </c>
      <c r="D210" s="6" t="s">
        <v>130</v>
      </c>
      <c r="E210" s="10">
        <v>6</v>
      </c>
      <c r="F210">
        <v>34.211838437780798</v>
      </c>
      <c r="G210">
        <v>23.1224905209579</v>
      </c>
      <c r="H210" t="s">
        <v>92</v>
      </c>
      <c r="I210" t="s">
        <v>24</v>
      </c>
      <c r="J210" t="s">
        <v>185</v>
      </c>
      <c r="K210" t="s">
        <v>212</v>
      </c>
      <c r="L210">
        <v>319</v>
      </c>
      <c r="M210" t="s">
        <v>1799</v>
      </c>
      <c r="N210">
        <v>320</v>
      </c>
      <c r="O210" s="1" t="s">
        <v>97</v>
      </c>
      <c r="P210" s="1" t="s">
        <v>201</v>
      </c>
      <c r="Q210" s="25">
        <v>33.812252000000001</v>
      </c>
      <c r="R210" s="25">
        <f>-87.164963</f>
        <v>-87.164963</v>
      </c>
      <c r="S210">
        <v>-14.348800000000001</v>
      </c>
      <c r="T210">
        <v>-28.94</v>
      </c>
      <c r="U210">
        <v>14.348800000000001</v>
      </c>
      <c r="V210" t="s">
        <v>1538</v>
      </c>
      <c r="W210" t="s">
        <v>13</v>
      </c>
      <c r="X210" t="s">
        <v>17</v>
      </c>
      <c r="Y210" s="1" t="s">
        <v>1367</v>
      </c>
    </row>
    <row r="211" spans="1:25" x14ac:dyDescent="0.25">
      <c r="A211" s="4">
        <v>350</v>
      </c>
      <c r="B211" s="9">
        <v>902</v>
      </c>
      <c r="C211" s="8" t="s">
        <v>298</v>
      </c>
      <c r="D211" s="6" t="s">
        <v>130</v>
      </c>
      <c r="E211" s="10">
        <v>6</v>
      </c>
      <c r="F211">
        <v>65.122294612935093</v>
      </c>
      <c r="G211">
        <v>26.572270370971999</v>
      </c>
      <c r="H211" t="s">
        <v>92</v>
      </c>
      <c r="I211" t="s">
        <v>24</v>
      </c>
      <c r="J211" t="s">
        <v>185</v>
      </c>
      <c r="K211" t="s">
        <v>212</v>
      </c>
      <c r="L211">
        <v>319</v>
      </c>
      <c r="M211" t="s">
        <v>1799</v>
      </c>
      <c r="N211">
        <v>320</v>
      </c>
      <c r="O211" s="1" t="s">
        <v>97</v>
      </c>
      <c r="P211" s="1" t="s">
        <v>201</v>
      </c>
      <c r="Q211" s="25">
        <v>33.812252000000001</v>
      </c>
      <c r="R211" s="25">
        <f>-87.164963</f>
        <v>-87.164963</v>
      </c>
      <c r="S211">
        <v>-14.348800000000001</v>
      </c>
      <c r="T211">
        <v>-28.94</v>
      </c>
      <c r="U211">
        <v>14.348800000000001</v>
      </c>
      <c r="V211" t="s">
        <v>1538</v>
      </c>
      <c r="W211" t="s">
        <v>13</v>
      </c>
      <c r="X211" t="s">
        <v>17</v>
      </c>
      <c r="Y211" s="1" t="s">
        <v>1367</v>
      </c>
    </row>
    <row r="212" spans="1:25" x14ac:dyDescent="0.25">
      <c r="A212" s="4">
        <v>353</v>
      </c>
      <c r="B212" s="9">
        <v>1737</v>
      </c>
      <c r="C212" s="8" t="s">
        <v>298</v>
      </c>
      <c r="D212" s="6" t="s">
        <v>130</v>
      </c>
      <c r="E212" s="10">
        <v>6</v>
      </c>
      <c r="F212">
        <v>31.808421609951601</v>
      </c>
      <c r="G212">
        <v>10.7508616928802</v>
      </c>
      <c r="H212" t="s">
        <v>92</v>
      </c>
      <c r="I212" t="s">
        <v>24</v>
      </c>
      <c r="J212" t="s">
        <v>185</v>
      </c>
      <c r="K212" t="s">
        <v>212</v>
      </c>
      <c r="L212">
        <v>319</v>
      </c>
      <c r="M212" t="s">
        <v>1799</v>
      </c>
      <c r="N212">
        <v>320</v>
      </c>
      <c r="O212" s="1" t="s">
        <v>97</v>
      </c>
      <c r="P212" s="1" t="s">
        <v>201</v>
      </c>
      <c r="Q212" s="25">
        <v>33.812252000000001</v>
      </c>
      <c r="R212" s="25">
        <f>-87.164963</f>
        <v>-87.164963</v>
      </c>
      <c r="S212">
        <v>-14.348800000000001</v>
      </c>
      <c r="T212">
        <v>-28.94</v>
      </c>
      <c r="U212">
        <v>14.348800000000001</v>
      </c>
      <c r="V212" t="s">
        <v>1538</v>
      </c>
      <c r="W212" t="s">
        <v>13</v>
      </c>
      <c r="X212" t="s">
        <v>17</v>
      </c>
      <c r="Y212" s="1" t="s">
        <v>1367</v>
      </c>
    </row>
    <row r="213" spans="1:25" x14ac:dyDescent="0.25">
      <c r="A213" s="4">
        <v>356</v>
      </c>
      <c r="B213" s="9">
        <v>1738</v>
      </c>
      <c r="C213" s="8" t="s">
        <v>298</v>
      </c>
      <c r="D213" s="6" t="s">
        <v>130</v>
      </c>
      <c r="E213" s="10">
        <v>6</v>
      </c>
      <c r="F213">
        <v>31.963257257684798</v>
      </c>
      <c r="G213">
        <v>16.649544716264099</v>
      </c>
      <c r="H213" t="s">
        <v>92</v>
      </c>
      <c r="I213" t="s">
        <v>24</v>
      </c>
      <c r="J213" t="s">
        <v>185</v>
      </c>
      <c r="K213" t="s">
        <v>212</v>
      </c>
      <c r="L213">
        <v>319</v>
      </c>
      <c r="M213" t="s">
        <v>1799</v>
      </c>
      <c r="N213">
        <v>320</v>
      </c>
      <c r="O213" s="1" t="s">
        <v>97</v>
      </c>
      <c r="P213" s="1" t="s">
        <v>201</v>
      </c>
      <c r="Q213" s="25">
        <v>33.812252000000001</v>
      </c>
      <c r="R213" s="25">
        <f>-87.164963</f>
        <v>-87.164963</v>
      </c>
      <c r="S213">
        <v>-14.348800000000001</v>
      </c>
      <c r="T213">
        <v>-28.94</v>
      </c>
      <c r="U213">
        <v>14.348800000000001</v>
      </c>
      <c r="V213" t="s">
        <v>1538</v>
      </c>
      <c r="W213" t="s">
        <v>13</v>
      </c>
      <c r="X213" t="s">
        <v>17</v>
      </c>
      <c r="Y213" s="1" t="s">
        <v>1367</v>
      </c>
    </row>
    <row r="214" spans="1:25" x14ac:dyDescent="0.25">
      <c r="A214" s="4">
        <v>358</v>
      </c>
      <c r="B214" s="9">
        <v>1735</v>
      </c>
      <c r="C214" s="8" t="s">
        <v>298</v>
      </c>
      <c r="D214" s="6" t="s">
        <v>130</v>
      </c>
      <c r="E214" s="10">
        <v>6</v>
      </c>
      <c r="F214">
        <v>26.187257959854001</v>
      </c>
      <c r="G214">
        <v>12.901175379885601</v>
      </c>
      <c r="H214" t="s">
        <v>92</v>
      </c>
      <c r="I214" t="s">
        <v>24</v>
      </c>
      <c r="J214" t="s">
        <v>185</v>
      </c>
      <c r="K214" t="s">
        <v>212</v>
      </c>
      <c r="L214">
        <v>319</v>
      </c>
      <c r="M214" t="s">
        <v>1799</v>
      </c>
      <c r="N214">
        <v>320</v>
      </c>
      <c r="O214" s="1" t="s">
        <v>97</v>
      </c>
      <c r="P214" s="1" t="s">
        <v>201</v>
      </c>
      <c r="Q214" s="25">
        <v>33.812252000000001</v>
      </c>
      <c r="R214" s="25">
        <f>-87.164963</f>
        <v>-87.164963</v>
      </c>
      <c r="S214">
        <v>-14.348800000000001</v>
      </c>
      <c r="T214">
        <v>-28.94</v>
      </c>
      <c r="U214">
        <v>14.348800000000001</v>
      </c>
      <c r="V214" t="s">
        <v>1538</v>
      </c>
      <c r="W214" t="s">
        <v>13</v>
      </c>
      <c r="X214" t="s">
        <v>17</v>
      </c>
      <c r="Y214" s="1" t="s">
        <v>1367</v>
      </c>
    </row>
    <row r="215" spans="1:25" x14ac:dyDescent="0.25">
      <c r="A215" s="4">
        <v>362</v>
      </c>
      <c r="B215" s="9">
        <v>1742</v>
      </c>
      <c r="C215" s="8" t="s">
        <v>298</v>
      </c>
      <c r="D215" s="6" t="s">
        <v>130</v>
      </c>
      <c r="E215" s="10">
        <v>6</v>
      </c>
      <c r="F215">
        <v>32.488058927200903</v>
      </c>
      <c r="G215">
        <v>14.784013521074799</v>
      </c>
      <c r="H215" t="s">
        <v>92</v>
      </c>
      <c r="I215" t="s">
        <v>24</v>
      </c>
      <c r="J215" t="s">
        <v>185</v>
      </c>
      <c r="K215" t="s">
        <v>212</v>
      </c>
      <c r="L215">
        <v>319</v>
      </c>
      <c r="M215" t="s">
        <v>1799</v>
      </c>
      <c r="N215">
        <v>320</v>
      </c>
      <c r="O215" s="1" t="s">
        <v>97</v>
      </c>
      <c r="P215" s="1" t="s">
        <v>201</v>
      </c>
      <c r="Q215" s="25">
        <v>33.812252000000001</v>
      </c>
      <c r="R215" s="25">
        <f>-87.164963</f>
        <v>-87.164963</v>
      </c>
      <c r="S215">
        <v>-14.348800000000001</v>
      </c>
      <c r="T215">
        <v>-28.94</v>
      </c>
      <c r="U215">
        <v>14.348800000000001</v>
      </c>
      <c r="V215" t="s">
        <v>1538</v>
      </c>
      <c r="W215" t="s">
        <v>13</v>
      </c>
      <c r="X215" t="s">
        <v>17</v>
      </c>
      <c r="Y215" s="1" t="s">
        <v>1367</v>
      </c>
    </row>
    <row r="216" spans="1:25" x14ac:dyDescent="0.25">
      <c r="A216" s="4">
        <v>363</v>
      </c>
      <c r="B216" s="9">
        <v>1749</v>
      </c>
      <c r="C216" s="8" t="s">
        <v>298</v>
      </c>
      <c r="D216" s="6" t="s">
        <v>130</v>
      </c>
      <c r="E216" s="10">
        <v>6</v>
      </c>
      <c r="F216">
        <v>45.297206561098598</v>
      </c>
      <c r="G216">
        <v>10.852228469239799</v>
      </c>
      <c r="H216" t="s">
        <v>92</v>
      </c>
      <c r="I216" t="s">
        <v>24</v>
      </c>
      <c r="J216" t="s">
        <v>185</v>
      </c>
      <c r="K216" t="s">
        <v>212</v>
      </c>
      <c r="L216">
        <v>319</v>
      </c>
      <c r="M216" t="s">
        <v>1799</v>
      </c>
      <c r="N216">
        <v>320</v>
      </c>
      <c r="O216" s="1" t="s">
        <v>97</v>
      </c>
      <c r="P216" s="1" t="s">
        <v>201</v>
      </c>
      <c r="Q216" s="25">
        <v>33.812252000000001</v>
      </c>
      <c r="R216" s="25">
        <f>-87.164963</f>
        <v>-87.164963</v>
      </c>
      <c r="S216">
        <v>-14.348800000000001</v>
      </c>
      <c r="T216">
        <v>-28.94</v>
      </c>
      <c r="U216">
        <v>14.348800000000001</v>
      </c>
      <c r="V216" t="s">
        <v>1538</v>
      </c>
      <c r="W216" t="s">
        <v>13</v>
      </c>
      <c r="X216" t="s">
        <v>17</v>
      </c>
      <c r="Y216" s="1" t="s">
        <v>1367</v>
      </c>
    </row>
    <row r="217" spans="1:25" x14ac:dyDescent="0.25">
      <c r="A217" s="4">
        <v>364</v>
      </c>
      <c r="B217" s="9">
        <v>1752</v>
      </c>
      <c r="C217" s="8" t="s">
        <v>298</v>
      </c>
      <c r="D217" s="6" t="s">
        <v>130</v>
      </c>
      <c r="E217" s="10">
        <v>6</v>
      </c>
      <c r="F217">
        <v>29.7304113658126</v>
      </c>
      <c r="G217">
        <v>8.8376687819126492</v>
      </c>
      <c r="H217" t="s">
        <v>92</v>
      </c>
      <c r="I217" t="s">
        <v>24</v>
      </c>
      <c r="J217" t="s">
        <v>185</v>
      </c>
      <c r="K217" t="s">
        <v>212</v>
      </c>
      <c r="L217">
        <v>319</v>
      </c>
      <c r="M217" t="s">
        <v>1799</v>
      </c>
      <c r="N217">
        <v>320</v>
      </c>
      <c r="O217" s="1" t="s">
        <v>97</v>
      </c>
      <c r="P217" s="1" t="s">
        <v>201</v>
      </c>
      <c r="Q217" s="25">
        <v>33.812252000000001</v>
      </c>
      <c r="R217" s="25">
        <f>-87.164963</f>
        <v>-87.164963</v>
      </c>
      <c r="S217">
        <v>-14.348800000000001</v>
      </c>
      <c r="T217">
        <v>-28.94</v>
      </c>
      <c r="U217">
        <v>14.348800000000001</v>
      </c>
      <c r="V217" t="s">
        <v>1538</v>
      </c>
      <c r="W217" t="s">
        <v>13</v>
      </c>
      <c r="X217" t="s">
        <v>17</v>
      </c>
      <c r="Y217" s="1" t="s">
        <v>1367</v>
      </c>
    </row>
    <row r="218" spans="1:25" x14ac:dyDescent="0.25">
      <c r="A218" s="4">
        <v>369</v>
      </c>
      <c r="B218" s="9">
        <v>1757</v>
      </c>
      <c r="C218" s="8" t="s">
        <v>298</v>
      </c>
      <c r="D218" s="6" t="s">
        <v>130</v>
      </c>
      <c r="E218" s="10">
        <v>6</v>
      </c>
      <c r="F218">
        <v>34.429261919491601</v>
      </c>
      <c r="G218">
        <v>12.281256753410201</v>
      </c>
      <c r="H218" t="s">
        <v>92</v>
      </c>
      <c r="I218" t="s">
        <v>24</v>
      </c>
      <c r="J218" t="s">
        <v>185</v>
      </c>
      <c r="K218" t="s">
        <v>212</v>
      </c>
      <c r="L218">
        <v>319</v>
      </c>
      <c r="M218" t="s">
        <v>1799</v>
      </c>
      <c r="N218">
        <v>320</v>
      </c>
      <c r="O218" s="1" t="s">
        <v>97</v>
      </c>
      <c r="P218" s="1" t="s">
        <v>201</v>
      </c>
      <c r="Q218" s="25">
        <v>33.812252000000001</v>
      </c>
      <c r="R218" s="25">
        <f>-87.164963</f>
        <v>-87.164963</v>
      </c>
      <c r="S218">
        <v>-14.348800000000001</v>
      </c>
      <c r="T218">
        <v>-28.94</v>
      </c>
      <c r="U218">
        <v>14.348800000000001</v>
      </c>
      <c r="V218" t="s">
        <v>1538</v>
      </c>
      <c r="W218" t="s">
        <v>13</v>
      </c>
      <c r="X218" t="s">
        <v>17</v>
      </c>
      <c r="Y218" s="1" t="s">
        <v>1367</v>
      </c>
    </row>
    <row r="219" spans="1:25" x14ac:dyDescent="0.25">
      <c r="A219" s="4">
        <v>370</v>
      </c>
      <c r="B219" s="9">
        <v>1758</v>
      </c>
      <c r="C219" s="8" t="s">
        <v>298</v>
      </c>
      <c r="D219" s="6" t="s">
        <v>130</v>
      </c>
      <c r="E219" s="10">
        <v>6</v>
      </c>
      <c r="F219">
        <v>31.030310752902398</v>
      </c>
      <c r="G219">
        <v>12.076269692007299</v>
      </c>
      <c r="H219" t="s">
        <v>92</v>
      </c>
      <c r="I219" t="s">
        <v>24</v>
      </c>
      <c r="J219" t="s">
        <v>185</v>
      </c>
      <c r="K219" t="s">
        <v>212</v>
      </c>
      <c r="L219">
        <v>319</v>
      </c>
      <c r="M219" t="s">
        <v>1799</v>
      </c>
      <c r="N219">
        <v>320</v>
      </c>
      <c r="O219" s="1" t="s">
        <v>97</v>
      </c>
      <c r="P219" s="1" t="s">
        <v>201</v>
      </c>
      <c r="Q219" s="25">
        <v>33.812252000000001</v>
      </c>
      <c r="R219" s="25">
        <f>-87.164963</f>
        <v>-87.164963</v>
      </c>
      <c r="S219">
        <v>-14.348800000000001</v>
      </c>
      <c r="T219">
        <v>-28.94</v>
      </c>
      <c r="U219">
        <v>14.348800000000001</v>
      </c>
      <c r="V219" t="s">
        <v>1538</v>
      </c>
      <c r="W219" t="s">
        <v>13</v>
      </c>
      <c r="X219" t="s">
        <v>17</v>
      </c>
      <c r="Y219" s="1" t="s">
        <v>1367</v>
      </c>
    </row>
    <row r="220" spans="1:25" x14ac:dyDescent="0.25">
      <c r="A220" s="4">
        <v>373</v>
      </c>
      <c r="B220" s="9">
        <v>1764</v>
      </c>
      <c r="C220" s="8" t="s">
        <v>298</v>
      </c>
      <c r="D220" s="6" t="s">
        <v>130</v>
      </c>
      <c r="E220" s="10">
        <v>6</v>
      </c>
      <c r="F220">
        <v>45.847401845358903</v>
      </c>
      <c r="G220">
        <v>12.467788654485901</v>
      </c>
      <c r="H220" t="s">
        <v>92</v>
      </c>
      <c r="I220" t="s">
        <v>24</v>
      </c>
      <c r="J220" t="s">
        <v>185</v>
      </c>
      <c r="K220" t="s">
        <v>212</v>
      </c>
      <c r="L220">
        <v>319</v>
      </c>
      <c r="M220" t="s">
        <v>1799</v>
      </c>
      <c r="N220">
        <v>320</v>
      </c>
      <c r="O220" s="1" t="s">
        <v>97</v>
      </c>
      <c r="P220" s="1" t="s">
        <v>201</v>
      </c>
      <c r="Q220" s="25">
        <v>33.812252000000001</v>
      </c>
      <c r="R220" s="25">
        <f>-87.164963</f>
        <v>-87.164963</v>
      </c>
      <c r="S220">
        <v>-14.348800000000001</v>
      </c>
      <c r="T220">
        <v>-28.94</v>
      </c>
      <c r="U220">
        <v>14.348800000000001</v>
      </c>
      <c r="V220" t="s">
        <v>1538</v>
      </c>
      <c r="W220" t="s">
        <v>13</v>
      </c>
      <c r="X220" t="s">
        <v>17</v>
      </c>
      <c r="Y220" s="1" t="s">
        <v>1367</v>
      </c>
    </row>
    <row r="221" spans="1:25" x14ac:dyDescent="0.25">
      <c r="A221" s="4">
        <v>374</v>
      </c>
      <c r="B221" s="9">
        <v>1761</v>
      </c>
      <c r="C221" s="8" t="s">
        <v>298</v>
      </c>
      <c r="D221" s="6" t="s">
        <v>130</v>
      </c>
      <c r="E221" s="10">
        <v>6</v>
      </c>
      <c r="F221">
        <v>30.061975591865899</v>
      </c>
      <c r="G221">
        <v>9.7613128723575695</v>
      </c>
      <c r="H221" t="s">
        <v>92</v>
      </c>
      <c r="I221" t="s">
        <v>24</v>
      </c>
      <c r="J221" t="s">
        <v>185</v>
      </c>
      <c r="K221" t="s">
        <v>212</v>
      </c>
      <c r="L221">
        <v>319</v>
      </c>
      <c r="M221" t="s">
        <v>1799</v>
      </c>
      <c r="N221">
        <v>320</v>
      </c>
      <c r="O221" s="1" t="s">
        <v>97</v>
      </c>
      <c r="P221" s="1" t="s">
        <v>201</v>
      </c>
      <c r="Q221" s="25">
        <v>33.812252000000001</v>
      </c>
      <c r="R221" s="25">
        <f>-87.164963</f>
        <v>-87.164963</v>
      </c>
      <c r="S221">
        <v>-14.348800000000001</v>
      </c>
      <c r="T221">
        <v>-28.94</v>
      </c>
      <c r="U221">
        <v>14.348800000000001</v>
      </c>
      <c r="V221" t="s">
        <v>1538</v>
      </c>
      <c r="W221" t="s">
        <v>13</v>
      </c>
      <c r="X221" t="s">
        <v>17</v>
      </c>
      <c r="Y221" s="1" t="s">
        <v>1367</v>
      </c>
    </row>
    <row r="222" spans="1:25" x14ac:dyDescent="0.25">
      <c r="A222" s="4">
        <v>376</v>
      </c>
      <c r="B222" s="9">
        <v>1771</v>
      </c>
      <c r="C222" s="8" t="s">
        <v>298</v>
      </c>
      <c r="D222" s="6" t="s">
        <v>130</v>
      </c>
      <c r="E222" s="10">
        <v>6</v>
      </c>
      <c r="F222">
        <v>33.893913857136297</v>
      </c>
      <c r="G222">
        <v>13.3889140034682</v>
      </c>
      <c r="H222" t="s">
        <v>92</v>
      </c>
      <c r="I222" t="s">
        <v>24</v>
      </c>
      <c r="J222" t="s">
        <v>185</v>
      </c>
      <c r="K222" t="s">
        <v>212</v>
      </c>
      <c r="L222">
        <v>319</v>
      </c>
      <c r="M222" t="s">
        <v>1799</v>
      </c>
      <c r="N222">
        <v>320</v>
      </c>
      <c r="O222" s="1" t="s">
        <v>97</v>
      </c>
      <c r="P222" s="1" t="s">
        <v>201</v>
      </c>
      <c r="Q222" s="25">
        <v>33.812252000000001</v>
      </c>
      <c r="R222" s="25">
        <f>-87.164963</f>
        <v>-87.164963</v>
      </c>
      <c r="S222">
        <v>-14.348800000000001</v>
      </c>
      <c r="T222">
        <v>-28.94</v>
      </c>
      <c r="U222">
        <v>14.348800000000001</v>
      </c>
      <c r="V222" t="s">
        <v>1538</v>
      </c>
      <c r="W222" t="s">
        <v>13</v>
      </c>
      <c r="X222" t="s">
        <v>17</v>
      </c>
      <c r="Y222" s="1" t="s">
        <v>1367</v>
      </c>
    </row>
    <row r="223" spans="1:25" x14ac:dyDescent="0.25">
      <c r="A223" s="4">
        <v>377</v>
      </c>
      <c r="B223" s="9">
        <v>1777</v>
      </c>
      <c r="C223" s="8" t="s">
        <v>298</v>
      </c>
      <c r="D223" s="6" t="s">
        <v>130</v>
      </c>
      <c r="E223" s="10">
        <v>6</v>
      </c>
      <c r="F223">
        <v>39.091650934083297</v>
      </c>
      <c r="G223">
        <v>12.8415969635293</v>
      </c>
      <c r="H223" t="s">
        <v>92</v>
      </c>
      <c r="I223" t="s">
        <v>24</v>
      </c>
      <c r="J223" t="s">
        <v>185</v>
      </c>
      <c r="K223" t="s">
        <v>212</v>
      </c>
      <c r="L223">
        <v>319</v>
      </c>
      <c r="M223" t="s">
        <v>1799</v>
      </c>
      <c r="N223">
        <v>320</v>
      </c>
      <c r="O223" s="1" t="s">
        <v>97</v>
      </c>
      <c r="P223" s="1" t="s">
        <v>201</v>
      </c>
      <c r="Q223" s="25">
        <v>33.812252000000001</v>
      </c>
      <c r="R223" s="25">
        <f>-87.164963</f>
        <v>-87.164963</v>
      </c>
      <c r="S223">
        <v>-14.348800000000001</v>
      </c>
      <c r="T223">
        <v>-28.94</v>
      </c>
      <c r="U223">
        <v>14.348800000000001</v>
      </c>
      <c r="V223" t="s">
        <v>1538</v>
      </c>
      <c r="W223" t="s">
        <v>13</v>
      </c>
      <c r="X223" t="s">
        <v>17</v>
      </c>
      <c r="Y223" s="1" t="s">
        <v>1367</v>
      </c>
    </row>
    <row r="224" spans="1:25" x14ac:dyDescent="0.25">
      <c r="A224" s="4">
        <v>378</v>
      </c>
      <c r="B224" s="9">
        <v>1780</v>
      </c>
      <c r="C224" s="8" t="s">
        <v>298</v>
      </c>
      <c r="D224" s="6" t="s">
        <v>130</v>
      </c>
      <c r="E224" s="10">
        <v>6</v>
      </c>
      <c r="F224">
        <v>34.835802876801502</v>
      </c>
      <c r="G224">
        <v>13.009213688344399</v>
      </c>
      <c r="H224" t="s">
        <v>92</v>
      </c>
      <c r="I224" t="s">
        <v>24</v>
      </c>
      <c r="J224" t="s">
        <v>185</v>
      </c>
      <c r="K224" t="s">
        <v>212</v>
      </c>
      <c r="L224">
        <v>319</v>
      </c>
      <c r="M224" t="s">
        <v>1799</v>
      </c>
      <c r="N224">
        <v>320</v>
      </c>
      <c r="O224" s="1" t="s">
        <v>97</v>
      </c>
      <c r="P224" s="1" t="s">
        <v>201</v>
      </c>
      <c r="Q224" s="25">
        <v>33.812252000000001</v>
      </c>
      <c r="R224" s="25">
        <f>-87.164963</f>
        <v>-87.164963</v>
      </c>
      <c r="S224">
        <v>-14.348800000000001</v>
      </c>
      <c r="T224">
        <v>-28.94</v>
      </c>
      <c r="U224">
        <v>14.348800000000001</v>
      </c>
      <c r="V224" t="s">
        <v>1538</v>
      </c>
      <c r="W224" t="s">
        <v>13</v>
      </c>
      <c r="X224" t="s">
        <v>17</v>
      </c>
      <c r="Y224" s="1" t="s">
        <v>1367</v>
      </c>
    </row>
    <row r="225" spans="1:25" x14ac:dyDescent="0.25">
      <c r="A225" s="4">
        <v>379</v>
      </c>
      <c r="B225" s="9">
        <v>1788</v>
      </c>
      <c r="C225" s="8" t="s">
        <v>298</v>
      </c>
      <c r="D225" s="6" t="s">
        <v>130</v>
      </c>
      <c r="E225" s="10">
        <v>6</v>
      </c>
      <c r="F225">
        <v>31.884641547677301</v>
      </c>
      <c r="G225">
        <v>11.602062458069</v>
      </c>
      <c r="H225" t="s">
        <v>92</v>
      </c>
      <c r="I225" t="s">
        <v>24</v>
      </c>
      <c r="J225" t="s">
        <v>185</v>
      </c>
      <c r="K225" t="s">
        <v>212</v>
      </c>
      <c r="L225">
        <v>319</v>
      </c>
      <c r="M225" t="s">
        <v>1799</v>
      </c>
      <c r="N225">
        <v>320</v>
      </c>
      <c r="O225" s="1" t="s">
        <v>97</v>
      </c>
      <c r="P225" s="1" t="s">
        <v>201</v>
      </c>
      <c r="Q225" s="25">
        <v>33.812252000000001</v>
      </c>
      <c r="R225" s="25">
        <f>-87.164963</f>
        <v>-87.164963</v>
      </c>
      <c r="S225">
        <v>-14.348800000000001</v>
      </c>
      <c r="T225">
        <v>-28.94</v>
      </c>
      <c r="U225">
        <v>14.348800000000001</v>
      </c>
      <c r="V225" t="s">
        <v>1538</v>
      </c>
      <c r="W225" t="s">
        <v>13</v>
      </c>
      <c r="X225" t="s">
        <v>17</v>
      </c>
      <c r="Y225" s="1" t="s">
        <v>1367</v>
      </c>
    </row>
    <row r="226" spans="1:25" x14ac:dyDescent="0.25">
      <c r="A226" s="4">
        <v>380</v>
      </c>
      <c r="B226" s="9">
        <v>1786</v>
      </c>
      <c r="C226" s="8" t="s">
        <v>298</v>
      </c>
      <c r="D226" s="6" t="s">
        <v>130</v>
      </c>
      <c r="E226" s="10">
        <v>6</v>
      </c>
      <c r="F226">
        <v>33.000984315736297</v>
      </c>
      <c r="G226">
        <v>14.3347115706152</v>
      </c>
      <c r="H226" t="s">
        <v>92</v>
      </c>
      <c r="I226" t="s">
        <v>24</v>
      </c>
      <c r="J226" t="s">
        <v>185</v>
      </c>
      <c r="K226" t="s">
        <v>212</v>
      </c>
      <c r="L226">
        <v>319</v>
      </c>
      <c r="M226" t="s">
        <v>1799</v>
      </c>
      <c r="N226">
        <v>320</v>
      </c>
      <c r="O226" s="1" t="s">
        <v>97</v>
      </c>
      <c r="P226" s="1" t="s">
        <v>201</v>
      </c>
      <c r="Q226" s="25">
        <v>33.812252000000001</v>
      </c>
      <c r="R226" s="25">
        <f>-87.164963</f>
        <v>-87.164963</v>
      </c>
      <c r="S226">
        <v>-14.348800000000001</v>
      </c>
      <c r="T226">
        <v>-28.94</v>
      </c>
      <c r="U226">
        <v>14.348800000000001</v>
      </c>
      <c r="V226" t="s">
        <v>1538</v>
      </c>
      <c r="W226" t="s">
        <v>13</v>
      </c>
      <c r="X226" t="s">
        <v>17</v>
      </c>
      <c r="Y226" s="1" t="s">
        <v>1367</v>
      </c>
    </row>
    <row r="227" spans="1:25" x14ac:dyDescent="0.25">
      <c r="A227" s="4">
        <v>381</v>
      </c>
      <c r="B227" s="9">
        <v>1794</v>
      </c>
      <c r="C227" s="8" t="s">
        <v>298</v>
      </c>
      <c r="D227" s="6" t="s">
        <v>130</v>
      </c>
      <c r="E227" s="10">
        <v>6</v>
      </c>
      <c r="F227">
        <v>34.822064007749503</v>
      </c>
      <c r="G227">
        <v>13.7077806266539</v>
      </c>
      <c r="H227" t="s">
        <v>92</v>
      </c>
      <c r="I227" t="s">
        <v>24</v>
      </c>
      <c r="J227" t="s">
        <v>185</v>
      </c>
      <c r="K227" t="s">
        <v>212</v>
      </c>
      <c r="L227">
        <v>319</v>
      </c>
      <c r="M227" t="s">
        <v>1799</v>
      </c>
      <c r="N227">
        <v>320</v>
      </c>
      <c r="O227" s="1" t="s">
        <v>97</v>
      </c>
      <c r="P227" s="1" t="s">
        <v>201</v>
      </c>
      <c r="Q227" s="25">
        <v>33.812252000000001</v>
      </c>
      <c r="R227" s="25">
        <f>-87.164963</f>
        <v>-87.164963</v>
      </c>
      <c r="S227">
        <v>-14.348800000000001</v>
      </c>
      <c r="T227">
        <v>-28.94</v>
      </c>
      <c r="U227">
        <v>14.348800000000001</v>
      </c>
      <c r="V227" t="s">
        <v>1538</v>
      </c>
      <c r="W227" t="s">
        <v>13</v>
      </c>
      <c r="X227" t="s">
        <v>17</v>
      </c>
      <c r="Y227" s="1" t="s">
        <v>1367</v>
      </c>
    </row>
    <row r="228" spans="1:25" x14ac:dyDescent="0.25">
      <c r="A228" s="4">
        <v>382</v>
      </c>
      <c r="B228" s="9">
        <v>1495</v>
      </c>
      <c r="C228" s="8" t="s">
        <v>298</v>
      </c>
      <c r="D228" s="6" t="s">
        <v>130</v>
      </c>
      <c r="E228" s="10">
        <v>6</v>
      </c>
      <c r="F228">
        <v>30.7744053343439</v>
      </c>
      <c r="G228">
        <v>5.0384459877472896</v>
      </c>
      <c r="H228" t="s">
        <v>92</v>
      </c>
      <c r="I228" t="s">
        <v>24</v>
      </c>
      <c r="J228" t="s">
        <v>185</v>
      </c>
      <c r="K228" t="s">
        <v>212</v>
      </c>
      <c r="L228">
        <v>319</v>
      </c>
      <c r="M228" t="s">
        <v>1799</v>
      </c>
      <c r="N228">
        <v>320</v>
      </c>
      <c r="O228" s="1" t="s">
        <v>97</v>
      </c>
      <c r="P228" s="1" t="s">
        <v>201</v>
      </c>
      <c r="Q228" s="25">
        <v>33.812252000000001</v>
      </c>
      <c r="R228" s="25">
        <f>-87.164963</f>
        <v>-87.164963</v>
      </c>
      <c r="S228">
        <v>-14.348800000000001</v>
      </c>
      <c r="T228">
        <v>-28.94</v>
      </c>
      <c r="U228">
        <v>14.348800000000001</v>
      </c>
      <c r="V228" t="s">
        <v>1538</v>
      </c>
      <c r="W228" t="s">
        <v>13</v>
      </c>
      <c r="X228" t="s">
        <v>17</v>
      </c>
      <c r="Y228" s="1" t="s">
        <v>1367</v>
      </c>
    </row>
    <row r="229" spans="1:25" x14ac:dyDescent="0.25">
      <c r="A229" s="4">
        <v>385</v>
      </c>
      <c r="B229" s="9">
        <v>1495</v>
      </c>
      <c r="C229" s="8" t="s">
        <v>298</v>
      </c>
      <c r="D229" s="6" t="s">
        <v>208</v>
      </c>
      <c r="E229" s="10">
        <v>7</v>
      </c>
      <c r="F229">
        <v>28.238583641806301</v>
      </c>
      <c r="G229">
        <v>5.3615044525229001</v>
      </c>
      <c r="H229" t="s">
        <v>92</v>
      </c>
      <c r="I229" t="s">
        <v>24</v>
      </c>
      <c r="J229" t="s">
        <v>185</v>
      </c>
      <c r="K229" t="s">
        <v>212</v>
      </c>
      <c r="L229">
        <v>319</v>
      </c>
      <c r="M229" t="s">
        <v>1799</v>
      </c>
      <c r="N229">
        <v>320</v>
      </c>
      <c r="O229" s="1" t="s">
        <v>97</v>
      </c>
      <c r="P229" s="1" t="s">
        <v>201</v>
      </c>
      <c r="Q229" s="25">
        <v>33.812252000000001</v>
      </c>
      <c r="R229" s="25">
        <f>-87.164963</f>
        <v>-87.164963</v>
      </c>
      <c r="S229">
        <v>-14.348800000000001</v>
      </c>
      <c r="T229">
        <v>-28.94</v>
      </c>
      <c r="U229">
        <v>14.348800000000001</v>
      </c>
      <c r="V229" t="s">
        <v>1538</v>
      </c>
      <c r="W229" t="s">
        <v>13</v>
      </c>
      <c r="X229" t="s">
        <v>17</v>
      </c>
      <c r="Y229" s="1" t="s">
        <v>1367</v>
      </c>
    </row>
    <row r="230" spans="1:25" x14ac:dyDescent="0.25">
      <c r="A230" s="4">
        <v>386</v>
      </c>
      <c r="B230" s="9">
        <v>1152</v>
      </c>
      <c r="C230" s="8" t="s">
        <v>298</v>
      </c>
      <c r="D230" s="6" t="s">
        <v>208</v>
      </c>
      <c r="E230" s="10">
        <v>7</v>
      </c>
      <c r="F230">
        <v>24.701297162530199</v>
      </c>
      <c r="G230">
        <v>3.5702814096343198</v>
      </c>
      <c r="H230" t="s">
        <v>92</v>
      </c>
      <c r="I230" t="s">
        <v>24</v>
      </c>
      <c r="J230" t="s">
        <v>185</v>
      </c>
      <c r="K230" t="s">
        <v>212</v>
      </c>
      <c r="L230">
        <v>319</v>
      </c>
      <c r="M230" t="s">
        <v>1799</v>
      </c>
      <c r="N230">
        <v>320</v>
      </c>
      <c r="O230" s="1" t="s">
        <v>97</v>
      </c>
      <c r="P230" s="1" t="s">
        <v>201</v>
      </c>
      <c r="Q230" s="25">
        <v>33.812252000000001</v>
      </c>
      <c r="R230" s="25">
        <f>-87.164963</f>
        <v>-87.164963</v>
      </c>
      <c r="S230">
        <v>-14.348800000000001</v>
      </c>
      <c r="T230">
        <v>-28.94</v>
      </c>
      <c r="U230">
        <v>14.348800000000001</v>
      </c>
      <c r="V230" t="s">
        <v>1538</v>
      </c>
      <c r="W230" t="s">
        <v>13</v>
      </c>
      <c r="X230" t="s">
        <v>17</v>
      </c>
      <c r="Y230" s="1" t="s">
        <v>1367</v>
      </c>
    </row>
    <row r="231" spans="1:25" x14ac:dyDescent="0.25">
      <c r="A231" s="4">
        <v>389</v>
      </c>
      <c r="B231" s="9">
        <v>1154</v>
      </c>
      <c r="C231" s="8" t="s">
        <v>298</v>
      </c>
      <c r="D231" s="6" t="s">
        <v>208</v>
      </c>
      <c r="E231" s="10">
        <v>7</v>
      </c>
      <c r="F231">
        <v>23.307353337819201</v>
      </c>
      <c r="G231">
        <v>4.0539065957909202</v>
      </c>
      <c r="H231" t="s">
        <v>92</v>
      </c>
      <c r="I231" t="s">
        <v>24</v>
      </c>
      <c r="J231" t="s">
        <v>185</v>
      </c>
      <c r="K231" t="s">
        <v>212</v>
      </c>
      <c r="L231">
        <v>319</v>
      </c>
      <c r="M231" t="s">
        <v>1799</v>
      </c>
      <c r="N231">
        <v>320</v>
      </c>
      <c r="O231" s="1" t="s">
        <v>97</v>
      </c>
      <c r="P231" s="1" t="s">
        <v>201</v>
      </c>
      <c r="Q231" s="25">
        <v>33.812252000000001</v>
      </c>
      <c r="R231" s="25">
        <f>-87.164963</f>
        <v>-87.164963</v>
      </c>
      <c r="S231">
        <v>-14.348800000000001</v>
      </c>
      <c r="T231">
        <v>-28.94</v>
      </c>
      <c r="U231">
        <v>14.348800000000001</v>
      </c>
      <c r="V231" t="s">
        <v>1538</v>
      </c>
      <c r="W231" t="s">
        <v>13</v>
      </c>
      <c r="X231" t="s">
        <v>17</v>
      </c>
      <c r="Y231" s="1" t="s">
        <v>1367</v>
      </c>
    </row>
    <row r="232" spans="1:25" x14ac:dyDescent="0.25">
      <c r="A232" s="4">
        <v>390</v>
      </c>
      <c r="B232" s="9">
        <v>888</v>
      </c>
      <c r="C232" s="8" t="s">
        <v>298</v>
      </c>
      <c r="D232" s="6" t="s">
        <v>208</v>
      </c>
      <c r="E232" s="10">
        <v>7</v>
      </c>
      <c r="F232">
        <v>49.792982041074602</v>
      </c>
      <c r="G232">
        <v>5.9256023863029901</v>
      </c>
      <c r="H232" t="s">
        <v>92</v>
      </c>
      <c r="I232" t="s">
        <v>24</v>
      </c>
      <c r="J232" t="s">
        <v>185</v>
      </c>
      <c r="K232" t="s">
        <v>212</v>
      </c>
      <c r="L232">
        <v>319</v>
      </c>
      <c r="M232" t="s">
        <v>1799</v>
      </c>
      <c r="N232">
        <v>320</v>
      </c>
      <c r="O232" s="1" t="s">
        <v>97</v>
      </c>
      <c r="P232" s="1" t="s">
        <v>201</v>
      </c>
      <c r="Q232" s="25">
        <v>33.812252000000001</v>
      </c>
      <c r="R232" s="25">
        <f>-87.164963</f>
        <v>-87.164963</v>
      </c>
      <c r="S232">
        <v>-14.348800000000001</v>
      </c>
      <c r="T232">
        <v>-28.94</v>
      </c>
      <c r="U232">
        <v>14.348800000000001</v>
      </c>
      <c r="V232" t="s">
        <v>1538</v>
      </c>
      <c r="W232" t="s">
        <v>13</v>
      </c>
      <c r="X232" t="s">
        <v>17</v>
      </c>
      <c r="Y232" s="1" t="s">
        <v>1367</v>
      </c>
    </row>
    <row r="233" spans="1:25" x14ac:dyDescent="0.25">
      <c r="A233" s="4">
        <v>391</v>
      </c>
      <c r="B233" s="9">
        <v>393</v>
      </c>
      <c r="C233" s="8" t="s">
        <v>298</v>
      </c>
      <c r="D233" s="6" t="s">
        <v>28</v>
      </c>
      <c r="E233" s="10">
        <v>6</v>
      </c>
      <c r="F233">
        <v>14.594389144750201</v>
      </c>
      <c r="G233">
        <v>4.8664348452997599</v>
      </c>
      <c r="H233" t="s">
        <v>92</v>
      </c>
      <c r="I233" t="s">
        <v>24</v>
      </c>
      <c r="J233" t="s">
        <v>185</v>
      </c>
      <c r="K233" t="s">
        <v>212</v>
      </c>
      <c r="L233">
        <v>319</v>
      </c>
      <c r="M233" t="s">
        <v>1799</v>
      </c>
      <c r="N233">
        <v>320</v>
      </c>
      <c r="O233" s="1" t="s">
        <v>97</v>
      </c>
      <c r="P233" s="1" t="s">
        <v>201</v>
      </c>
      <c r="Q233" s="25">
        <v>33.812252000000001</v>
      </c>
      <c r="R233" s="25">
        <f>-87.164963</f>
        <v>-87.164963</v>
      </c>
      <c r="S233">
        <v>-14.348800000000001</v>
      </c>
      <c r="T233">
        <v>-28.94</v>
      </c>
      <c r="U233">
        <v>14.348800000000001</v>
      </c>
      <c r="V233" t="s">
        <v>1538</v>
      </c>
      <c r="W233" t="s">
        <v>13</v>
      </c>
      <c r="X233" t="s">
        <v>17</v>
      </c>
      <c r="Y233" s="1" t="s">
        <v>1367</v>
      </c>
    </row>
    <row r="234" spans="1:25" x14ac:dyDescent="0.25">
      <c r="A234" s="4">
        <v>392</v>
      </c>
      <c r="B234" s="9">
        <v>394</v>
      </c>
      <c r="C234" s="8" t="s">
        <v>298</v>
      </c>
      <c r="D234" s="6" t="s">
        <v>28</v>
      </c>
      <c r="E234" s="10">
        <v>6</v>
      </c>
      <c r="F234">
        <v>14.253018758241</v>
      </c>
      <c r="G234">
        <v>5.3072210736275798</v>
      </c>
      <c r="H234" t="s">
        <v>92</v>
      </c>
      <c r="I234" t="s">
        <v>24</v>
      </c>
      <c r="J234" t="s">
        <v>185</v>
      </c>
      <c r="K234" t="s">
        <v>212</v>
      </c>
      <c r="L234">
        <v>319</v>
      </c>
      <c r="M234" t="s">
        <v>1799</v>
      </c>
      <c r="N234">
        <v>320</v>
      </c>
      <c r="O234" s="1" t="s">
        <v>97</v>
      </c>
      <c r="P234" s="1" t="s">
        <v>201</v>
      </c>
      <c r="Q234" s="25">
        <v>33.812252000000001</v>
      </c>
      <c r="R234" s="25">
        <f>-87.164963</f>
        <v>-87.164963</v>
      </c>
      <c r="S234">
        <v>-14.348800000000001</v>
      </c>
      <c r="T234">
        <v>-28.94</v>
      </c>
      <c r="U234">
        <v>14.348800000000001</v>
      </c>
      <c r="V234" t="s">
        <v>1538</v>
      </c>
      <c r="W234" t="s">
        <v>13</v>
      </c>
      <c r="X234" t="s">
        <v>17</v>
      </c>
      <c r="Y234" s="1" t="s">
        <v>1367</v>
      </c>
    </row>
    <row r="235" spans="1:25" x14ac:dyDescent="0.25">
      <c r="A235" s="4">
        <v>393</v>
      </c>
      <c r="B235" s="9">
        <v>666</v>
      </c>
      <c r="C235" s="8" t="s">
        <v>298</v>
      </c>
      <c r="D235" s="6" t="s">
        <v>28</v>
      </c>
      <c r="E235" s="10">
        <v>6</v>
      </c>
      <c r="F235">
        <v>14.6353170834454</v>
      </c>
      <c r="G235">
        <v>8.5197223060974796</v>
      </c>
      <c r="H235" t="s">
        <v>92</v>
      </c>
      <c r="I235" t="s">
        <v>24</v>
      </c>
      <c r="J235" t="s">
        <v>185</v>
      </c>
      <c r="K235" t="s">
        <v>212</v>
      </c>
      <c r="L235">
        <v>319</v>
      </c>
      <c r="M235" t="s">
        <v>1799</v>
      </c>
      <c r="N235">
        <v>320</v>
      </c>
      <c r="O235" s="1" t="s">
        <v>97</v>
      </c>
      <c r="P235" s="1" t="s">
        <v>201</v>
      </c>
      <c r="Q235" s="25">
        <v>33.812252000000001</v>
      </c>
      <c r="R235" s="25">
        <f>-87.164963</f>
        <v>-87.164963</v>
      </c>
      <c r="S235">
        <v>-14.348800000000001</v>
      </c>
      <c r="T235">
        <v>-28.94</v>
      </c>
      <c r="U235">
        <v>14.348800000000001</v>
      </c>
      <c r="V235" t="s">
        <v>1538</v>
      </c>
      <c r="W235" t="s">
        <v>13</v>
      </c>
      <c r="X235" t="s">
        <v>17</v>
      </c>
      <c r="Y235" s="1" t="s">
        <v>1367</v>
      </c>
    </row>
    <row r="236" spans="1:25" x14ac:dyDescent="0.25">
      <c r="A236" s="4">
        <v>394</v>
      </c>
      <c r="B236" s="9">
        <v>953</v>
      </c>
      <c r="C236" s="8" t="s">
        <v>298</v>
      </c>
      <c r="D236" s="6" t="s">
        <v>28</v>
      </c>
      <c r="E236" s="10">
        <v>6</v>
      </c>
      <c r="F236">
        <v>11.6038906736312</v>
      </c>
      <c r="G236">
        <v>5.1391877542904503</v>
      </c>
      <c r="H236" t="s">
        <v>92</v>
      </c>
      <c r="I236" t="s">
        <v>24</v>
      </c>
      <c r="J236" t="s">
        <v>185</v>
      </c>
      <c r="K236" t="s">
        <v>212</v>
      </c>
      <c r="L236">
        <v>319</v>
      </c>
      <c r="M236" t="s">
        <v>1799</v>
      </c>
      <c r="N236">
        <v>320</v>
      </c>
      <c r="O236" s="1" t="s">
        <v>97</v>
      </c>
      <c r="P236" s="1" t="s">
        <v>201</v>
      </c>
      <c r="Q236" s="25">
        <v>33.812252000000001</v>
      </c>
      <c r="R236" s="25">
        <f>-87.164963</f>
        <v>-87.164963</v>
      </c>
      <c r="S236">
        <v>-14.348800000000001</v>
      </c>
      <c r="T236">
        <v>-28.94</v>
      </c>
      <c r="U236">
        <v>14.348800000000001</v>
      </c>
      <c r="V236" t="s">
        <v>1538</v>
      </c>
      <c r="W236" t="s">
        <v>13</v>
      </c>
      <c r="X236" t="s">
        <v>17</v>
      </c>
      <c r="Y236" s="1" t="s">
        <v>1367</v>
      </c>
    </row>
    <row r="237" spans="1:25" x14ac:dyDescent="0.25">
      <c r="A237" s="4">
        <v>395</v>
      </c>
      <c r="B237" s="9">
        <v>954</v>
      </c>
      <c r="C237" s="8" t="s">
        <v>298</v>
      </c>
      <c r="D237" s="6" t="s">
        <v>28</v>
      </c>
      <c r="E237" s="10">
        <v>6</v>
      </c>
      <c r="F237">
        <v>12.2871791242426</v>
      </c>
      <c r="G237">
        <v>5.8169404071187598</v>
      </c>
      <c r="H237" t="s">
        <v>92</v>
      </c>
      <c r="I237" t="s">
        <v>24</v>
      </c>
      <c r="J237" t="s">
        <v>185</v>
      </c>
      <c r="K237" t="s">
        <v>212</v>
      </c>
      <c r="L237">
        <v>319</v>
      </c>
      <c r="M237" t="s">
        <v>1799</v>
      </c>
      <c r="N237">
        <v>320</v>
      </c>
      <c r="O237" s="1" t="s">
        <v>97</v>
      </c>
      <c r="P237" s="1" t="s">
        <v>201</v>
      </c>
      <c r="Q237" s="25">
        <v>33.812252000000001</v>
      </c>
      <c r="R237" s="25">
        <f>-87.164963</f>
        <v>-87.164963</v>
      </c>
      <c r="S237">
        <v>-14.348800000000001</v>
      </c>
      <c r="T237">
        <v>-28.94</v>
      </c>
      <c r="U237">
        <v>14.348800000000001</v>
      </c>
      <c r="V237" t="s">
        <v>1538</v>
      </c>
      <c r="W237" t="s">
        <v>13</v>
      </c>
      <c r="X237" t="s">
        <v>17</v>
      </c>
      <c r="Y237" s="1" t="s">
        <v>1367</v>
      </c>
    </row>
    <row r="238" spans="1:25" x14ac:dyDescent="0.25">
      <c r="A238" s="4">
        <v>396</v>
      </c>
      <c r="B238" s="9">
        <v>1370</v>
      </c>
      <c r="C238" s="8" t="s">
        <v>298</v>
      </c>
      <c r="D238" s="6" t="s">
        <v>28</v>
      </c>
      <c r="E238" s="10">
        <v>6</v>
      </c>
      <c r="F238">
        <v>10.884350027462199</v>
      </c>
      <c r="G238">
        <v>5.8860018208760101</v>
      </c>
      <c r="H238" t="s">
        <v>92</v>
      </c>
      <c r="I238" t="s">
        <v>24</v>
      </c>
      <c r="J238" t="s">
        <v>185</v>
      </c>
      <c r="K238" t="s">
        <v>212</v>
      </c>
      <c r="L238">
        <v>319</v>
      </c>
      <c r="M238" t="s">
        <v>1799</v>
      </c>
      <c r="N238">
        <v>320</v>
      </c>
      <c r="O238" s="1" t="s">
        <v>97</v>
      </c>
      <c r="P238" s="1" t="s">
        <v>201</v>
      </c>
      <c r="Q238" s="25">
        <v>33.812252000000001</v>
      </c>
      <c r="R238" s="25">
        <f>-87.164963</f>
        <v>-87.164963</v>
      </c>
      <c r="S238">
        <v>-14.348800000000001</v>
      </c>
      <c r="T238">
        <v>-28.94</v>
      </c>
      <c r="U238">
        <v>14.348800000000001</v>
      </c>
      <c r="V238" t="s">
        <v>1538</v>
      </c>
      <c r="W238" t="s">
        <v>13</v>
      </c>
      <c r="X238" t="s">
        <v>17</v>
      </c>
      <c r="Y238" s="1" t="s">
        <v>1367</v>
      </c>
    </row>
    <row r="239" spans="1:25" x14ac:dyDescent="0.25">
      <c r="A239" s="4">
        <v>397</v>
      </c>
      <c r="B239" s="9">
        <v>1820</v>
      </c>
      <c r="C239" s="8" t="s">
        <v>298</v>
      </c>
      <c r="D239" s="6" t="s">
        <v>28</v>
      </c>
      <c r="E239" s="10">
        <v>6</v>
      </c>
      <c r="F239">
        <v>12.716275848934</v>
      </c>
      <c r="G239">
        <v>7.7800830101465799</v>
      </c>
      <c r="H239" t="s">
        <v>92</v>
      </c>
      <c r="I239" t="s">
        <v>24</v>
      </c>
      <c r="J239" t="s">
        <v>185</v>
      </c>
      <c r="K239" t="s">
        <v>212</v>
      </c>
      <c r="L239">
        <v>319</v>
      </c>
      <c r="M239" t="s">
        <v>1799</v>
      </c>
      <c r="N239">
        <v>320</v>
      </c>
      <c r="O239" s="1" t="s">
        <v>97</v>
      </c>
      <c r="P239" s="1" t="s">
        <v>201</v>
      </c>
      <c r="Q239" s="25">
        <v>33.812252000000001</v>
      </c>
      <c r="R239" s="25">
        <f>-87.164963</f>
        <v>-87.164963</v>
      </c>
      <c r="S239">
        <v>-14.348800000000001</v>
      </c>
      <c r="T239">
        <v>-28.94</v>
      </c>
      <c r="U239">
        <v>14.348800000000001</v>
      </c>
      <c r="V239" t="s">
        <v>1538</v>
      </c>
      <c r="W239" t="s">
        <v>13</v>
      </c>
      <c r="X239" t="s">
        <v>17</v>
      </c>
      <c r="Y239" s="1" t="s">
        <v>1367</v>
      </c>
    </row>
    <row r="240" spans="1:25" x14ac:dyDescent="0.25">
      <c r="A240" s="4">
        <v>399</v>
      </c>
      <c r="B240" s="9">
        <v>1267</v>
      </c>
      <c r="C240" s="8" t="s">
        <v>298</v>
      </c>
      <c r="D240" s="6" t="s">
        <v>28</v>
      </c>
      <c r="E240" s="10">
        <v>6</v>
      </c>
      <c r="F240">
        <v>7.3166524893440004</v>
      </c>
      <c r="G240">
        <v>2.3514810807023201</v>
      </c>
      <c r="H240" t="s">
        <v>92</v>
      </c>
      <c r="I240" t="s">
        <v>24</v>
      </c>
      <c r="J240" t="s">
        <v>185</v>
      </c>
      <c r="K240" t="s">
        <v>212</v>
      </c>
      <c r="L240">
        <v>319</v>
      </c>
      <c r="M240" t="s">
        <v>1799</v>
      </c>
      <c r="N240">
        <v>320</v>
      </c>
      <c r="O240" s="1" t="s">
        <v>97</v>
      </c>
      <c r="P240" s="1" t="s">
        <v>201</v>
      </c>
      <c r="Q240" s="25">
        <v>33.812252000000001</v>
      </c>
      <c r="R240" s="25">
        <f>-87.164963</f>
        <v>-87.164963</v>
      </c>
      <c r="S240">
        <v>-14.348800000000001</v>
      </c>
      <c r="T240">
        <v>-28.94</v>
      </c>
      <c r="U240">
        <v>14.348800000000001</v>
      </c>
      <c r="V240" t="s">
        <v>1538</v>
      </c>
      <c r="W240" t="s">
        <v>13</v>
      </c>
      <c r="X240" t="s">
        <v>17</v>
      </c>
      <c r="Y240" s="1" t="s">
        <v>1367</v>
      </c>
    </row>
    <row r="241" spans="1:25" x14ac:dyDescent="0.25">
      <c r="A241" s="4">
        <v>400</v>
      </c>
      <c r="B241" s="9">
        <v>370</v>
      </c>
      <c r="C241" s="8" t="s">
        <v>298</v>
      </c>
      <c r="D241" s="6" t="s">
        <v>28</v>
      </c>
      <c r="E241" s="10">
        <v>6</v>
      </c>
      <c r="F241">
        <v>15.247691695841599</v>
      </c>
      <c r="G241">
        <v>7.9956629554680898</v>
      </c>
      <c r="H241" t="s">
        <v>92</v>
      </c>
      <c r="I241" t="s">
        <v>24</v>
      </c>
      <c r="J241" t="s">
        <v>185</v>
      </c>
      <c r="K241" t="s">
        <v>212</v>
      </c>
      <c r="L241">
        <v>319</v>
      </c>
      <c r="M241" t="s">
        <v>1799</v>
      </c>
      <c r="N241">
        <v>320</v>
      </c>
      <c r="O241" s="1" t="s">
        <v>97</v>
      </c>
      <c r="P241" s="1" t="s">
        <v>201</v>
      </c>
      <c r="Q241" s="25">
        <v>33.812252000000001</v>
      </c>
      <c r="R241" s="25">
        <f>-87.164963</f>
        <v>-87.164963</v>
      </c>
      <c r="S241">
        <v>-14.348800000000001</v>
      </c>
      <c r="T241">
        <v>-28.94</v>
      </c>
      <c r="U241">
        <v>14.348800000000001</v>
      </c>
      <c r="V241" t="s">
        <v>1538</v>
      </c>
      <c r="W241" t="s">
        <v>13</v>
      </c>
      <c r="X241" t="s">
        <v>17</v>
      </c>
      <c r="Y241" s="1" t="s">
        <v>1367</v>
      </c>
    </row>
    <row r="242" spans="1:25" x14ac:dyDescent="0.25">
      <c r="A242" s="4">
        <v>401</v>
      </c>
      <c r="B242" s="9">
        <v>2466</v>
      </c>
      <c r="C242" s="8" t="s">
        <v>298</v>
      </c>
      <c r="D242" s="6" t="s">
        <v>28</v>
      </c>
      <c r="E242" s="10">
        <v>6</v>
      </c>
      <c r="F242">
        <v>11.35679720525</v>
      </c>
      <c r="G242">
        <v>5.8706022361530801</v>
      </c>
      <c r="H242" t="s">
        <v>92</v>
      </c>
      <c r="I242" t="s">
        <v>24</v>
      </c>
      <c r="J242" t="s">
        <v>185</v>
      </c>
      <c r="K242" t="s">
        <v>212</v>
      </c>
      <c r="L242">
        <v>319</v>
      </c>
      <c r="M242" t="s">
        <v>1799</v>
      </c>
      <c r="N242">
        <v>320</v>
      </c>
      <c r="O242" s="1" t="s">
        <v>97</v>
      </c>
      <c r="P242" s="1" t="s">
        <v>201</v>
      </c>
      <c r="Q242" s="25">
        <v>33.812252000000001</v>
      </c>
      <c r="R242" s="25">
        <f>-87.164963</f>
        <v>-87.164963</v>
      </c>
      <c r="S242">
        <v>-14.348800000000001</v>
      </c>
      <c r="T242">
        <v>-28.94</v>
      </c>
      <c r="U242">
        <v>14.348800000000001</v>
      </c>
      <c r="V242" t="s">
        <v>1538</v>
      </c>
      <c r="W242" t="s">
        <v>13</v>
      </c>
      <c r="X242" t="s">
        <v>17</v>
      </c>
      <c r="Y242" s="1" t="s">
        <v>1367</v>
      </c>
    </row>
    <row r="243" spans="1:25" x14ac:dyDescent="0.25">
      <c r="A243" s="4">
        <v>402</v>
      </c>
      <c r="B243" s="9">
        <v>2528</v>
      </c>
      <c r="C243" s="8" t="s">
        <v>298</v>
      </c>
      <c r="D243" s="6" t="s">
        <v>28</v>
      </c>
      <c r="E243" s="10">
        <v>6</v>
      </c>
      <c r="F243">
        <v>5.46463864768715</v>
      </c>
      <c r="G243">
        <v>2.4881113304795002</v>
      </c>
      <c r="H243" t="s">
        <v>92</v>
      </c>
      <c r="I243" t="s">
        <v>24</v>
      </c>
      <c r="J243" t="s">
        <v>185</v>
      </c>
      <c r="K243" t="s">
        <v>212</v>
      </c>
      <c r="L243">
        <v>319</v>
      </c>
      <c r="M243" t="s">
        <v>1799</v>
      </c>
      <c r="N243">
        <v>320</v>
      </c>
      <c r="O243" s="1" t="s">
        <v>97</v>
      </c>
      <c r="P243" s="1" t="s">
        <v>201</v>
      </c>
      <c r="Q243" s="25">
        <v>33.812252000000001</v>
      </c>
      <c r="R243" s="25">
        <f>-87.164963</f>
        <v>-87.164963</v>
      </c>
      <c r="S243">
        <v>-14.348800000000001</v>
      </c>
      <c r="T243">
        <v>-28.94</v>
      </c>
      <c r="U243">
        <v>14.348800000000001</v>
      </c>
      <c r="V243" t="s">
        <v>1538</v>
      </c>
      <c r="W243" t="s">
        <v>13</v>
      </c>
      <c r="X243" t="s">
        <v>17</v>
      </c>
      <c r="Y243" s="1" t="s">
        <v>1367</v>
      </c>
    </row>
    <row r="244" spans="1:25" x14ac:dyDescent="0.25">
      <c r="A244" s="4">
        <v>403</v>
      </c>
      <c r="B244" s="9" t="s">
        <v>173</v>
      </c>
      <c r="C244" s="8" t="s">
        <v>49</v>
      </c>
      <c r="D244" s="6" t="s">
        <v>59</v>
      </c>
      <c r="E244" s="10">
        <v>5</v>
      </c>
      <c r="F244">
        <v>4.0581384208837701</v>
      </c>
      <c r="G244">
        <v>1.9222782054721199</v>
      </c>
      <c r="H244" t="s">
        <v>52</v>
      </c>
      <c r="I244" t="s">
        <v>24</v>
      </c>
      <c r="J244" t="s">
        <v>185</v>
      </c>
      <c r="K244" t="s">
        <v>212</v>
      </c>
      <c r="L244">
        <v>319</v>
      </c>
      <c r="M244" t="s">
        <v>1799</v>
      </c>
      <c r="N244">
        <v>320</v>
      </c>
      <c r="O244" s="1" t="s">
        <v>170</v>
      </c>
      <c r="P244" s="1" t="s">
        <v>169</v>
      </c>
      <c r="Q244" s="25">
        <v>-22.242650999999999</v>
      </c>
      <c r="R244" s="25">
        <v>-63.758423000000001</v>
      </c>
      <c r="S244">
        <v>-47.158900000000003</v>
      </c>
      <c r="T244">
        <v>-54.526400000000002</v>
      </c>
      <c r="U244">
        <v>47.158900000000003</v>
      </c>
      <c r="V244" t="s">
        <v>1539</v>
      </c>
      <c r="W244" t="s">
        <v>15</v>
      </c>
      <c r="X244" t="s">
        <v>16</v>
      </c>
      <c r="Y244" t="s">
        <v>171</v>
      </c>
    </row>
    <row r="245" spans="1:25" x14ac:dyDescent="0.25">
      <c r="A245" s="4">
        <v>414</v>
      </c>
      <c r="B245" s="9">
        <v>14843</v>
      </c>
      <c r="C245" s="8" t="s">
        <v>70</v>
      </c>
      <c r="D245" s="6" t="s">
        <v>59</v>
      </c>
      <c r="E245" s="10">
        <v>5</v>
      </c>
      <c r="F245">
        <v>4.6529042394494002</v>
      </c>
      <c r="G245">
        <v>1.8239288678859</v>
      </c>
      <c r="H245" t="s">
        <v>52</v>
      </c>
      <c r="I245" t="s">
        <v>24</v>
      </c>
      <c r="J245" t="s">
        <v>185</v>
      </c>
      <c r="K245" t="s">
        <v>212</v>
      </c>
      <c r="L245">
        <v>319</v>
      </c>
      <c r="M245" t="s">
        <v>1799</v>
      </c>
      <c r="N245">
        <v>320</v>
      </c>
      <c r="O245" s="1" t="s">
        <v>170</v>
      </c>
      <c r="P245" s="1" t="s">
        <v>169</v>
      </c>
      <c r="Q245" s="25">
        <v>-22.242650999999999</v>
      </c>
      <c r="R245" s="25">
        <v>-63.758423000000001</v>
      </c>
      <c r="S245">
        <v>-47.158900000000003</v>
      </c>
      <c r="T245">
        <v>-54.526400000000002</v>
      </c>
      <c r="U245">
        <v>47.158900000000003</v>
      </c>
      <c r="V245" t="s">
        <v>1539</v>
      </c>
      <c r="W245" t="s">
        <v>15</v>
      </c>
      <c r="X245" t="s">
        <v>16</v>
      </c>
      <c r="Y245" t="s">
        <v>171</v>
      </c>
    </row>
    <row r="246" spans="1:25" x14ac:dyDescent="0.25">
      <c r="A246" s="4">
        <v>415</v>
      </c>
      <c r="B246" s="9">
        <v>14843</v>
      </c>
      <c r="C246" s="8" t="s">
        <v>70</v>
      </c>
      <c r="D246" s="6" t="s">
        <v>28</v>
      </c>
      <c r="E246" s="10">
        <v>6</v>
      </c>
      <c r="F246">
        <v>8.3281991407617806</v>
      </c>
      <c r="G246">
        <v>4.7048913989212897</v>
      </c>
      <c r="H246" t="s">
        <v>52</v>
      </c>
      <c r="I246" t="s">
        <v>24</v>
      </c>
      <c r="J246" t="s">
        <v>185</v>
      </c>
      <c r="K246" t="s">
        <v>212</v>
      </c>
      <c r="L246">
        <v>319</v>
      </c>
      <c r="M246" t="s">
        <v>1799</v>
      </c>
      <c r="N246">
        <v>320</v>
      </c>
      <c r="O246" s="1" t="s">
        <v>170</v>
      </c>
      <c r="P246" s="1" t="s">
        <v>169</v>
      </c>
      <c r="Q246" s="25">
        <v>-22.242650999999999</v>
      </c>
      <c r="R246" s="25">
        <v>-63.758423000000001</v>
      </c>
      <c r="S246">
        <v>-47.158900000000003</v>
      </c>
      <c r="T246">
        <v>-54.526400000000002</v>
      </c>
      <c r="U246">
        <v>47.158900000000003</v>
      </c>
      <c r="V246" t="s">
        <v>1539</v>
      </c>
      <c r="W246" t="s">
        <v>15</v>
      </c>
      <c r="X246" t="s">
        <v>16</v>
      </c>
      <c r="Y246" t="s">
        <v>171</v>
      </c>
    </row>
    <row r="247" spans="1:25" x14ac:dyDescent="0.25">
      <c r="A247" s="4">
        <v>416</v>
      </c>
      <c r="B247" s="9" t="s">
        <v>174</v>
      </c>
      <c r="C247" s="8" t="s">
        <v>49</v>
      </c>
      <c r="D247" s="6" t="s">
        <v>28</v>
      </c>
      <c r="E247" s="10">
        <v>6</v>
      </c>
      <c r="F247">
        <v>4.5850959761925196</v>
      </c>
      <c r="G247">
        <v>2.5577231919642198</v>
      </c>
      <c r="H247" t="s">
        <v>52</v>
      </c>
      <c r="I247" t="s">
        <v>24</v>
      </c>
      <c r="J247" t="s">
        <v>185</v>
      </c>
      <c r="K247" t="s">
        <v>212</v>
      </c>
      <c r="L247">
        <v>319</v>
      </c>
      <c r="M247" t="s">
        <v>1799</v>
      </c>
      <c r="N247">
        <v>320</v>
      </c>
      <c r="O247" s="1" t="s">
        <v>170</v>
      </c>
      <c r="P247" s="1" t="s">
        <v>169</v>
      </c>
      <c r="Q247" s="25">
        <v>-22.242650999999999</v>
      </c>
      <c r="R247" s="25">
        <v>-63.758423000000001</v>
      </c>
      <c r="S247">
        <v>-47.158900000000003</v>
      </c>
      <c r="T247">
        <v>-54.526400000000002</v>
      </c>
      <c r="U247">
        <v>47.158900000000003</v>
      </c>
      <c r="V247" t="s">
        <v>1539</v>
      </c>
      <c r="W247" t="s">
        <v>15</v>
      </c>
      <c r="X247" t="s">
        <v>16</v>
      </c>
      <c r="Y247" t="s">
        <v>171</v>
      </c>
    </row>
    <row r="248" spans="1:25" x14ac:dyDescent="0.25">
      <c r="A248" s="4">
        <v>418</v>
      </c>
      <c r="B248" s="9" t="s">
        <v>178</v>
      </c>
      <c r="C248" s="8" t="s">
        <v>49</v>
      </c>
      <c r="D248" s="6" t="s">
        <v>60</v>
      </c>
      <c r="E248" s="10">
        <v>5</v>
      </c>
      <c r="F248">
        <v>5.6574341898659002</v>
      </c>
      <c r="G248">
        <v>0.942382297938545</v>
      </c>
      <c r="H248" t="s">
        <v>113</v>
      </c>
      <c r="I248" t="s">
        <v>24</v>
      </c>
      <c r="J248" t="s">
        <v>23</v>
      </c>
      <c r="K248" t="s">
        <v>38</v>
      </c>
      <c r="L248">
        <v>327</v>
      </c>
      <c r="M248" t="s">
        <v>1799</v>
      </c>
      <c r="N248">
        <v>320</v>
      </c>
      <c r="O248" s="1" t="s">
        <v>177</v>
      </c>
      <c r="P248" s="1" t="s">
        <v>175</v>
      </c>
      <c r="Q248" s="25">
        <v>-32.451618000000003</v>
      </c>
      <c r="R248" s="25">
        <v>151.48275699999999</v>
      </c>
      <c r="S248">
        <v>-52.634399999999999</v>
      </c>
      <c r="T248">
        <v>162.4984</v>
      </c>
      <c r="U248">
        <v>52.634399999999999</v>
      </c>
      <c r="V248" t="s">
        <v>1539</v>
      </c>
      <c r="W248" t="s">
        <v>15</v>
      </c>
      <c r="X248" t="s">
        <v>17</v>
      </c>
      <c r="Y248" t="s">
        <v>171</v>
      </c>
    </row>
    <row r="249" spans="1:25" x14ac:dyDescent="0.25">
      <c r="A249" s="4">
        <v>419</v>
      </c>
      <c r="B249" s="9" t="s">
        <v>178</v>
      </c>
      <c r="C249" s="8" t="s">
        <v>49</v>
      </c>
      <c r="D249" s="6" t="s">
        <v>73</v>
      </c>
      <c r="E249" s="10">
        <v>6</v>
      </c>
      <c r="F249">
        <v>5.0135030393441697</v>
      </c>
      <c r="G249">
        <v>1.7844588949736999</v>
      </c>
      <c r="H249" t="s">
        <v>113</v>
      </c>
      <c r="I249" t="s">
        <v>24</v>
      </c>
      <c r="J249" t="s">
        <v>23</v>
      </c>
      <c r="K249" t="s">
        <v>38</v>
      </c>
      <c r="L249">
        <v>327</v>
      </c>
      <c r="M249" t="s">
        <v>1799</v>
      </c>
      <c r="N249">
        <v>320</v>
      </c>
      <c r="O249" s="1" t="s">
        <v>177</v>
      </c>
      <c r="P249" s="1" t="s">
        <v>175</v>
      </c>
      <c r="Q249" s="25">
        <v>-32.451618000000003</v>
      </c>
      <c r="R249" s="25">
        <v>151.48275699999999</v>
      </c>
      <c r="S249">
        <v>-52.634399999999999</v>
      </c>
      <c r="T249">
        <v>162.4984</v>
      </c>
      <c r="U249">
        <v>52.634399999999999</v>
      </c>
      <c r="V249" t="s">
        <v>1539</v>
      </c>
      <c r="W249" t="s">
        <v>15</v>
      </c>
      <c r="X249" t="s">
        <v>17</v>
      </c>
      <c r="Y249" t="s">
        <v>171</v>
      </c>
    </row>
    <row r="250" spans="1:25" x14ac:dyDescent="0.25">
      <c r="A250" s="4">
        <v>420</v>
      </c>
      <c r="B250" s="9" t="s">
        <v>179</v>
      </c>
      <c r="C250" s="8" t="s">
        <v>49</v>
      </c>
      <c r="D250" s="6" t="s">
        <v>73</v>
      </c>
      <c r="E250" s="10">
        <v>6</v>
      </c>
      <c r="F250">
        <v>6.3234214105198996</v>
      </c>
      <c r="G250">
        <v>2.3668044088759199</v>
      </c>
      <c r="H250" t="s">
        <v>113</v>
      </c>
      <c r="I250" t="s">
        <v>24</v>
      </c>
      <c r="J250" t="s">
        <v>23</v>
      </c>
      <c r="K250" t="s">
        <v>38</v>
      </c>
      <c r="L250">
        <v>327</v>
      </c>
      <c r="M250" t="s">
        <v>1799</v>
      </c>
      <c r="N250">
        <v>320</v>
      </c>
      <c r="O250" s="1" t="s">
        <v>177</v>
      </c>
      <c r="P250" s="1" t="s">
        <v>175</v>
      </c>
      <c r="Q250" s="25">
        <v>-32.451618000000003</v>
      </c>
      <c r="R250" s="25">
        <v>151.48275699999999</v>
      </c>
      <c r="S250">
        <v>-52.634399999999999</v>
      </c>
      <c r="T250">
        <v>162.4984</v>
      </c>
      <c r="U250">
        <v>52.634399999999999</v>
      </c>
      <c r="V250" t="s">
        <v>1539</v>
      </c>
      <c r="W250" t="s">
        <v>15</v>
      </c>
      <c r="X250" t="s">
        <v>17</v>
      </c>
      <c r="Y250" t="s">
        <v>171</v>
      </c>
    </row>
    <row r="251" spans="1:25" x14ac:dyDescent="0.25">
      <c r="A251" s="4">
        <v>421</v>
      </c>
      <c r="B251" s="9" t="s">
        <v>180</v>
      </c>
      <c r="C251" s="8" t="s">
        <v>49</v>
      </c>
      <c r="D251" s="6" t="s">
        <v>73</v>
      </c>
      <c r="E251" s="10">
        <v>6</v>
      </c>
      <c r="F251">
        <v>5.6458301762337504</v>
      </c>
      <c r="G251">
        <v>2.23742338931824</v>
      </c>
      <c r="H251" t="s">
        <v>113</v>
      </c>
      <c r="I251" t="s">
        <v>24</v>
      </c>
      <c r="J251" t="s">
        <v>23</v>
      </c>
      <c r="K251" t="s">
        <v>38</v>
      </c>
      <c r="L251">
        <v>327</v>
      </c>
      <c r="M251" t="s">
        <v>1799</v>
      </c>
      <c r="N251">
        <v>320</v>
      </c>
      <c r="O251" s="1" t="s">
        <v>177</v>
      </c>
      <c r="P251" s="1" t="s">
        <v>175</v>
      </c>
      <c r="Q251" s="25">
        <v>-32.451618000000003</v>
      </c>
      <c r="R251" s="25">
        <v>151.48275699999999</v>
      </c>
      <c r="S251">
        <v>-52.634399999999999</v>
      </c>
      <c r="T251">
        <v>162.4984</v>
      </c>
      <c r="U251">
        <v>52.634399999999999</v>
      </c>
      <c r="V251" t="s">
        <v>1539</v>
      </c>
      <c r="W251" t="s">
        <v>15</v>
      </c>
      <c r="X251" t="s">
        <v>17</v>
      </c>
      <c r="Y251" t="s">
        <v>171</v>
      </c>
    </row>
    <row r="252" spans="1:25" x14ac:dyDescent="0.25">
      <c r="A252" s="4">
        <v>422</v>
      </c>
      <c r="B252" s="9" t="s">
        <v>181</v>
      </c>
      <c r="C252" s="8" t="s">
        <v>49</v>
      </c>
      <c r="D252" s="6" t="s">
        <v>73</v>
      </c>
      <c r="E252" s="10">
        <v>6</v>
      </c>
      <c r="F252">
        <v>7.03358188266672</v>
      </c>
      <c r="G252">
        <v>1.83290142348058</v>
      </c>
      <c r="H252" t="s">
        <v>113</v>
      </c>
      <c r="I252" t="s">
        <v>24</v>
      </c>
      <c r="J252" t="s">
        <v>23</v>
      </c>
      <c r="K252" t="s">
        <v>38</v>
      </c>
      <c r="L252">
        <v>327</v>
      </c>
      <c r="M252" t="s">
        <v>1799</v>
      </c>
      <c r="N252">
        <v>320</v>
      </c>
      <c r="O252" s="1" t="s">
        <v>177</v>
      </c>
      <c r="P252" s="1" t="s">
        <v>175</v>
      </c>
      <c r="Q252" s="25">
        <v>-32.451618000000003</v>
      </c>
      <c r="R252" s="25">
        <v>151.48275699999999</v>
      </c>
      <c r="S252">
        <v>-52.634399999999999</v>
      </c>
      <c r="T252">
        <v>162.4984</v>
      </c>
      <c r="U252">
        <v>52.634399999999999</v>
      </c>
      <c r="V252" t="s">
        <v>1539</v>
      </c>
      <c r="W252" t="s">
        <v>15</v>
      </c>
      <c r="X252" t="s">
        <v>17</v>
      </c>
      <c r="Y252" t="s">
        <v>171</v>
      </c>
    </row>
    <row r="253" spans="1:25" x14ac:dyDescent="0.25">
      <c r="A253" s="4">
        <v>423</v>
      </c>
      <c r="B253" s="9" t="s">
        <v>182</v>
      </c>
      <c r="C253" s="8" t="s">
        <v>49</v>
      </c>
      <c r="D253" s="6" t="s">
        <v>73</v>
      </c>
      <c r="E253" s="10">
        <v>6</v>
      </c>
      <c r="F253">
        <v>5.4367436254197896</v>
      </c>
      <c r="G253">
        <v>2.0393546866988399</v>
      </c>
      <c r="H253" t="s">
        <v>113</v>
      </c>
      <c r="I253" t="s">
        <v>24</v>
      </c>
      <c r="J253" t="s">
        <v>23</v>
      </c>
      <c r="K253" t="s">
        <v>38</v>
      </c>
      <c r="L253">
        <v>327</v>
      </c>
      <c r="M253" t="s">
        <v>1799</v>
      </c>
      <c r="N253">
        <v>320</v>
      </c>
      <c r="O253" s="1" t="s">
        <v>177</v>
      </c>
      <c r="P253" s="1" t="s">
        <v>175</v>
      </c>
      <c r="Q253" s="25">
        <v>-32.451618000000003</v>
      </c>
      <c r="R253" s="25">
        <v>151.48275699999999</v>
      </c>
      <c r="S253">
        <v>-52.634399999999999</v>
      </c>
      <c r="T253">
        <v>162.4984</v>
      </c>
      <c r="U253">
        <v>52.634399999999999</v>
      </c>
      <c r="V253" t="s">
        <v>1539</v>
      </c>
      <c r="W253" t="s">
        <v>15</v>
      </c>
      <c r="X253" t="s">
        <v>17</v>
      </c>
      <c r="Y253" t="s">
        <v>171</v>
      </c>
    </row>
    <row r="254" spans="1:25" x14ac:dyDescent="0.25">
      <c r="A254" s="4">
        <v>424</v>
      </c>
      <c r="B254" s="9" t="s">
        <v>183</v>
      </c>
      <c r="C254" s="8" t="s">
        <v>49</v>
      </c>
      <c r="D254" s="6" t="s">
        <v>73</v>
      </c>
      <c r="E254" s="10">
        <v>6</v>
      </c>
      <c r="F254">
        <v>5.73898618457791</v>
      </c>
      <c r="G254">
        <v>1.81034029996777</v>
      </c>
      <c r="H254" t="s">
        <v>113</v>
      </c>
      <c r="I254" t="s">
        <v>24</v>
      </c>
      <c r="J254" t="s">
        <v>23</v>
      </c>
      <c r="K254" t="s">
        <v>38</v>
      </c>
      <c r="L254">
        <v>327</v>
      </c>
      <c r="M254" t="s">
        <v>1799</v>
      </c>
      <c r="N254">
        <v>320</v>
      </c>
      <c r="O254" s="1" t="s">
        <v>177</v>
      </c>
      <c r="P254" s="1" t="s">
        <v>175</v>
      </c>
      <c r="Q254" s="25">
        <v>-32.451618000000003</v>
      </c>
      <c r="R254" s="25">
        <v>151.48275699999999</v>
      </c>
      <c r="S254">
        <v>-52.634399999999999</v>
      </c>
      <c r="T254">
        <v>162.4984</v>
      </c>
      <c r="U254">
        <v>52.634399999999999</v>
      </c>
      <c r="V254" t="s">
        <v>1539</v>
      </c>
      <c r="W254" t="s">
        <v>15</v>
      </c>
      <c r="X254" t="s">
        <v>17</v>
      </c>
      <c r="Y254" t="s">
        <v>171</v>
      </c>
    </row>
    <row r="255" spans="1:25" x14ac:dyDescent="0.25">
      <c r="A255" s="4">
        <v>426</v>
      </c>
      <c r="B255" s="9" t="s">
        <v>288</v>
      </c>
      <c r="C255" s="8" t="s">
        <v>287</v>
      </c>
      <c r="D255" s="6" t="s">
        <v>67</v>
      </c>
      <c r="E255" s="10">
        <v>6</v>
      </c>
      <c r="F255">
        <v>11.588970977138599</v>
      </c>
      <c r="G255">
        <v>4.0393964709355901</v>
      </c>
      <c r="H255" t="s">
        <v>92</v>
      </c>
      <c r="I255" t="s">
        <v>24</v>
      </c>
      <c r="J255" t="s">
        <v>185</v>
      </c>
      <c r="K255" t="s">
        <v>212</v>
      </c>
      <c r="L255">
        <v>319</v>
      </c>
      <c r="M255" t="s">
        <v>1799</v>
      </c>
      <c r="N255">
        <v>320</v>
      </c>
      <c r="O255" s="1" t="s">
        <v>187</v>
      </c>
      <c r="P255" s="1" t="s">
        <v>210</v>
      </c>
      <c r="Q255" s="25">
        <v>38.523404999999997</v>
      </c>
      <c r="R255" s="25">
        <v>-86.591188000000002</v>
      </c>
      <c r="S255">
        <v>-10.434699999999999</v>
      </c>
      <c r="T255">
        <v>-26.2134</v>
      </c>
      <c r="U255">
        <v>10.434699999999999</v>
      </c>
      <c r="V255" t="s">
        <v>1538</v>
      </c>
      <c r="W255" t="s">
        <v>13</v>
      </c>
      <c r="X255" t="s">
        <v>17</v>
      </c>
      <c r="Y255" s="1" t="s">
        <v>188</v>
      </c>
    </row>
    <row r="256" spans="1:25" x14ac:dyDescent="0.25">
      <c r="A256" s="4">
        <v>427</v>
      </c>
      <c r="B256" s="9" t="s">
        <v>290</v>
      </c>
      <c r="C256" s="8" t="s">
        <v>287</v>
      </c>
      <c r="D256" s="6" t="s">
        <v>289</v>
      </c>
      <c r="E256" s="10">
        <v>6</v>
      </c>
      <c r="F256">
        <v>8.7992107514271805</v>
      </c>
      <c r="G256">
        <v>3.1111590697759</v>
      </c>
      <c r="H256" t="s">
        <v>92</v>
      </c>
      <c r="I256" t="s">
        <v>24</v>
      </c>
      <c r="J256" t="s">
        <v>185</v>
      </c>
      <c r="K256" t="s">
        <v>212</v>
      </c>
      <c r="L256">
        <v>319</v>
      </c>
      <c r="M256" t="s">
        <v>1799</v>
      </c>
      <c r="N256">
        <v>320</v>
      </c>
      <c r="O256" s="1" t="s">
        <v>187</v>
      </c>
      <c r="P256" s="1" t="s">
        <v>210</v>
      </c>
      <c r="Q256" s="25">
        <v>38.523404999999997</v>
      </c>
      <c r="R256" s="25">
        <v>-86.591188000000002</v>
      </c>
      <c r="S256">
        <v>-10.434699999999999</v>
      </c>
      <c r="T256">
        <v>-26.2134</v>
      </c>
      <c r="U256">
        <v>10.434699999999999</v>
      </c>
      <c r="V256" t="s">
        <v>1538</v>
      </c>
      <c r="W256" t="s">
        <v>13</v>
      </c>
      <c r="X256" t="s">
        <v>17</v>
      </c>
      <c r="Y256" s="1" t="s">
        <v>188</v>
      </c>
    </row>
    <row r="257" spans="1:25" x14ac:dyDescent="0.25">
      <c r="A257" s="4">
        <v>428</v>
      </c>
      <c r="B257" s="9" t="s">
        <v>288</v>
      </c>
      <c r="C257" s="8" t="s">
        <v>287</v>
      </c>
      <c r="D257" s="10" t="s">
        <v>434</v>
      </c>
      <c r="E257" s="10">
        <v>6</v>
      </c>
      <c r="F257">
        <v>14.390535754802499</v>
      </c>
      <c r="G257">
        <v>6.1545060575821804</v>
      </c>
      <c r="H257" t="s">
        <v>92</v>
      </c>
      <c r="I257" t="s">
        <v>24</v>
      </c>
      <c r="J257" t="s">
        <v>185</v>
      </c>
      <c r="K257" t="s">
        <v>212</v>
      </c>
      <c r="L257">
        <v>319</v>
      </c>
      <c r="M257" t="s">
        <v>1799</v>
      </c>
      <c r="N257">
        <v>320</v>
      </c>
      <c r="O257" s="1" t="s">
        <v>187</v>
      </c>
      <c r="P257" s="1" t="s">
        <v>210</v>
      </c>
      <c r="Q257" s="25">
        <v>38.523404999999997</v>
      </c>
      <c r="R257" s="25">
        <v>-86.591188000000002</v>
      </c>
      <c r="S257">
        <v>-10.434699999999999</v>
      </c>
      <c r="T257">
        <v>-26.2134</v>
      </c>
      <c r="U257">
        <v>10.434699999999999</v>
      </c>
      <c r="V257" t="s">
        <v>1538</v>
      </c>
      <c r="W257" t="s">
        <v>13</v>
      </c>
      <c r="X257" t="s">
        <v>17</v>
      </c>
      <c r="Y257" s="1" t="s">
        <v>188</v>
      </c>
    </row>
    <row r="258" spans="1:25" x14ac:dyDescent="0.25">
      <c r="A258" s="4">
        <v>429</v>
      </c>
      <c r="B258" s="9" t="s">
        <v>288</v>
      </c>
      <c r="C258" s="8" t="s">
        <v>287</v>
      </c>
      <c r="D258" s="10" t="s">
        <v>434</v>
      </c>
      <c r="E258" s="10">
        <v>6</v>
      </c>
      <c r="F258">
        <v>13.819986007423701</v>
      </c>
      <c r="G258">
        <v>5.0139276324651103</v>
      </c>
      <c r="H258" t="s">
        <v>92</v>
      </c>
      <c r="I258" t="s">
        <v>24</v>
      </c>
      <c r="J258" t="s">
        <v>185</v>
      </c>
      <c r="K258" t="s">
        <v>212</v>
      </c>
      <c r="L258">
        <v>319</v>
      </c>
      <c r="M258" t="s">
        <v>1799</v>
      </c>
      <c r="N258">
        <v>320</v>
      </c>
      <c r="O258" s="1" t="s">
        <v>187</v>
      </c>
      <c r="P258" s="1" t="s">
        <v>210</v>
      </c>
      <c r="Q258" s="25">
        <v>38.523404999999997</v>
      </c>
      <c r="R258" s="25">
        <v>-86.591188000000002</v>
      </c>
      <c r="S258">
        <v>-10.434699999999999</v>
      </c>
      <c r="T258">
        <v>-26.2134</v>
      </c>
      <c r="U258">
        <v>10.434699999999999</v>
      </c>
      <c r="V258" t="s">
        <v>1538</v>
      </c>
      <c r="W258" t="s">
        <v>13</v>
      </c>
      <c r="X258" t="s">
        <v>17</v>
      </c>
      <c r="Y258" s="1" t="s">
        <v>188</v>
      </c>
    </row>
    <row r="259" spans="1:25" x14ac:dyDescent="0.25">
      <c r="A259" s="4">
        <v>430</v>
      </c>
      <c r="B259" s="9" t="s">
        <v>173</v>
      </c>
      <c r="C259" s="8" t="s">
        <v>49</v>
      </c>
      <c r="D259" s="6" t="s">
        <v>130</v>
      </c>
      <c r="E259" s="10">
        <v>6</v>
      </c>
      <c r="F259">
        <v>19.9312022276407</v>
      </c>
      <c r="G259">
        <v>9.9183224455650691</v>
      </c>
      <c r="H259" t="s">
        <v>140</v>
      </c>
      <c r="I259" t="s">
        <v>24</v>
      </c>
      <c r="J259" t="s">
        <v>185</v>
      </c>
      <c r="K259" t="s">
        <v>186</v>
      </c>
      <c r="L259">
        <v>311</v>
      </c>
      <c r="M259" t="s">
        <v>1799</v>
      </c>
      <c r="N259">
        <v>320</v>
      </c>
      <c r="O259" s="1" t="s">
        <v>194</v>
      </c>
      <c r="P259" s="1" t="s">
        <v>193</v>
      </c>
      <c r="Q259" s="25">
        <v>45.7</v>
      </c>
      <c r="R259" s="25">
        <v>-64.433333000000005</v>
      </c>
      <c r="S259">
        <v>-9.1189</v>
      </c>
      <c r="T259">
        <v>-8.1374999999999993</v>
      </c>
      <c r="U259">
        <v>9.1189</v>
      </c>
      <c r="V259" t="s">
        <v>1537</v>
      </c>
      <c r="W259" t="s">
        <v>13</v>
      </c>
      <c r="X259" t="s">
        <v>16</v>
      </c>
      <c r="Y259" t="s">
        <v>195</v>
      </c>
    </row>
    <row r="260" spans="1:25" x14ac:dyDescent="0.25">
      <c r="A260" s="4">
        <v>434</v>
      </c>
      <c r="B260" s="9" t="s">
        <v>164</v>
      </c>
      <c r="C260" s="8" t="s">
        <v>49</v>
      </c>
      <c r="D260" s="6" t="s">
        <v>196</v>
      </c>
      <c r="E260" s="10">
        <v>6</v>
      </c>
      <c r="F260">
        <v>20.699263285743701</v>
      </c>
      <c r="G260">
        <v>9.2469050874642207</v>
      </c>
      <c r="H260" t="s">
        <v>140</v>
      </c>
      <c r="I260" t="s">
        <v>24</v>
      </c>
      <c r="J260" t="s">
        <v>185</v>
      </c>
      <c r="K260" t="s">
        <v>186</v>
      </c>
      <c r="L260">
        <v>311</v>
      </c>
      <c r="M260" t="s">
        <v>1799</v>
      </c>
      <c r="N260">
        <v>320</v>
      </c>
      <c r="O260" s="1" t="s">
        <v>194</v>
      </c>
      <c r="P260" s="1" t="s">
        <v>193</v>
      </c>
      <c r="Q260" s="25">
        <v>45.7</v>
      </c>
      <c r="R260" s="25">
        <v>-64.433333000000005</v>
      </c>
      <c r="S260">
        <v>-9.1189</v>
      </c>
      <c r="T260">
        <v>-8.1374999999999993</v>
      </c>
      <c r="U260">
        <v>9.1189</v>
      </c>
      <c r="V260" t="s">
        <v>1537</v>
      </c>
      <c r="W260" t="s">
        <v>13</v>
      </c>
      <c r="X260" t="s">
        <v>16</v>
      </c>
      <c r="Y260" t="s">
        <v>195</v>
      </c>
    </row>
    <row r="261" spans="1:25" x14ac:dyDescent="0.25">
      <c r="A261" s="4">
        <v>435</v>
      </c>
      <c r="B261" s="9" t="s">
        <v>198</v>
      </c>
      <c r="C261" s="8" t="s">
        <v>199</v>
      </c>
      <c r="D261" s="6" t="s">
        <v>157</v>
      </c>
      <c r="E261" s="10">
        <v>6</v>
      </c>
      <c r="F261">
        <v>8.8390688824479202</v>
      </c>
      <c r="G261">
        <v>4.7331388629539104</v>
      </c>
      <c r="H261" t="s">
        <v>140</v>
      </c>
      <c r="I261" t="s">
        <v>24</v>
      </c>
      <c r="J261" t="s">
        <v>185</v>
      </c>
      <c r="K261" t="s">
        <v>186</v>
      </c>
      <c r="L261">
        <v>311</v>
      </c>
      <c r="M261" t="s">
        <v>1799</v>
      </c>
      <c r="N261">
        <v>320</v>
      </c>
      <c r="O261" s="1" t="s">
        <v>194</v>
      </c>
      <c r="P261" s="1" t="s">
        <v>193</v>
      </c>
      <c r="Q261" s="25">
        <v>45.7</v>
      </c>
      <c r="R261" s="25">
        <v>-64.433333000000005</v>
      </c>
      <c r="S261">
        <v>-9.1189</v>
      </c>
      <c r="T261">
        <v>-8.1374999999999993</v>
      </c>
      <c r="U261">
        <v>9.1189</v>
      </c>
      <c r="V261" t="s">
        <v>1537</v>
      </c>
      <c r="W261" t="s">
        <v>13</v>
      </c>
      <c r="X261" t="s">
        <v>16</v>
      </c>
      <c r="Y261" t="s">
        <v>197</v>
      </c>
    </row>
    <row r="262" spans="1:25" x14ac:dyDescent="0.25">
      <c r="A262" s="4">
        <v>438</v>
      </c>
      <c r="B262" s="9" t="s">
        <v>173</v>
      </c>
      <c r="C262" s="8" t="s">
        <v>29</v>
      </c>
      <c r="D262" s="6" t="s">
        <v>28</v>
      </c>
      <c r="E262" s="10">
        <v>6</v>
      </c>
      <c r="F262">
        <v>159.013751816016</v>
      </c>
      <c r="G262">
        <v>111.970098137083</v>
      </c>
      <c r="H262" t="s">
        <v>140</v>
      </c>
      <c r="I262" t="s">
        <v>24</v>
      </c>
      <c r="J262" t="s">
        <v>185</v>
      </c>
      <c r="K262" t="s">
        <v>186</v>
      </c>
      <c r="L262">
        <v>311</v>
      </c>
      <c r="M262" t="s">
        <v>1799</v>
      </c>
      <c r="N262">
        <v>320</v>
      </c>
      <c r="O262" s="1" t="s">
        <v>194</v>
      </c>
      <c r="P262" s="1" t="s">
        <v>193</v>
      </c>
      <c r="Q262" s="25">
        <v>45.7</v>
      </c>
      <c r="R262" s="25">
        <v>-64.433333000000005</v>
      </c>
      <c r="S262">
        <v>-9.1189</v>
      </c>
      <c r="T262">
        <v>-8.1374999999999993</v>
      </c>
      <c r="U262">
        <v>9.1189</v>
      </c>
      <c r="V262" t="s">
        <v>1537</v>
      </c>
      <c r="W262" t="s">
        <v>13</v>
      </c>
      <c r="X262" t="s">
        <v>17</v>
      </c>
      <c r="Y262" s="1" t="s">
        <v>197</v>
      </c>
    </row>
    <row r="263" spans="1:25" x14ac:dyDescent="0.25">
      <c r="A263" s="4">
        <v>439</v>
      </c>
      <c r="B263" s="9" t="s">
        <v>225</v>
      </c>
      <c r="C263" s="8" t="s">
        <v>29</v>
      </c>
      <c r="D263" s="6" t="s">
        <v>28</v>
      </c>
      <c r="E263" s="10">
        <v>6</v>
      </c>
      <c r="F263">
        <v>230.08096706393201</v>
      </c>
      <c r="G263">
        <v>174.60540692273199</v>
      </c>
      <c r="H263" t="s">
        <v>140</v>
      </c>
      <c r="I263" t="s">
        <v>24</v>
      </c>
      <c r="J263" t="s">
        <v>185</v>
      </c>
      <c r="K263" t="s">
        <v>186</v>
      </c>
      <c r="L263">
        <v>311</v>
      </c>
      <c r="M263" t="s">
        <v>1799</v>
      </c>
      <c r="N263">
        <v>320</v>
      </c>
      <c r="O263" s="1" t="s">
        <v>194</v>
      </c>
      <c r="P263" s="1" t="s">
        <v>193</v>
      </c>
      <c r="Q263" s="25">
        <v>45.7</v>
      </c>
      <c r="R263" s="25">
        <v>-64.433333000000005</v>
      </c>
      <c r="S263">
        <v>-9.1189</v>
      </c>
      <c r="T263">
        <v>-8.1374999999999993</v>
      </c>
      <c r="U263">
        <v>9.1189</v>
      </c>
      <c r="V263" t="s">
        <v>1537</v>
      </c>
      <c r="W263" t="s">
        <v>13</v>
      </c>
      <c r="X263" t="s">
        <v>17</v>
      </c>
      <c r="Y263" s="1" t="s">
        <v>197</v>
      </c>
    </row>
    <row r="264" spans="1:25" x14ac:dyDescent="0.25">
      <c r="A264" s="4">
        <v>440</v>
      </c>
      <c r="B264" s="9" t="s">
        <v>276</v>
      </c>
      <c r="C264" s="8" t="s">
        <v>29</v>
      </c>
      <c r="D264" s="6" t="s">
        <v>28</v>
      </c>
      <c r="E264" s="10">
        <v>6</v>
      </c>
      <c r="F264">
        <v>17.9913396960063</v>
      </c>
      <c r="G264">
        <v>11.302627673801799</v>
      </c>
      <c r="H264" t="s">
        <v>140</v>
      </c>
      <c r="I264" t="s">
        <v>24</v>
      </c>
      <c r="J264" t="s">
        <v>185</v>
      </c>
      <c r="K264" t="s">
        <v>186</v>
      </c>
      <c r="L264">
        <v>311</v>
      </c>
      <c r="M264" t="s">
        <v>1799</v>
      </c>
      <c r="N264">
        <v>320</v>
      </c>
      <c r="O264" s="1" t="s">
        <v>194</v>
      </c>
      <c r="P264" s="1" t="s">
        <v>193</v>
      </c>
      <c r="Q264" s="25">
        <v>45.7</v>
      </c>
      <c r="R264" s="25">
        <v>-64.433333000000005</v>
      </c>
      <c r="S264">
        <v>-9.1189</v>
      </c>
      <c r="T264">
        <v>-8.1374999999999993</v>
      </c>
      <c r="U264">
        <v>9.1189</v>
      </c>
      <c r="V264" t="s">
        <v>1537</v>
      </c>
      <c r="W264" t="s">
        <v>13</v>
      </c>
      <c r="X264" t="s">
        <v>17</v>
      </c>
      <c r="Y264" s="1" t="s">
        <v>197</v>
      </c>
    </row>
    <row r="265" spans="1:25" x14ac:dyDescent="0.25">
      <c r="A265" s="4">
        <v>441</v>
      </c>
      <c r="B265" s="9">
        <v>5364110</v>
      </c>
      <c r="C265" s="8" t="s">
        <v>199</v>
      </c>
      <c r="D265" s="6" t="s">
        <v>28</v>
      </c>
      <c r="E265" s="10">
        <v>6</v>
      </c>
      <c r="F265">
        <v>201.023375248132</v>
      </c>
      <c r="G265">
        <v>150.76910847652999</v>
      </c>
      <c r="H265" t="s">
        <v>140</v>
      </c>
      <c r="I265" t="s">
        <v>24</v>
      </c>
      <c r="J265" t="s">
        <v>185</v>
      </c>
      <c r="K265" t="s">
        <v>186</v>
      </c>
      <c r="L265">
        <v>311</v>
      </c>
      <c r="M265" t="s">
        <v>1799</v>
      </c>
      <c r="N265">
        <v>320</v>
      </c>
      <c r="O265" s="1" t="s">
        <v>194</v>
      </c>
      <c r="P265" s="1" t="s">
        <v>193</v>
      </c>
      <c r="Q265" s="25">
        <v>45.7</v>
      </c>
      <c r="R265" s="25">
        <v>-64.433333000000005</v>
      </c>
      <c r="S265">
        <v>-9.1189</v>
      </c>
      <c r="T265">
        <v>-8.1374999999999993</v>
      </c>
      <c r="U265">
        <v>9.1189</v>
      </c>
      <c r="V265" t="s">
        <v>1537</v>
      </c>
      <c r="W265" t="s">
        <v>13</v>
      </c>
      <c r="X265" t="s">
        <v>17</v>
      </c>
      <c r="Y265" s="1" t="s">
        <v>197</v>
      </c>
    </row>
    <row r="266" spans="1:25" x14ac:dyDescent="0.25">
      <c r="A266" s="4">
        <v>442</v>
      </c>
      <c r="B266" s="9">
        <v>5364110</v>
      </c>
      <c r="C266" s="8" t="s">
        <v>199</v>
      </c>
      <c r="D266" s="6" t="s">
        <v>28</v>
      </c>
      <c r="E266" s="10">
        <v>6</v>
      </c>
      <c r="F266">
        <v>190.31132503984401</v>
      </c>
      <c r="G266">
        <v>148.480271773147</v>
      </c>
      <c r="H266" t="s">
        <v>140</v>
      </c>
      <c r="I266" t="s">
        <v>24</v>
      </c>
      <c r="J266" t="s">
        <v>185</v>
      </c>
      <c r="K266" t="s">
        <v>186</v>
      </c>
      <c r="L266">
        <v>311</v>
      </c>
      <c r="M266" t="s">
        <v>1799</v>
      </c>
      <c r="N266">
        <v>320</v>
      </c>
      <c r="O266" s="1" t="s">
        <v>194</v>
      </c>
      <c r="P266" s="1" t="s">
        <v>193</v>
      </c>
      <c r="Q266" s="25">
        <v>45.7</v>
      </c>
      <c r="R266" s="25">
        <v>-64.433333000000005</v>
      </c>
      <c r="S266">
        <v>-9.1189</v>
      </c>
      <c r="T266">
        <v>-8.1374999999999993</v>
      </c>
      <c r="U266">
        <v>9.1189</v>
      </c>
      <c r="V266" t="s">
        <v>1537</v>
      </c>
      <c r="W266" t="s">
        <v>13</v>
      </c>
      <c r="X266" t="s">
        <v>17</v>
      </c>
      <c r="Y266" s="1" t="s">
        <v>197</v>
      </c>
    </row>
    <row r="267" spans="1:25" x14ac:dyDescent="0.25">
      <c r="A267" s="4">
        <v>443</v>
      </c>
      <c r="B267" s="9" t="s">
        <v>206</v>
      </c>
      <c r="C267" s="8" t="s">
        <v>207</v>
      </c>
      <c r="D267" s="6" t="s">
        <v>130</v>
      </c>
      <c r="E267" s="10">
        <v>6</v>
      </c>
      <c r="F267">
        <v>108.387957365064</v>
      </c>
      <c r="G267">
        <v>86.092517274083704</v>
      </c>
      <c r="H267" t="s">
        <v>203</v>
      </c>
      <c r="I267" t="s">
        <v>24</v>
      </c>
      <c r="J267" t="s">
        <v>185</v>
      </c>
      <c r="K267" t="s">
        <v>186</v>
      </c>
      <c r="L267">
        <v>311</v>
      </c>
      <c r="M267" t="s">
        <v>1799</v>
      </c>
      <c r="N267">
        <v>320</v>
      </c>
      <c r="O267" s="1" t="s">
        <v>205</v>
      </c>
      <c r="P267" s="1" t="s">
        <v>204</v>
      </c>
      <c r="Q267" s="25">
        <v>42.828018</v>
      </c>
      <c r="R267" s="25">
        <v>-4.7451290000000004</v>
      </c>
      <c r="S267">
        <v>-9.7390000000000008</v>
      </c>
      <c r="T267">
        <v>8.8346999999999998</v>
      </c>
      <c r="U267">
        <v>9.7390000000000008</v>
      </c>
      <c r="V267" t="s">
        <v>1538</v>
      </c>
      <c r="W267" t="s">
        <v>13</v>
      </c>
      <c r="X267" t="s">
        <v>16</v>
      </c>
      <c r="Y267" t="s">
        <v>202</v>
      </c>
    </row>
    <row r="268" spans="1:25" x14ac:dyDescent="0.25">
      <c r="A268" s="4">
        <v>448</v>
      </c>
      <c r="B268" s="9" t="s">
        <v>206</v>
      </c>
      <c r="C268" s="8" t="s">
        <v>207</v>
      </c>
      <c r="D268" s="6" t="s">
        <v>208</v>
      </c>
      <c r="E268" s="10">
        <v>7</v>
      </c>
      <c r="F268">
        <v>22.207326731943802</v>
      </c>
      <c r="G268">
        <v>10.894816001713901</v>
      </c>
      <c r="H268" t="s">
        <v>203</v>
      </c>
      <c r="I268" t="s">
        <v>24</v>
      </c>
      <c r="J268" t="s">
        <v>185</v>
      </c>
      <c r="K268" t="s">
        <v>186</v>
      </c>
      <c r="L268">
        <v>311</v>
      </c>
      <c r="M268" t="s">
        <v>1799</v>
      </c>
      <c r="N268">
        <v>320</v>
      </c>
      <c r="O268" s="1" t="s">
        <v>205</v>
      </c>
      <c r="P268" s="1" t="s">
        <v>204</v>
      </c>
      <c r="Q268" s="25">
        <v>42.828018</v>
      </c>
      <c r="R268" s="25">
        <v>-4.7451290000000004</v>
      </c>
      <c r="S268">
        <v>-9.7390000000000008</v>
      </c>
      <c r="T268">
        <v>8.8346999999999998</v>
      </c>
      <c r="U268">
        <v>9.7390000000000008</v>
      </c>
      <c r="V268" t="s">
        <v>1538</v>
      </c>
      <c r="W268" t="s">
        <v>13</v>
      </c>
      <c r="X268" t="s">
        <v>16</v>
      </c>
      <c r="Y268" t="s">
        <v>202</v>
      </c>
    </row>
    <row r="269" spans="1:25" x14ac:dyDescent="0.25">
      <c r="A269" s="4">
        <v>452</v>
      </c>
      <c r="B269" s="9" t="s">
        <v>206</v>
      </c>
      <c r="C269" s="8" t="s">
        <v>207</v>
      </c>
      <c r="D269" s="6" t="s">
        <v>209</v>
      </c>
      <c r="E269" s="10">
        <v>6</v>
      </c>
      <c r="F269">
        <v>24.724270268310999</v>
      </c>
      <c r="G269">
        <v>12.5525044178687</v>
      </c>
      <c r="H269" t="s">
        <v>203</v>
      </c>
      <c r="I269" t="s">
        <v>24</v>
      </c>
      <c r="J269" t="s">
        <v>185</v>
      </c>
      <c r="K269" t="s">
        <v>186</v>
      </c>
      <c r="L269">
        <v>311</v>
      </c>
      <c r="M269" t="s">
        <v>1799</v>
      </c>
      <c r="N269">
        <v>320</v>
      </c>
      <c r="O269" s="1" t="s">
        <v>205</v>
      </c>
      <c r="P269" s="1" t="s">
        <v>204</v>
      </c>
      <c r="Q269" s="25">
        <v>42.828018</v>
      </c>
      <c r="R269" s="25">
        <v>-4.7451290000000004</v>
      </c>
      <c r="S269">
        <v>-9.7390000000000008</v>
      </c>
      <c r="T269">
        <v>8.8346999999999998</v>
      </c>
      <c r="U269">
        <v>9.7390000000000008</v>
      </c>
      <c r="V269" t="s">
        <v>1538</v>
      </c>
      <c r="W269" t="s">
        <v>13</v>
      </c>
      <c r="X269" t="s">
        <v>16</v>
      </c>
      <c r="Y269" t="s">
        <v>202</v>
      </c>
    </row>
    <row r="270" spans="1:25" x14ac:dyDescent="0.25">
      <c r="A270" s="4">
        <v>456</v>
      </c>
      <c r="B270" s="9">
        <v>16047</v>
      </c>
      <c r="C270" s="8" t="s">
        <v>280</v>
      </c>
      <c r="D270" s="6" t="s">
        <v>279</v>
      </c>
      <c r="E270" s="10">
        <v>5</v>
      </c>
      <c r="F270">
        <v>3.8598856651575399</v>
      </c>
      <c r="G270">
        <v>0.84314323363688903</v>
      </c>
      <c r="H270" t="s">
        <v>140</v>
      </c>
      <c r="I270" t="s">
        <v>24</v>
      </c>
      <c r="J270" t="s">
        <v>185</v>
      </c>
      <c r="K270" t="s">
        <v>212</v>
      </c>
      <c r="L270">
        <v>319</v>
      </c>
      <c r="M270" t="s">
        <v>1799</v>
      </c>
      <c r="N270">
        <v>320</v>
      </c>
      <c r="O270" s="1" t="s">
        <v>194</v>
      </c>
      <c r="P270" s="1" t="s">
        <v>277</v>
      </c>
      <c r="Q270" s="25">
        <v>45.308835000000002</v>
      </c>
      <c r="R270" s="25">
        <v>-65.585998000000004</v>
      </c>
      <c r="S270">
        <v>-9.3553999999999995</v>
      </c>
      <c r="T270">
        <v>-9.0147999999999993</v>
      </c>
      <c r="U270">
        <v>9.3553999999999995</v>
      </c>
      <c r="V270" t="s">
        <v>1537</v>
      </c>
      <c r="W270" t="s">
        <v>13</v>
      </c>
      <c r="X270" t="s">
        <v>17</v>
      </c>
      <c r="Y270" s="1" t="s">
        <v>278</v>
      </c>
    </row>
    <row r="271" spans="1:25" x14ac:dyDescent="0.25">
      <c r="A271" s="4">
        <v>458</v>
      </c>
      <c r="B271" s="9" t="s">
        <v>378</v>
      </c>
      <c r="C271" s="8" t="s">
        <v>29</v>
      </c>
      <c r="D271" s="6" t="s">
        <v>28</v>
      </c>
      <c r="E271" s="10">
        <v>6</v>
      </c>
      <c r="F271">
        <v>273.552931784652</v>
      </c>
      <c r="G271">
        <v>124.273590480067</v>
      </c>
      <c r="H271" t="s">
        <v>140</v>
      </c>
      <c r="I271" t="s">
        <v>24</v>
      </c>
      <c r="J271" t="s">
        <v>185</v>
      </c>
      <c r="K271" t="s">
        <v>212</v>
      </c>
      <c r="L271">
        <v>319</v>
      </c>
      <c r="M271" t="s">
        <v>1799</v>
      </c>
      <c r="N271">
        <v>320</v>
      </c>
      <c r="O271" s="1" t="s">
        <v>194</v>
      </c>
      <c r="P271" s="1" t="s">
        <v>277</v>
      </c>
      <c r="Q271" s="25">
        <v>45.308835000000002</v>
      </c>
      <c r="R271" s="25">
        <v>-65.585998000000004</v>
      </c>
      <c r="S271">
        <v>-9.3553999999999995</v>
      </c>
      <c r="T271">
        <v>-9.0147999999999993</v>
      </c>
      <c r="U271">
        <v>9.3553999999999995</v>
      </c>
      <c r="V271" t="s">
        <v>1537</v>
      </c>
      <c r="W271" t="s">
        <v>14</v>
      </c>
      <c r="X271" t="s">
        <v>17</v>
      </c>
      <c r="Y271" s="1" t="s">
        <v>377</v>
      </c>
    </row>
    <row r="272" spans="1:25" x14ac:dyDescent="0.25">
      <c r="A272" s="4">
        <v>459</v>
      </c>
      <c r="B272" s="9" t="s">
        <v>379</v>
      </c>
      <c r="C272" s="8" t="s">
        <v>29</v>
      </c>
      <c r="D272" s="6" t="s">
        <v>130</v>
      </c>
      <c r="E272" s="10">
        <v>6</v>
      </c>
      <c r="F272">
        <v>32.933872499246696</v>
      </c>
      <c r="G272">
        <v>19.3513789900646</v>
      </c>
      <c r="H272" t="s">
        <v>140</v>
      </c>
      <c r="I272" t="s">
        <v>24</v>
      </c>
      <c r="J272" t="s">
        <v>185</v>
      </c>
      <c r="K272" t="s">
        <v>212</v>
      </c>
      <c r="L272">
        <v>319</v>
      </c>
      <c r="M272" t="s">
        <v>1799</v>
      </c>
      <c r="N272">
        <v>320</v>
      </c>
      <c r="O272" s="1" t="s">
        <v>194</v>
      </c>
      <c r="P272" s="1" t="s">
        <v>277</v>
      </c>
      <c r="Q272" s="25">
        <v>45.308835000000002</v>
      </c>
      <c r="R272" s="25">
        <v>-65.585998000000004</v>
      </c>
      <c r="S272">
        <v>-9.3553999999999995</v>
      </c>
      <c r="T272">
        <v>-9.0147999999999993</v>
      </c>
      <c r="U272">
        <v>9.3553999999999995</v>
      </c>
      <c r="V272" t="s">
        <v>1537</v>
      </c>
      <c r="W272" t="s">
        <v>14</v>
      </c>
      <c r="X272" t="s">
        <v>17</v>
      </c>
      <c r="Y272" s="1" t="s">
        <v>377</v>
      </c>
    </row>
    <row r="273" spans="1:25" x14ac:dyDescent="0.25">
      <c r="A273" s="4">
        <v>461</v>
      </c>
      <c r="B273" s="9" t="s">
        <v>229</v>
      </c>
      <c r="C273" s="8" t="s">
        <v>29</v>
      </c>
      <c r="D273" s="6" t="s">
        <v>130</v>
      </c>
      <c r="E273" s="10">
        <v>6</v>
      </c>
      <c r="F273">
        <v>27.063930541938301</v>
      </c>
      <c r="G273">
        <v>11.9402157227141</v>
      </c>
      <c r="H273" t="s">
        <v>140</v>
      </c>
      <c r="I273" t="s">
        <v>24</v>
      </c>
      <c r="J273" t="s">
        <v>185</v>
      </c>
      <c r="K273" t="s">
        <v>212</v>
      </c>
      <c r="L273">
        <v>319</v>
      </c>
      <c r="M273" t="s">
        <v>1799</v>
      </c>
      <c r="N273">
        <v>320</v>
      </c>
      <c r="O273" s="1" t="s">
        <v>194</v>
      </c>
      <c r="P273" s="1" t="s">
        <v>277</v>
      </c>
      <c r="Q273" s="25">
        <v>45.308835000000002</v>
      </c>
      <c r="R273" s="25">
        <v>-65.585998000000004</v>
      </c>
      <c r="S273">
        <v>-9.3553999999999995</v>
      </c>
      <c r="T273">
        <v>-9.0147999999999993</v>
      </c>
      <c r="U273">
        <v>9.3553999999999995</v>
      </c>
      <c r="V273" t="s">
        <v>1537</v>
      </c>
      <c r="W273" t="s">
        <v>14</v>
      </c>
      <c r="X273" t="s">
        <v>17</v>
      </c>
      <c r="Y273" s="1" t="s">
        <v>377</v>
      </c>
    </row>
    <row r="274" spans="1:25" x14ac:dyDescent="0.25">
      <c r="A274" s="4">
        <v>462</v>
      </c>
      <c r="B274" s="9">
        <v>16274</v>
      </c>
      <c r="C274" s="8" t="s">
        <v>280</v>
      </c>
      <c r="D274" s="6" t="s">
        <v>130</v>
      </c>
      <c r="E274" s="10">
        <v>6</v>
      </c>
      <c r="F274">
        <v>9.5161924964761795</v>
      </c>
      <c r="G274">
        <v>3.72492943742271</v>
      </c>
      <c r="H274" t="s">
        <v>140</v>
      </c>
      <c r="I274" t="s">
        <v>24</v>
      </c>
      <c r="J274" t="s">
        <v>185</v>
      </c>
      <c r="K274" t="s">
        <v>212</v>
      </c>
      <c r="L274">
        <v>319</v>
      </c>
      <c r="M274" t="s">
        <v>1799</v>
      </c>
      <c r="N274">
        <v>320</v>
      </c>
      <c r="O274" s="1" t="s">
        <v>194</v>
      </c>
      <c r="P274" s="1" t="s">
        <v>277</v>
      </c>
      <c r="Q274" s="25">
        <v>45.308835000000002</v>
      </c>
      <c r="R274" s="25">
        <v>-65.585998000000004</v>
      </c>
      <c r="S274">
        <v>-9.3553999999999995</v>
      </c>
      <c r="T274">
        <v>-9.0147999999999993</v>
      </c>
      <c r="U274">
        <v>9.3553999999999995</v>
      </c>
      <c r="V274" t="s">
        <v>1537</v>
      </c>
      <c r="W274" t="s">
        <v>14</v>
      </c>
      <c r="X274" t="s">
        <v>17</v>
      </c>
      <c r="Y274" s="1" t="s">
        <v>377</v>
      </c>
    </row>
    <row r="275" spans="1:25" x14ac:dyDescent="0.25">
      <c r="A275" s="4">
        <v>463</v>
      </c>
      <c r="B275" s="9">
        <v>16274</v>
      </c>
      <c r="C275" s="8" t="s">
        <v>280</v>
      </c>
      <c r="D275" s="6" t="s">
        <v>28</v>
      </c>
      <c r="E275" s="10">
        <v>6</v>
      </c>
      <c r="F275">
        <v>3.10562130969807</v>
      </c>
      <c r="G275">
        <v>1.5724187030662899</v>
      </c>
      <c r="H275" t="s">
        <v>140</v>
      </c>
      <c r="I275" t="s">
        <v>24</v>
      </c>
      <c r="J275" t="s">
        <v>185</v>
      </c>
      <c r="K275" t="s">
        <v>212</v>
      </c>
      <c r="L275">
        <v>319</v>
      </c>
      <c r="M275" t="s">
        <v>1799</v>
      </c>
      <c r="N275">
        <v>320</v>
      </c>
      <c r="O275" s="1" t="s">
        <v>194</v>
      </c>
      <c r="P275" s="1" t="s">
        <v>277</v>
      </c>
      <c r="Q275" s="25">
        <v>45.308835000000002</v>
      </c>
      <c r="R275" s="25">
        <v>-65.585998000000004</v>
      </c>
      <c r="S275">
        <v>-9.3553999999999995</v>
      </c>
      <c r="T275">
        <v>-9.0147999999999993</v>
      </c>
      <c r="U275">
        <v>9.3553999999999995</v>
      </c>
      <c r="V275" t="s">
        <v>1537</v>
      </c>
      <c r="W275" t="s">
        <v>14</v>
      </c>
      <c r="X275" t="s">
        <v>17</v>
      </c>
      <c r="Y275" s="1" t="s">
        <v>377</v>
      </c>
    </row>
    <row r="276" spans="1:25" x14ac:dyDescent="0.25">
      <c r="A276" s="4">
        <v>465</v>
      </c>
      <c r="B276" s="9" t="s">
        <v>149</v>
      </c>
      <c r="C276" s="8" t="s">
        <v>49</v>
      </c>
      <c r="D276" s="6" t="s">
        <v>295</v>
      </c>
      <c r="E276" s="10">
        <v>7</v>
      </c>
      <c r="F276">
        <v>6.6461582794407699</v>
      </c>
      <c r="G276">
        <v>5.2229304604369</v>
      </c>
      <c r="H276" t="s">
        <v>92</v>
      </c>
      <c r="I276" t="s">
        <v>24</v>
      </c>
      <c r="J276" t="s">
        <v>185</v>
      </c>
      <c r="K276" t="s">
        <v>212</v>
      </c>
      <c r="L276">
        <v>319</v>
      </c>
      <c r="M276" t="s">
        <v>1799</v>
      </c>
      <c r="N276">
        <v>320</v>
      </c>
      <c r="O276" s="1" t="s">
        <v>187</v>
      </c>
      <c r="P276" s="1" t="s">
        <v>210</v>
      </c>
      <c r="Q276" s="25">
        <v>38.523404999999997</v>
      </c>
      <c r="R276" s="25">
        <v>-86.591188000000002</v>
      </c>
      <c r="S276">
        <v>-10.434699999999999</v>
      </c>
      <c r="T276">
        <v>-26.2134</v>
      </c>
      <c r="U276">
        <v>10.434699999999999</v>
      </c>
      <c r="V276" t="s">
        <v>1538</v>
      </c>
      <c r="W276" t="s">
        <v>13</v>
      </c>
      <c r="X276" t="s">
        <v>17</v>
      </c>
      <c r="Y276" s="1" t="s">
        <v>294</v>
      </c>
    </row>
    <row r="277" spans="1:25" x14ac:dyDescent="0.25">
      <c r="A277" s="4">
        <v>466</v>
      </c>
      <c r="B277" s="9" t="s">
        <v>153</v>
      </c>
      <c r="C277" s="8" t="s">
        <v>49</v>
      </c>
      <c r="D277" s="6" t="s">
        <v>295</v>
      </c>
      <c r="E277" s="10">
        <v>7</v>
      </c>
      <c r="F277">
        <v>18.185569061067799</v>
      </c>
      <c r="G277">
        <v>14.316833563451899</v>
      </c>
      <c r="H277" t="s">
        <v>92</v>
      </c>
      <c r="I277" t="s">
        <v>24</v>
      </c>
      <c r="J277" t="s">
        <v>185</v>
      </c>
      <c r="K277" t="s">
        <v>212</v>
      </c>
      <c r="L277">
        <v>319</v>
      </c>
      <c r="M277" t="s">
        <v>1799</v>
      </c>
      <c r="N277">
        <v>320</v>
      </c>
      <c r="O277" s="1" t="s">
        <v>187</v>
      </c>
      <c r="P277" s="1" t="s">
        <v>210</v>
      </c>
      <c r="Q277" s="25">
        <v>38.523404999999997</v>
      </c>
      <c r="R277" s="25">
        <v>-86.591188000000002</v>
      </c>
      <c r="S277">
        <v>-10.434699999999999</v>
      </c>
      <c r="T277">
        <v>-26.2134</v>
      </c>
      <c r="U277">
        <v>10.434699999999999</v>
      </c>
      <c r="V277" t="s">
        <v>1538</v>
      </c>
      <c r="W277" t="s">
        <v>13</v>
      </c>
      <c r="X277" t="s">
        <v>17</v>
      </c>
      <c r="Y277" s="1" t="s">
        <v>294</v>
      </c>
    </row>
    <row r="278" spans="1:25" x14ac:dyDescent="0.25">
      <c r="A278" s="4">
        <v>467</v>
      </c>
      <c r="B278" s="9" t="s">
        <v>163</v>
      </c>
      <c r="C278" s="8" t="s">
        <v>49</v>
      </c>
      <c r="D278" s="6" t="s">
        <v>295</v>
      </c>
      <c r="E278" s="10">
        <v>7</v>
      </c>
      <c r="F278">
        <v>4.8783103942143304</v>
      </c>
      <c r="G278">
        <v>3.9928978145601701</v>
      </c>
      <c r="H278" t="s">
        <v>92</v>
      </c>
      <c r="I278" t="s">
        <v>24</v>
      </c>
      <c r="J278" t="s">
        <v>185</v>
      </c>
      <c r="K278" t="s">
        <v>212</v>
      </c>
      <c r="L278">
        <v>319</v>
      </c>
      <c r="M278" t="s">
        <v>1799</v>
      </c>
      <c r="N278">
        <v>320</v>
      </c>
      <c r="O278" s="1" t="s">
        <v>187</v>
      </c>
      <c r="P278" s="1" t="s">
        <v>210</v>
      </c>
      <c r="Q278" s="25">
        <v>38.523404999999997</v>
      </c>
      <c r="R278" s="25">
        <v>-86.591188000000002</v>
      </c>
      <c r="S278">
        <v>-10.434699999999999</v>
      </c>
      <c r="T278">
        <v>-26.2134</v>
      </c>
      <c r="U278">
        <v>10.434699999999999</v>
      </c>
      <c r="V278" t="s">
        <v>1538</v>
      </c>
      <c r="W278" t="s">
        <v>13</v>
      </c>
      <c r="X278" t="s">
        <v>17</v>
      </c>
      <c r="Y278" s="1" t="s">
        <v>294</v>
      </c>
    </row>
    <row r="279" spans="1:25" x14ac:dyDescent="0.25">
      <c r="A279" s="4">
        <v>468</v>
      </c>
      <c r="B279" s="9" t="s">
        <v>296</v>
      </c>
      <c r="C279" s="8" t="s">
        <v>49</v>
      </c>
      <c r="D279" s="6" t="s">
        <v>295</v>
      </c>
      <c r="E279" s="10">
        <v>7</v>
      </c>
      <c r="F279">
        <v>3.2690720810425198</v>
      </c>
      <c r="G279">
        <v>2.8099592604875099</v>
      </c>
      <c r="H279" t="s">
        <v>92</v>
      </c>
      <c r="I279" t="s">
        <v>24</v>
      </c>
      <c r="J279" t="s">
        <v>185</v>
      </c>
      <c r="K279" t="s">
        <v>212</v>
      </c>
      <c r="L279">
        <v>319</v>
      </c>
      <c r="M279" t="s">
        <v>1799</v>
      </c>
      <c r="N279">
        <v>320</v>
      </c>
      <c r="O279" s="1" t="s">
        <v>187</v>
      </c>
      <c r="P279" s="1" t="s">
        <v>210</v>
      </c>
      <c r="Q279" s="25">
        <v>38.523404999999997</v>
      </c>
      <c r="R279" s="25">
        <v>-86.591188000000002</v>
      </c>
      <c r="S279">
        <v>-10.434699999999999</v>
      </c>
      <c r="T279">
        <v>-26.2134</v>
      </c>
      <c r="U279">
        <v>10.434699999999999</v>
      </c>
      <c r="V279" t="s">
        <v>1538</v>
      </c>
      <c r="W279" t="s">
        <v>13</v>
      </c>
      <c r="X279" t="s">
        <v>17</v>
      </c>
      <c r="Y279" s="1" t="s">
        <v>294</v>
      </c>
    </row>
    <row r="280" spans="1:25" x14ac:dyDescent="0.25">
      <c r="A280" s="4">
        <v>469</v>
      </c>
      <c r="B280" s="9" t="s">
        <v>297</v>
      </c>
      <c r="C280" s="8" t="s">
        <v>49</v>
      </c>
      <c r="D280" s="6" t="s">
        <v>295</v>
      </c>
      <c r="E280" s="10">
        <v>7</v>
      </c>
      <c r="F280">
        <v>10.3831964431239</v>
      </c>
      <c r="G280">
        <v>8.4300716220068601</v>
      </c>
      <c r="H280" t="s">
        <v>92</v>
      </c>
      <c r="I280" t="s">
        <v>24</v>
      </c>
      <c r="J280" t="s">
        <v>185</v>
      </c>
      <c r="K280" t="s">
        <v>212</v>
      </c>
      <c r="L280">
        <v>319</v>
      </c>
      <c r="M280" t="s">
        <v>1799</v>
      </c>
      <c r="N280">
        <v>320</v>
      </c>
      <c r="O280" s="1" t="s">
        <v>187</v>
      </c>
      <c r="P280" s="1" t="s">
        <v>210</v>
      </c>
      <c r="Q280" s="25">
        <v>38.523404999999997</v>
      </c>
      <c r="R280" s="25">
        <v>-86.591188000000002</v>
      </c>
      <c r="S280">
        <v>-10.434699999999999</v>
      </c>
      <c r="T280">
        <v>-26.2134</v>
      </c>
      <c r="U280">
        <v>10.434699999999999</v>
      </c>
      <c r="V280" t="s">
        <v>1538</v>
      </c>
      <c r="W280" t="s">
        <v>13</v>
      </c>
      <c r="X280" t="s">
        <v>17</v>
      </c>
      <c r="Y280" s="1" t="s">
        <v>294</v>
      </c>
    </row>
    <row r="281" spans="1:25" x14ac:dyDescent="0.25">
      <c r="A281" s="4">
        <v>470</v>
      </c>
      <c r="B281" s="9">
        <v>154</v>
      </c>
      <c r="C281" s="8" t="s">
        <v>298</v>
      </c>
      <c r="D281" s="6" t="s">
        <v>28</v>
      </c>
      <c r="E281" s="10">
        <v>6</v>
      </c>
      <c r="F281">
        <v>11.046027780014199</v>
      </c>
      <c r="G281">
        <v>8.0803595766275595</v>
      </c>
      <c r="H281" t="s">
        <v>92</v>
      </c>
      <c r="I281" t="s">
        <v>24</v>
      </c>
      <c r="J281" t="s">
        <v>185</v>
      </c>
      <c r="K281" t="s">
        <v>212</v>
      </c>
      <c r="L281">
        <v>319</v>
      </c>
      <c r="M281" t="s">
        <v>1799</v>
      </c>
      <c r="N281">
        <v>320</v>
      </c>
      <c r="O281" s="1" t="s">
        <v>97</v>
      </c>
      <c r="P281" s="1" t="s">
        <v>201</v>
      </c>
      <c r="Q281" s="25">
        <v>33.812252000000001</v>
      </c>
      <c r="R281" s="25">
        <f>-87.164963</f>
        <v>-87.164963</v>
      </c>
      <c r="S281">
        <v>-14.348800000000001</v>
      </c>
      <c r="T281">
        <v>-28.94</v>
      </c>
      <c r="U281">
        <v>14.348800000000001</v>
      </c>
      <c r="V281" t="s">
        <v>1538</v>
      </c>
      <c r="W281" t="s">
        <v>13</v>
      </c>
      <c r="X281" t="s">
        <v>16</v>
      </c>
      <c r="Y281" s="1" t="s">
        <v>300</v>
      </c>
    </row>
    <row r="282" spans="1:25" x14ac:dyDescent="0.25">
      <c r="A282" s="4">
        <v>474</v>
      </c>
      <c r="B282" s="9">
        <v>5950</v>
      </c>
      <c r="C282" s="8" t="s">
        <v>1298</v>
      </c>
      <c r="D282" s="6" t="s">
        <v>130</v>
      </c>
      <c r="E282" s="10">
        <v>6</v>
      </c>
      <c r="F282">
        <v>36.289904307427697</v>
      </c>
      <c r="G282">
        <v>12.7697370653572</v>
      </c>
      <c r="H282" t="s">
        <v>92</v>
      </c>
      <c r="I282" t="s">
        <v>24</v>
      </c>
      <c r="J282" t="s">
        <v>185</v>
      </c>
      <c r="K282" t="s">
        <v>212</v>
      </c>
      <c r="L282">
        <v>319</v>
      </c>
      <c r="M282" t="s">
        <v>1799</v>
      </c>
      <c r="N282">
        <v>320</v>
      </c>
      <c r="O282" s="1" t="s">
        <v>97</v>
      </c>
      <c r="P282" s="1" t="s">
        <v>201</v>
      </c>
      <c r="Q282" s="25">
        <v>33.812252000000001</v>
      </c>
      <c r="R282" s="25">
        <f>-87.164963</f>
        <v>-87.164963</v>
      </c>
      <c r="S282">
        <v>-14.348800000000001</v>
      </c>
      <c r="T282">
        <v>-28.94</v>
      </c>
      <c r="U282">
        <v>14.348800000000001</v>
      </c>
      <c r="V282" t="s">
        <v>1538</v>
      </c>
      <c r="W282" t="s">
        <v>13</v>
      </c>
      <c r="X282" t="s">
        <v>16</v>
      </c>
      <c r="Y282" s="1" t="s">
        <v>300</v>
      </c>
    </row>
    <row r="283" spans="1:25" x14ac:dyDescent="0.25">
      <c r="A283" s="4">
        <v>478</v>
      </c>
      <c r="B283" s="9">
        <v>743</v>
      </c>
      <c r="C283" s="8" t="s">
        <v>298</v>
      </c>
      <c r="D283" s="6" t="s">
        <v>208</v>
      </c>
      <c r="E283" s="10">
        <v>7</v>
      </c>
      <c r="F283">
        <v>25.102915160264299</v>
      </c>
      <c r="G283">
        <v>5.4880345335088201</v>
      </c>
      <c r="H283" t="s">
        <v>92</v>
      </c>
      <c r="I283" t="s">
        <v>24</v>
      </c>
      <c r="J283" t="s">
        <v>185</v>
      </c>
      <c r="K283" t="s">
        <v>212</v>
      </c>
      <c r="L283">
        <v>319</v>
      </c>
      <c r="M283" t="s">
        <v>1799</v>
      </c>
      <c r="N283">
        <v>320</v>
      </c>
      <c r="O283" s="1" t="s">
        <v>97</v>
      </c>
      <c r="P283" s="1" t="s">
        <v>201</v>
      </c>
      <c r="Q283" s="25">
        <v>33.812252000000001</v>
      </c>
      <c r="R283" s="25">
        <f>-87.164963</f>
        <v>-87.164963</v>
      </c>
      <c r="S283">
        <v>-14.348800000000001</v>
      </c>
      <c r="T283">
        <v>-28.94</v>
      </c>
      <c r="U283">
        <v>14.348800000000001</v>
      </c>
      <c r="V283" t="s">
        <v>1538</v>
      </c>
      <c r="W283" t="s">
        <v>13</v>
      </c>
      <c r="X283" t="s">
        <v>16</v>
      </c>
      <c r="Y283" s="1" t="s">
        <v>300</v>
      </c>
    </row>
    <row r="284" spans="1:25" x14ac:dyDescent="0.25">
      <c r="A284" s="4">
        <v>479</v>
      </c>
      <c r="B284" s="9">
        <v>1441</v>
      </c>
      <c r="C284" s="8" t="s">
        <v>298</v>
      </c>
      <c r="D284" s="6" t="s">
        <v>295</v>
      </c>
      <c r="E284" s="10">
        <v>7</v>
      </c>
      <c r="F284">
        <v>42.054822481054202</v>
      </c>
      <c r="G284">
        <v>11.197779724568999</v>
      </c>
      <c r="H284" t="s">
        <v>92</v>
      </c>
      <c r="I284" t="s">
        <v>24</v>
      </c>
      <c r="J284" t="s">
        <v>185</v>
      </c>
      <c r="K284" t="s">
        <v>212</v>
      </c>
      <c r="L284">
        <v>319</v>
      </c>
      <c r="M284" t="s">
        <v>1799</v>
      </c>
      <c r="N284">
        <v>320</v>
      </c>
      <c r="O284" s="1" t="s">
        <v>97</v>
      </c>
      <c r="P284" s="1" t="s">
        <v>201</v>
      </c>
      <c r="Q284" s="25">
        <v>33.812252000000001</v>
      </c>
      <c r="R284" s="25">
        <f>-87.164963</f>
        <v>-87.164963</v>
      </c>
      <c r="S284">
        <v>-14.348800000000001</v>
      </c>
      <c r="T284">
        <v>-28.94</v>
      </c>
      <c r="U284">
        <v>14.348800000000001</v>
      </c>
      <c r="V284" t="s">
        <v>1538</v>
      </c>
      <c r="W284" t="s">
        <v>13</v>
      </c>
      <c r="X284" t="s">
        <v>16</v>
      </c>
      <c r="Y284" s="1" t="s">
        <v>300</v>
      </c>
    </row>
    <row r="285" spans="1:25" x14ac:dyDescent="0.25">
      <c r="A285" s="4">
        <v>483</v>
      </c>
      <c r="B285" s="9" t="s">
        <v>55</v>
      </c>
      <c r="C285" s="8" t="s">
        <v>56</v>
      </c>
      <c r="D285" s="6" t="s">
        <v>59</v>
      </c>
      <c r="E285" s="10">
        <v>5</v>
      </c>
      <c r="F285" s="3">
        <v>4.1443963818094502</v>
      </c>
      <c r="G285" s="3">
        <v>1.4200306476596101</v>
      </c>
      <c r="H285" t="s">
        <v>52</v>
      </c>
      <c r="I285" t="s">
        <v>24</v>
      </c>
      <c r="J285" t="s">
        <v>23</v>
      </c>
      <c r="K285" t="s">
        <v>38</v>
      </c>
      <c r="L285">
        <v>327</v>
      </c>
      <c r="M285" t="s">
        <v>1799</v>
      </c>
      <c r="N285">
        <v>320</v>
      </c>
      <c r="O285" t="s">
        <v>54</v>
      </c>
      <c r="P285" t="s">
        <v>53</v>
      </c>
      <c r="Q285" s="25">
        <v>-30.143283</v>
      </c>
      <c r="R285" s="25">
        <v>-68.544953000000007</v>
      </c>
      <c r="S285">
        <v>-49.843200000000003</v>
      </c>
      <c r="T285">
        <v>-65.590199999999996</v>
      </c>
      <c r="U285">
        <v>49.843200000000003</v>
      </c>
      <c r="V285" t="s">
        <v>1539</v>
      </c>
      <c r="W285" t="s">
        <v>13</v>
      </c>
      <c r="X285" t="s">
        <v>16</v>
      </c>
      <c r="Y285" t="s">
        <v>51</v>
      </c>
    </row>
    <row r="286" spans="1:25" x14ac:dyDescent="0.25">
      <c r="A286" s="4">
        <v>485</v>
      </c>
      <c r="B286" s="9" t="s">
        <v>55</v>
      </c>
      <c r="C286" s="8" t="s">
        <v>56</v>
      </c>
      <c r="D286" s="6" t="s">
        <v>60</v>
      </c>
      <c r="E286" s="10">
        <v>5</v>
      </c>
      <c r="F286" s="3">
        <v>4.2336957206871499</v>
      </c>
      <c r="G286" s="3">
        <v>0.35803273623259302</v>
      </c>
      <c r="H286" t="s">
        <v>52</v>
      </c>
      <c r="I286" t="s">
        <v>24</v>
      </c>
      <c r="J286" t="s">
        <v>23</v>
      </c>
      <c r="K286" t="s">
        <v>38</v>
      </c>
      <c r="L286">
        <v>327</v>
      </c>
      <c r="M286" t="s">
        <v>1799</v>
      </c>
      <c r="N286">
        <v>320</v>
      </c>
      <c r="O286" t="s">
        <v>54</v>
      </c>
      <c r="P286" t="s">
        <v>53</v>
      </c>
      <c r="Q286" s="25">
        <v>-30.143283</v>
      </c>
      <c r="R286" s="25">
        <v>-68.544953000000007</v>
      </c>
      <c r="S286">
        <v>-49.843200000000003</v>
      </c>
      <c r="T286">
        <v>-65.590199999999996</v>
      </c>
      <c r="U286">
        <v>49.843200000000003</v>
      </c>
      <c r="V286" t="s">
        <v>1539</v>
      </c>
      <c r="W286" t="s">
        <v>13</v>
      </c>
      <c r="X286" t="s">
        <v>16</v>
      </c>
      <c r="Y286" t="s">
        <v>51</v>
      </c>
    </row>
    <row r="287" spans="1:25" x14ac:dyDescent="0.25">
      <c r="A287" s="4">
        <v>490</v>
      </c>
      <c r="B287" s="9" t="s">
        <v>61</v>
      </c>
      <c r="C287" s="8" t="s">
        <v>56</v>
      </c>
      <c r="D287" s="6" t="s">
        <v>59</v>
      </c>
      <c r="E287" s="10">
        <v>5</v>
      </c>
      <c r="F287">
        <v>5.2335718160690599</v>
      </c>
      <c r="G287">
        <v>2.78736500900576</v>
      </c>
      <c r="H287" t="s">
        <v>52</v>
      </c>
      <c r="I287" t="s">
        <v>24</v>
      </c>
      <c r="J287" t="s">
        <v>23</v>
      </c>
      <c r="K287" t="s">
        <v>38</v>
      </c>
      <c r="L287">
        <v>327</v>
      </c>
      <c r="M287" t="s">
        <v>1799</v>
      </c>
      <c r="N287">
        <v>320</v>
      </c>
      <c r="O287" t="s">
        <v>54</v>
      </c>
      <c r="P287" t="s">
        <v>53</v>
      </c>
      <c r="Q287" s="25">
        <v>-30.143283</v>
      </c>
      <c r="R287" s="25">
        <v>-68.544953000000007</v>
      </c>
      <c r="S287">
        <v>-49.843200000000003</v>
      </c>
      <c r="T287">
        <v>-65.590199999999996</v>
      </c>
      <c r="U287">
        <v>49.843200000000003</v>
      </c>
      <c r="V287" t="s">
        <v>1539</v>
      </c>
      <c r="W287" t="s">
        <v>13</v>
      </c>
      <c r="X287" t="s">
        <v>16</v>
      </c>
      <c r="Y287" t="s">
        <v>51</v>
      </c>
    </row>
    <row r="288" spans="1:25" x14ac:dyDescent="0.25">
      <c r="A288" s="4">
        <v>491</v>
      </c>
      <c r="B288" s="9" t="s">
        <v>62</v>
      </c>
      <c r="C288" s="8" t="s">
        <v>56</v>
      </c>
      <c r="D288" s="6" t="s">
        <v>59</v>
      </c>
      <c r="E288" s="10">
        <v>5</v>
      </c>
      <c r="F288">
        <v>3.7178155521571701</v>
      </c>
      <c r="G288">
        <v>1.67264854520213</v>
      </c>
      <c r="H288" t="s">
        <v>52</v>
      </c>
      <c r="I288" t="s">
        <v>24</v>
      </c>
      <c r="J288" t="s">
        <v>23</v>
      </c>
      <c r="K288" t="s">
        <v>38</v>
      </c>
      <c r="L288">
        <v>327</v>
      </c>
      <c r="M288" t="s">
        <v>1799</v>
      </c>
      <c r="N288">
        <v>320</v>
      </c>
      <c r="O288" t="s">
        <v>54</v>
      </c>
      <c r="P288" t="s">
        <v>53</v>
      </c>
      <c r="Q288" s="25">
        <v>-30.143283</v>
      </c>
      <c r="R288" s="25">
        <v>-68.544953000000007</v>
      </c>
      <c r="S288">
        <v>-49.843200000000003</v>
      </c>
      <c r="T288">
        <v>-65.590199999999996</v>
      </c>
      <c r="U288">
        <v>49.843200000000003</v>
      </c>
      <c r="V288" t="s">
        <v>1539</v>
      </c>
      <c r="W288" t="s">
        <v>13</v>
      </c>
      <c r="X288" t="s">
        <v>16</v>
      </c>
      <c r="Y288" t="s">
        <v>51</v>
      </c>
    </row>
    <row r="289" spans="1:25" x14ac:dyDescent="0.25">
      <c r="A289" s="4">
        <v>498</v>
      </c>
      <c r="B289" s="9" t="s">
        <v>62</v>
      </c>
      <c r="C289" s="8" t="s">
        <v>56</v>
      </c>
      <c r="D289" s="6" t="s">
        <v>60</v>
      </c>
      <c r="E289" s="10">
        <v>5</v>
      </c>
      <c r="F289">
        <v>5.8681190895399498</v>
      </c>
      <c r="G289">
        <v>1.41706387124933</v>
      </c>
      <c r="H289" t="s">
        <v>52</v>
      </c>
      <c r="I289" t="s">
        <v>24</v>
      </c>
      <c r="J289" t="s">
        <v>23</v>
      </c>
      <c r="K289" t="s">
        <v>38</v>
      </c>
      <c r="L289">
        <v>327</v>
      </c>
      <c r="M289" t="s">
        <v>1799</v>
      </c>
      <c r="N289">
        <v>320</v>
      </c>
      <c r="O289" t="s">
        <v>54</v>
      </c>
      <c r="P289" t="s">
        <v>53</v>
      </c>
      <c r="Q289" s="25">
        <v>-30.143283</v>
      </c>
      <c r="R289" s="25">
        <v>-68.544953000000007</v>
      </c>
      <c r="S289">
        <v>-49.843200000000003</v>
      </c>
      <c r="T289">
        <v>-65.590199999999996</v>
      </c>
      <c r="U289">
        <v>49.843200000000003</v>
      </c>
      <c r="V289" t="s">
        <v>1539</v>
      </c>
      <c r="W289" t="s">
        <v>13</v>
      </c>
      <c r="X289" t="s">
        <v>16</v>
      </c>
      <c r="Y289" t="s">
        <v>51</v>
      </c>
    </row>
    <row r="290" spans="1:25" x14ac:dyDescent="0.25">
      <c r="A290" s="4">
        <v>500</v>
      </c>
      <c r="B290" s="9" t="s">
        <v>63</v>
      </c>
      <c r="C290" s="8" t="s">
        <v>56</v>
      </c>
      <c r="D290" s="6" t="s">
        <v>60</v>
      </c>
      <c r="E290" s="10">
        <v>5</v>
      </c>
      <c r="F290">
        <v>4.37998036618239</v>
      </c>
      <c r="G290">
        <v>1.1010840824607599</v>
      </c>
      <c r="H290" t="s">
        <v>52</v>
      </c>
      <c r="I290" t="s">
        <v>24</v>
      </c>
      <c r="J290" t="s">
        <v>23</v>
      </c>
      <c r="K290" t="s">
        <v>38</v>
      </c>
      <c r="L290">
        <v>327</v>
      </c>
      <c r="M290" t="s">
        <v>1799</v>
      </c>
      <c r="N290">
        <v>320</v>
      </c>
      <c r="O290" t="s">
        <v>54</v>
      </c>
      <c r="P290" t="s">
        <v>53</v>
      </c>
      <c r="Q290" s="25">
        <v>-30.143283</v>
      </c>
      <c r="R290" s="25">
        <v>-68.544953000000007</v>
      </c>
      <c r="S290">
        <v>-49.843200000000003</v>
      </c>
      <c r="T290">
        <v>-65.590199999999996</v>
      </c>
      <c r="U290">
        <v>49.843200000000003</v>
      </c>
      <c r="V290" t="s">
        <v>1539</v>
      </c>
      <c r="W290" t="s">
        <v>13</v>
      </c>
      <c r="X290" t="s">
        <v>16</v>
      </c>
      <c r="Y290" t="s">
        <v>51</v>
      </c>
    </row>
    <row r="291" spans="1:25" x14ac:dyDescent="0.25">
      <c r="A291" s="4">
        <v>501</v>
      </c>
      <c r="B291" s="9" t="s">
        <v>63</v>
      </c>
      <c r="C291" s="8" t="s">
        <v>56</v>
      </c>
      <c r="D291" s="6" t="s">
        <v>64</v>
      </c>
      <c r="E291" s="10">
        <v>8</v>
      </c>
      <c r="F291">
        <v>5.7809286795227504</v>
      </c>
      <c r="G291">
        <v>1.0296369011894499</v>
      </c>
      <c r="H291" t="s">
        <v>52</v>
      </c>
      <c r="I291" t="s">
        <v>24</v>
      </c>
      <c r="J291" t="s">
        <v>23</v>
      </c>
      <c r="K291" t="s">
        <v>38</v>
      </c>
      <c r="L291">
        <v>327</v>
      </c>
      <c r="M291" t="s">
        <v>1799</v>
      </c>
      <c r="N291">
        <v>320</v>
      </c>
      <c r="O291" t="s">
        <v>54</v>
      </c>
      <c r="P291" t="s">
        <v>53</v>
      </c>
      <c r="Q291" s="25">
        <v>-30.143283</v>
      </c>
      <c r="R291" s="25">
        <v>-68.544953000000007</v>
      </c>
      <c r="S291">
        <v>-49.843200000000003</v>
      </c>
      <c r="T291">
        <v>-65.590199999999996</v>
      </c>
      <c r="U291">
        <v>49.843200000000003</v>
      </c>
      <c r="V291" t="s">
        <v>1539</v>
      </c>
      <c r="W291" t="s">
        <v>13</v>
      </c>
      <c r="X291" t="s">
        <v>16</v>
      </c>
      <c r="Y291" t="s">
        <v>51</v>
      </c>
    </row>
    <row r="292" spans="1:25" x14ac:dyDescent="0.25">
      <c r="A292" s="4">
        <v>509</v>
      </c>
      <c r="B292" s="9" t="s">
        <v>65</v>
      </c>
      <c r="C292" s="8" t="s">
        <v>56</v>
      </c>
      <c r="D292" s="6" t="s">
        <v>60</v>
      </c>
      <c r="E292" s="10">
        <v>5</v>
      </c>
      <c r="F292">
        <v>8.7914031605455207</v>
      </c>
      <c r="G292">
        <v>1.9500388883648401</v>
      </c>
      <c r="H292" t="s">
        <v>52</v>
      </c>
      <c r="I292" t="s">
        <v>24</v>
      </c>
      <c r="J292" t="s">
        <v>23</v>
      </c>
      <c r="K292" t="s">
        <v>38</v>
      </c>
      <c r="L292">
        <v>327</v>
      </c>
      <c r="M292" t="s">
        <v>1799</v>
      </c>
      <c r="N292">
        <v>320</v>
      </c>
      <c r="O292" t="s">
        <v>54</v>
      </c>
      <c r="P292" t="s">
        <v>53</v>
      </c>
      <c r="Q292" s="25">
        <v>-30.143283</v>
      </c>
      <c r="R292" s="25">
        <v>-68.544953000000007</v>
      </c>
      <c r="S292">
        <v>-49.843200000000003</v>
      </c>
      <c r="T292">
        <v>-65.590199999999996</v>
      </c>
      <c r="U292">
        <v>49.843200000000003</v>
      </c>
      <c r="V292" t="s">
        <v>1539</v>
      </c>
      <c r="W292" t="s">
        <v>13</v>
      </c>
      <c r="X292" t="s">
        <v>16</v>
      </c>
      <c r="Y292" t="s">
        <v>51</v>
      </c>
    </row>
    <row r="293" spans="1:25" x14ac:dyDescent="0.25">
      <c r="A293" s="4">
        <v>514</v>
      </c>
      <c r="B293" s="9" t="s">
        <v>65</v>
      </c>
      <c r="C293" s="8" t="s">
        <v>56</v>
      </c>
      <c r="D293" s="6" t="s">
        <v>64</v>
      </c>
      <c r="E293" s="10">
        <v>8</v>
      </c>
      <c r="F293">
        <v>8.6380182758394799</v>
      </c>
      <c r="G293">
        <v>0.88125192230939597</v>
      </c>
      <c r="H293" t="s">
        <v>52</v>
      </c>
      <c r="I293" t="s">
        <v>24</v>
      </c>
      <c r="J293" t="s">
        <v>23</v>
      </c>
      <c r="K293" t="s">
        <v>38</v>
      </c>
      <c r="L293">
        <v>327</v>
      </c>
      <c r="M293" t="s">
        <v>1799</v>
      </c>
      <c r="N293">
        <v>320</v>
      </c>
      <c r="O293" t="s">
        <v>54</v>
      </c>
      <c r="P293" t="s">
        <v>53</v>
      </c>
      <c r="Q293" s="25">
        <v>-30.143283</v>
      </c>
      <c r="R293" s="25">
        <v>-68.544953000000007</v>
      </c>
      <c r="S293">
        <v>-49.843200000000003</v>
      </c>
      <c r="T293">
        <v>-65.590199999999996</v>
      </c>
      <c r="U293">
        <v>49.843200000000003</v>
      </c>
      <c r="V293" t="s">
        <v>1539</v>
      </c>
      <c r="W293" t="s">
        <v>13</v>
      </c>
      <c r="X293" t="s">
        <v>16</v>
      </c>
      <c r="Y293" t="s">
        <v>51</v>
      </c>
    </row>
    <row r="294" spans="1:25" x14ac:dyDescent="0.25">
      <c r="A294" s="4">
        <v>518</v>
      </c>
      <c r="B294" s="9" t="s">
        <v>305</v>
      </c>
      <c r="C294" s="8" t="s">
        <v>304</v>
      </c>
      <c r="D294" s="6" t="s">
        <v>28</v>
      </c>
      <c r="E294" s="10">
        <v>6</v>
      </c>
      <c r="F294">
        <v>12.0705452620534</v>
      </c>
      <c r="G294">
        <v>5.45248728671067</v>
      </c>
      <c r="H294" t="s">
        <v>92</v>
      </c>
      <c r="I294" t="s">
        <v>24</v>
      </c>
      <c r="J294" t="s">
        <v>185</v>
      </c>
      <c r="K294" t="s">
        <v>186</v>
      </c>
      <c r="L294">
        <v>311</v>
      </c>
      <c r="M294" t="s">
        <v>1799</v>
      </c>
      <c r="N294">
        <v>320</v>
      </c>
      <c r="O294" s="1" t="s">
        <v>302</v>
      </c>
      <c r="P294" s="1" t="s">
        <v>301</v>
      </c>
      <c r="Q294" s="25">
        <v>35.250768999999998</v>
      </c>
      <c r="R294" s="25">
        <v>-94.946358000000004</v>
      </c>
      <c r="S294">
        <v>-9.7486999999999995</v>
      </c>
      <c r="T294">
        <v>-33.735100000000003</v>
      </c>
      <c r="U294">
        <v>9.7486999999999995</v>
      </c>
      <c r="V294" t="s">
        <v>1538</v>
      </c>
      <c r="W294" t="s">
        <v>13</v>
      </c>
      <c r="X294" t="s">
        <v>17</v>
      </c>
      <c r="Y294" s="1" t="s">
        <v>303</v>
      </c>
    </row>
    <row r="295" spans="1:25" x14ac:dyDescent="0.25">
      <c r="A295" s="4">
        <v>520</v>
      </c>
      <c r="B295" s="9" t="s">
        <v>306</v>
      </c>
      <c r="C295" s="8" t="s">
        <v>304</v>
      </c>
      <c r="D295" s="6" t="s">
        <v>59</v>
      </c>
      <c r="E295" s="10">
        <v>5</v>
      </c>
      <c r="F295">
        <v>2.9646016198212202</v>
      </c>
      <c r="G295">
        <v>1.6407189347394699</v>
      </c>
      <c r="H295" t="s">
        <v>92</v>
      </c>
      <c r="I295" t="s">
        <v>24</v>
      </c>
      <c r="J295" t="s">
        <v>185</v>
      </c>
      <c r="K295" t="s">
        <v>186</v>
      </c>
      <c r="L295">
        <v>311</v>
      </c>
      <c r="M295" t="s">
        <v>1799</v>
      </c>
      <c r="N295">
        <v>320</v>
      </c>
      <c r="O295" s="1" t="s">
        <v>302</v>
      </c>
      <c r="P295" s="1" t="s">
        <v>301</v>
      </c>
      <c r="Q295" s="25">
        <v>35.250768999999998</v>
      </c>
      <c r="R295" s="25">
        <v>-94.946358000000004</v>
      </c>
      <c r="S295">
        <v>-9.7486999999999995</v>
      </c>
      <c r="T295">
        <v>-33.735100000000003</v>
      </c>
      <c r="U295">
        <v>9.7486999999999995</v>
      </c>
      <c r="V295" t="s">
        <v>1538</v>
      </c>
      <c r="W295" t="s">
        <v>13</v>
      </c>
      <c r="X295" t="s">
        <v>17</v>
      </c>
      <c r="Y295" s="1" t="s">
        <v>303</v>
      </c>
    </row>
    <row r="296" spans="1:25" x14ac:dyDescent="0.25">
      <c r="A296" s="4">
        <v>521</v>
      </c>
      <c r="B296" s="9" t="s">
        <v>307</v>
      </c>
      <c r="C296" s="8" t="s">
        <v>304</v>
      </c>
      <c r="D296" s="6" t="s">
        <v>308</v>
      </c>
      <c r="E296" s="10">
        <v>6</v>
      </c>
      <c r="F296">
        <v>21.792874824059702</v>
      </c>
      <c r="G296">
        <v>9.8534749885926391</v>
      </c>
      <c r="H296" t="s">
        <v>92</v>
      </c>
      <c r="I296" t="s">
        <v>24</v>
      </c>
      <c r="J296" t="s">
        <v>185</v>
      </c>
      <c r="K296" t="s">
        <v>186</v>
      </c>
      <c r="L296">
        <v>311</v>
      </c>
      <c r="M296" t="s">
        <v>1799</v>
      </c>
      <c r="N296">
        <v>320</v>
      </c>
      <c r="O296" s="1" t="s">
        <v>302</v>
      </c>
      <c r="P296" s="1" t="s">
        <v>301</v>
      </c>
      <c r="Q296" s="25">
        <v>35.250768999999998</v>
      </c>
      <c r="R296" s="25">
        <v>-94.946358000000004</v>
      </c>
      <c r="S296">
        <v>-9.7486999999999995</v>
      </c>
      <c r="T296">
        <v>-33.735100000000003</v>
      </c>
      <c r="U296">
        <v>9.7486999999999995</v>
      </c>
      <c r="V296" t="s">
        <v>1538</v>
      </c>
      <c r="W296" t="s">
        <v>13</v>
      </c>
      <c r="X296" t="s">
        <v>17</v>
      </c>
      <c r="Y296" s="1" t="s">
        <v>303</v>
      </c>
    </row>
    <row r="297" spans="1:25" x14ac:dyDescent="0.25">
      <c r="A297" s="4">
        <v>522</v>
      </c>
      <c r="B297" s="9" t="s">
        <v>309</v>
      </c>
      <c r="C297" s="8" t="s">
        <v>304</v>
      </c>
      <c r="D297" s="6" t="s">
        <v>295</v>
      </c>
      <c r="E297" s="10">
        <v>7</v>
      </c>
      <c r="F297">
        <v>8.3523637740244503</v>
      </c>
      <c r="G297">
        <v>6.1497429683983604</v>
      </c>
      <c r="H297" t="s">
        <v>92</v>
      </c>
      <c r="I297" t="s">
        <v>24</v>
      </c>
      <c r="J297" t="s">
        <v>185</v>
      </c>
      <c r="K297" t="s">
        <v>186</v>
      </c>
      <c r="L297">
        <v>311</v>
      </c>
      <c r="M297" t="s">
        <v>1799</v>
      </c>
      <c r="N297">
        <v>320</v>
      </c>
      <c r="O297" s="1" t="s">
        <v>302</v>
      </c>
      <c r="P297" s="1" t="s">
        <v>301</v>
      </c>
      <c r="Q297" s="25">
        <v>35.250768999999998</v>
      </c>
      <c r="R297" s="25">
        <v>-94.946358000000004</v>
      </c>
      <c r="S297">
        <v>-9.7486999999999995</v>
      </c>
      <c r="T297">
        <v>-33.735100000000003</v>
      </c>
      <c r="U297">
        <v>9.7486999999999995</v>
      </c>
      <c r="V297" t="s">
        <v>1538</v>
      </c>
      <c r="W297" t="s">
        <v>13</v>
      </c>
      <c r="X297" t="s">
        <v>17</v>
      </c>
      <c r="Y297" s="1" t="s">
        <v>303</v>
      </c>
    </row>
    <row r="298" spans="1:25" x14ac:dyDescent="0.25">
      <c r="A298" s="4">
        <v>525</v>
      </c>
      <c r="B298" s="9" t="s">
        <v>310</v>
      </c>
      <c r="C298" s="8" t="s">
        <v>304</v>
      </c>
      <c r="D298" s="6" t="s">
        <v>308</v>
      </c>
      <c r="E298" s="10">
        <v>6</v>
      </c>
      <c r="F298">
        <v>18.673901764582599</v>
      </c>
      <c r="G298">
        <v>7.2506562445652198</v>
      </c>
      <c r="H298" t="s">
        <v>92</v>
      </c>
      <c r="I298" t="s">
        <v>24</v>
      </c>
      <c r="J298" t="s">
        <v>185</v>
      </c>
      <c r="K298" t="s">
        <v>186</v>
      </c>
      <c r="L298">
        <v>311</v>
      </c>
      <c r="M298" t="s">
        <v>1799</v>
      </c>
      <c r="N298">
        <v>320</v>
      </c>
      <c r="O298" s="1" t="s">
        <v>302</v>
      </c>
      <c r="P298" s="1" t="s">
        <v>301</v>
      </c>
      <c r="Q298" s="25">
        <v>35.250768999999998</v>
      </c>
      <c r="R298" s="25">
        <v>-94.946358000000004</v>
      </c>
      <c r="S298">
        <v>-9.7486999999999995</v>
      </c>
      <c r="T298">
        <v>-33.735100000000003</v>
      </c>
      <c r="U298">
        <v>9.7486999999999995</v>
      </c>
      <c r="V298" t="s">
        <v>1538</v>
      </c>
      <c r="W298" t="s">
        <v>13</v>
      </c>
      <c r="X298" t="s">
        <v>17</v>
      </c>
      <c r="Y298" s="1" t="s">
        <v>303</v>
      </c>
    </row>
    <row r="299" spans="1:25" x14ac:dyDescent="0.25">
      <c r="A299" s="4">
        <v>526</v>
      </c>
      <c r="B299" s="9" t="s">
        <v>342</v>
      </c>
      <c r="C299" s="8" t="s">
        <v>341</v>
      </c>
      <c r="D299" s="6" t="s">
        <v>130</v>
      </c>
      <c r="E299" s="10">
        <v>6</v>
      </c>
      <c r="F299">
        <v>19.3133074199562</v>
      </c>
      <c r="G299">
        <v>12.7057431819018</v>
      </c>
      <c r="H299" t="s">
        <v>39</v>
      </c>
      <c r="I299" t="s">
        <v>24</v>
      </c>
      <c r="J299" t="s">
        <v>185</v>
      </c>
      <c r="K299" t="s">
        <v>212</v>
      </c>
      <c r="L299">
        <v>319</v>
      </c>
      <c r="M299" t="s">
        <v>1799</v>
      </c>
      <c r="N299">
        <v>320</v>
      </c>
      <c r="O299" s="1" t="s">
        <v>40</v>
      </c>
      <c r="P299" s="1" t="s">
        <v>1456</v>
      </c>
      <c r="Q299" s="25">
        <v>53.712899999999998</v>
      </c>
      <c r="R299" s="25">
        <v>-2.309987</v>
      </c>
      <c r="S299">
        <v>-0.80979999999999996</v>
      </c>
      <c r="T299">
        <v>6.5492999999999997</v>
      </c>
      <c r="U299">
        <v>0.80979999999999996</v>
      </c>
      <c r="V299" t="s">
        <v>1538</v>
      </c>
      <c r="W299" t="s">
        <v>14</v>
      </c>
      <c r="X299" t="s">
        <v>17</v>
      </c>
      <c r="Y299" s="1" t="s">
        <v>335</v>
      </c>
    </row>
    <row r="300" spans="1:25" x14ac:dyDescent="0.25">
      <c r="A300" s="4">
        <v>527</v>
      </c>
      <c r="B300" s="9" t="s">
        <v>343</v>
      </c>
      <c r="C300" s="8" t="s">
        <v>341</v>
      </c>
      <c r="D300" s="6" t="s">
        <v>130</v>
      </c>
      <c r="E300" s="10">
        <v>6</v>
      </c>
      <c r="F300">
        <v>31.551315579149701</v>
      </c>
      <c r="G300">
        <v>9.6138510640125308</v>
      </c>
      <c r="H300" t="s">
        <v>39</v>
      </c>
      <c r="I300" t="s">
        <v>24</v>
      </c>
      <c r="J300" t="s">
        <v>185</v>
      </c>
      <c r="K300" t="s">
        <v>212</v>
      </c>
      <c r="L300">
        <v>319</v>
      </c>
      <c r="M300" t="s">
        <v>1799</v>
      </c>
      <c r="N300">
        <v>320</v>
      </c>
      <c r="O300" s="1" t="s">
        <v>40</v>
      </c>
      <c r="P300" s="1" t="s">
        <v>1456</v>
      </c>
      <c r="Q300" s="25">
        <v>53.712899999999998</v>
      </c>
      <c r="R300" s="25">
        <v>-2.309987</v>
      </c>
      <c r="S300">
        <v>-0.80979999999999996</v>
      </c>
      <c r="T300">
        <v>6.5492999999999997</v>
      </c>
      <c r="U300">
        <v>0.80979999999999996</v>
      </c>
      <c r="V300" t="s">
        <v>1538</v>
      </c>
      <c r="W300" t="s">
        <v>14</v>
      </c>
      <c r="X300" t="s">
        <v>17</v>
      </c>
      <c r="Y300" s="1" t="s">
        <v>335</v>
      </c>
    </row>
    <row r="301" spans="1:25" x14ac:dyDescent="0.25">
      <c r="A301" s="4">
        <v>528</v>
      </c>
      <c r="B301" s="9" t="s">
        <v>339</v>
      </c>
      <c r="C301" s="8" t="s">
        <v>338</v>
      </c>
      <c r="D301" s="6" t="s">
        <v>337</v>
      </c>
      <c r="E301" s="10">
        <v>8</v>
      </c>
      <c r="F301">
        <v>21.651767275323401</v>
      </c>
      <c r="G301">
        <v>9.1333413580272609</v>
      </c>
      <c r="H301" t="s">
        <v>39</v>
      </c>
      <c r="I301" t="s">
        <v>24</v>
      </c>
      <c r="J301" t="s">
        <v>185</v>
      </c>
      <c r="K301" t="s">
        <v>212</v>
      </c>
      <c r="L301">
        <v>319</v>
      </c>
      <c r="M301" t="s">
        <v>1799</v>
      </c>
      <c r="N301">
        <v>320</v>
      </c>
      <c r="O301" s="1" t="s">
        <v>40</v>
      </c>
      <c r="P301" s="1" t="s">
        <v>1456</v>
      </c>
      <c r="Q301" s="25">
        <v>53.712899999999998</v>
      </c>
      <c r="R301" s="25">
        <v>-2.309987</v>
      </c>
      <c r="S301">
        <v>-0.80979999999999996</v>
      </c>
      <c r="T301">
        <v>6.5492999999999997</v>
      </c>
      <c r="U301">
        <v>0.80979999999999996</v>
      </c>
      <c r="V301" t="s">
        <v>1538</v>
      </c>
      <c r="W301" t="s">
        <v>14</v>
      </c>
      <c r="X301" t="s">
        <v>17</v>
      </c>
      <c r="Y301" s="1" t="s">
        <v>340</v>
      </c>
    </row>
    <row r="302" spans="1:25" x14ac:dyDescent="0.25">
      <c r="A302" s="4">
        <v>531</v>
      </c>
      <c r="B302" s="9">
        <v>3</v>
      </c>
      <c r="C302" s="8" t="s">
        <v>345</v>
      </c>
      <c r="D302" s="6" t="s">
        <v>156</v>
      </c>
      <c r="E302" s="10">
        <v>8</v>
      </c>
      <c r="F302">
        <v>21.474863697547502</v>
      </c>
      <c r="G302">
        <v>5.5503660600836602</v>
      </c>
      <c r="H302" t="s">
        <v>39</v>
      </c>
      <c r="I302" t="s">
        <v>24</v>
      </c>
      <c r="J302" t="s">
        <v>185</v>
      </c>
      <c r="K302" t="s">
        <v>212</v>
      </c>
      <c r="L302">
        <v>319</v>
      </c>
      <c r="M302" t="s">
        <v>1799</v>
      </c>
      <c r="N302">
        <v>320</v>
      </c>
      <c r="O302" s="1" t="s">
        <v>40</v>
      </c>
      <c r="P302" s="1" t="s">
        <v>1456</v>
      </c>
      <c r="Q302" s="25">
        <v>53.712899999999998</v>
      </c>
      <c r="R302" s="25">
        <v>-2.309987</v>
      </c>
      <c r="S302">
        <v>-0.80979999999999996</v>
      </c>
      <c r="T302">
        <v>6.5492999999999997</v>
      </c>
      <c r="U302">
        <v>0.80979999999999996</v>
      </c>
      <c r="V302" t="s">
        <v>1538</v>
      </c>
      <c r="W302" t="s">
        <v>14</v>
      </c>
      <c r="X302" t="s">
        <v>17</v>
      </c>
      <c r="Y302" s="1" t="s">
        <v>344</v>
      </c>
    </row>
    <row r="303" spans="1:25" x14ac:dyDescent="0.25">
      <c r="A303" s="4">
        <v>533</v>
      </c>
      <c r="B303" s="9">
        <v>86</v>
      </c>
      <c r="C303" s="8" t="s">
        <v>345</v>
      </c>
      <c r="D303" s="6" t="s">
        <v>156</v>
      </c>
      <c r="E303" s="10">
        <v>8</v>
      </c>
      <c r="F303">
        <v>8.0519666156123506</v>
      </c>
      <c r="G303">
        <v>1.12321011848513</v>
      </c>
      <c r="H303" t="s">
        <v>39</v>
      </c>
      <c r="I303" t="s">
        <v>24</v>
      </c>
      <c r="J303" t="s">
        <v>185</v>
      </c>
      <c r="K303" t="s">
        <v>212</v>
      </c>
      <c r="L303">
        <v>319</v>
      </c>
      <c r="M303" t="s">
        <v>1799</v>
      </c>
      <c r="N303">
        <v>320</v>
      </c>
      <c r="O303" s="1" t="s">
        <v>40</v>
      </c>
      <c r="P303" s="1" t="s">
        <v>1456</v>
      </c>
      <c r="Q303" s="25">
        <v>53.712899999999998</v>
      </c>
      <c r="R303" s="25">
        <v>-2.309987</v>
      </c>
      <c r="S303">
        <v>-0.80979999999999996</v>
      </c>
      <c r="T303">
        <v>6.5492999999999997</v>
      </c>
      <c r="U303">
        <v>0.80979999999999996</v>
      </c>
      <c r="V303" t="s">
        <v>1538</v>
      </c>
      <c r="W303" t="s">
        <v>14</v>
      </c>
      <c r="X303" t="s">
        <v>17</v>
      </c>
      <c r="Y303" s="1" t="s">
        <v>344</v>
      </c>
    </row>
    <row r="304" spans="1:25" x14ac:dyDescent="0.25">
      <c r="A304" s="4">
        <v>534</v>
      </c>
      <c r="B304" s="9">
        <v>3</v>
      </c>
      <c r="C304" s="8" t="s">
        <v>345</v>
      </c>
      <c r="D304" s="6" t="s">
        <v>337</v>
      </c>
      <c r="E304" s="10">
        <v>8</v>
      </c>
      <c r="F304">
        <v>23.5820180896633</v>
      </c>
      <c r="G304">
        <v>8.3570691050658308</v>
      </c>
      <c r="H304" t="s">
        <v>39</v>
      </c>
      <c r="I304" t="s">
        <v>24</v>
      </c>
      <c r="J304" t="s">
        <v>185</v>
      </c>
      <c r="K304" t="s">
        <v>212</v>
      </c>
      <c r="L304">
        <v>319</v>
      </c>
      <c r="M304" t="s">
        <v>1799</v>
      </c>
      <c r="N304">
        <v>320</v>
      </c>
      <c r="O304" s="1" t="s">
        <v>40</v>
      </c>
      <c r="P304" s="1" t="s">
        <v>1456</v>
      </c>
      <c r="Q304" s="25">
        <v>53.712899999999998</v>
      </c>
      <c r="R304" s="25">
        <v>-2.309987</v>
      </c>
      <c r="S304">
        <v>-0.80979999999999996</v>
      </c>
      <c r="T304">
        <v>6.5492999999999997</v>
      </c>
      <c r="U304">
        <v>0.80979999999999996</v>
      </c>
      <c r="V304" t="s">
        <v>1538</v>
      </c>
      <c r="W304" t="s">
        <v>14</v>
      </c>
      <c r="X304" t="s">
        <v>17</v>
      </c>
      <c r="Y304" s="1" t="s">
        <v>344</v>
      </c>
    </row>
    <row r="305" spans="1:25" x14ac:dyDescent="0.25">
      <c r="A305" s="4">
        <v>536</v>
      </c>
      <c r="B305" s="9" t="s">
        <v>68</v>
      </c>
      <c r="C305" s="8" t="s">
        <v>49</v>
      </c>
      <c r="D305" s="6" t="s">
        <v>67</v>
      </c>
      <c r="E305" s="10">
        <v>6</v>
      </c>
      <c r="F305">
        <v>8.3869517114728094</v>
      </c>
      <c r="G305">
        <v>2.3462054813781399</v>
      </c>
      <c r="H305" t="s">
        <v>52</v>
      </c>
      <c r="I305" t="s">
        <v>24</v>
      </c>
      <c r="J305" t="s">
        <v>23</v>
      </c>
      <c r="K305" t="s">
        <v>38</v>
      </c>
      <c r="L305">
        <v>327</v>
      </c>
      <c r="M305" t="s">
        <v>1799</v>
      </c>
      <c r="N305">
        <v>320</v>
      </c>
      <c r="O305" t="s">
        <v>54</v>
      </c>
      <c r="P305" t="s">
        <v>53</v>
      </c>
      <c r="Q305" s="25">
        <v>-30.143283</v>
      </c>
      <c r="R305" s="25">
        <v>-68.544953000000007</v>
      </c>
      <c r="S305">
        <v>-49.843200000000003</v>
      </c>
      <c r="T305">
        <v>-65.590199999999996</v>
      </c>
      <c r="U305">
        <v>49.843200000000003</v>
      </c>
      <c r="V305" t="s">
        <v>1539</v>
      </c>
      <c r="W305" t="s">
        <v>13</v>
      </c>
      <c r="X305" t="s">
        <v>16</v>
      </c>
      <c r="Y305" t="s">
        <v>66</v>
      </c>
    </row>
    <row r="306" spans="1:25" x14ac:dyDescent="0.25">
      <c r="A306" s="4">
        <v>538</v>
      </c>
      <c r="B306" s="9" t="s">
        <v>350</v>
      </c>
      <c r="C306" s="8" t="s">
        <v>29</v>
      </c>
      <c r="D306" s="6" t="s">
        <v>28</v>
      </c>
      <c r="E306" s="10">
        <v>6</v>
      </c>
      <c r="F306">
        <v>315.91175535663803</v>
      </c>
      <c r="G306">
        <v>225.864084986915</v>
      </c>
      <c r="H306" t="s">
        <v>140</v>
      </c>
      <c r="I306" t="s">
        <v>24</v>
      </c>
      <c r="J306" t="s">
        <v>185</v>
      </c>
      <c r="K306" t="s">
        <v>212</v>
      </c>
      <c r="L306">
        <v>319</v>
      </c>
      <c r="M306" t="s">
        <v>1799</v>
      </c>
      <c r="N306">
        <v>320</v>
      </c>
      <c r="O306" s="1" t="s">
        <v>194</v>
      </c>
      <c r="P306" s="1" t="s">
        <v>277</v>
      </c>
      <c r="Q306" s="25">
        <v>45.308835000000002</v>
      </c>
      <c r="R306" s="25">
        <v>-65.585998000000004</v>
      </c>
      <c r="S306">
        <v>-9.3553999999999995</v>
      </c>
      <c r="T306">
        <v>-9.0147999999999993</v>
      </c>
      <c r="U306">
        <v>9.3553999999999995</v>
      </c>
      <c r="V306" t="s">
        <v>1537</v>
      </c>
      <c r="W306" t="s">
        <v>14</v>
      </c>
      <c r="X306" t="s">
        <v>17</v>
      </c>
      <c r="Y306" s="1" t="s">
        <v>349</v>
      </c>
    </row>
    <row r="307" spans="1:25" x14ac:dyDescent="0.25">
      <c r="A307" s="4">
        <v>539</v>
      </c>
      <c r="B307" s="9" t="s">
        <v>354</v>
      </c>
      <c r="C307" s="8" t="s">
        <v>29</v>
      </c>
      <c r="D307" s="6" t="s">
        <v>28</v>
      </c>
      <c r="E307" s="10">
        <v>6</v>
      </c>
      <c r="F307">
        <v>161.29661060105599</v>
      </c>
      <c r="G307">
        <v>102.421500368056</v>
      </c>
      <c r="H307" t="s">
        <v>140</v>
      </c>
      <c r="I307" t="s">
        <v>24</v>
      </c>
      <c r="J307" t="s">
        <v>185</v>
      </c>
      <c r="K307" t="s">
        <v>213</v>
      </c>
      <c r="L307">
        <v>313</v>
      </c>
      <c r="M307" t="s">
        <v>1799</v>
      </c>
      <c r="N307">
        <v>320</v>
      </c>
      <c r="O307" s="1" t="s">
        <v>194</v>
      </c>
      <c r="P307" s="1" t="s">
        <v>351</v>
      </c>
      <c r="Q307" s="25">
        <v>45.800328999999998</v>
      </c>
      <c r="R307" s="25">
        <v>-63.119134000000003</v>
      </c>
      <c r="S307">
        <v>-9.1717999999999993</v>
      </c>
      <c r="T307">
        <v>-7.2046999999999999</v>
      </c>
      <c r="U307">
        <v>9.1717999999999993</v>
      </c>
      <c r="V307" t="s">
        <v>1537</v>
      </c>
      <c r="W307" t="s">
        <v>14</v>
      </c>
      <c r="X307" t="s">
        <v>17</v>
      </c>
      <c r="Y307" s="1" t="s">
        <v>352</v>
      </c>
    </row>
    <row r="308" spans="1:25" x14ac:dyDescent="0.25">
      <c r="A308" s="4">
        <v>540</v>
      </c>
      <c r="B308" s="9" t="s">
        <v>355</v>
      </c>
      <c r="C308" s="8" t="s">
        <v>29</v>
      </c>
      <c r="D308" s="6" t="s">
        <v>28</v>
      </c>
      <c r="E308" s="10">
        <v>6</v>
      </c>
      <c r="F308">
        <v>232.35059093893901</v>
      </c>
      <c r="G308">
        <v>178.885116996384</v>
      </c>
      <c r="H308" t="s">
        <v>140</v>
      </c>
      <c r="I308" t="s">
        <v>24</v>
      </c>
      <c r="J308" t="s">
        <v>185</v>
      </c>
      <c r="K308" t="s">
        <v>213</v>
      </c>
      <c r="L308">
        <v>313</v>
      </c>
      <c r="M308" t="s">
        <v>1799</v>
      </c>
      <c r="N308">
        <v>320</v>
      </c>
      <c r="O308" s="1" t="s">
        <v>194</v>
      </c>
      <c r="P308" s="1" t="s">
        <v>351</v>
      </c>
      <c r="Q308" s="25">
        <v>45.800328999999998</v>
      </c>
      <c r="R308" s="25">
        <v>-63.119134000000003</v>
      </c>
      <c r="S308">
        <v>-9.1717999999999993</v>
      </c>
      <c r="T308">
        <v>-7.2046999999999999</v>
      </c>
      <c r="U308">
        <v>9.1717999999999993</v>
      </c>
      <c r="V308" t="s">
        <v>1537</v>
      </c>
      <c r="W308" t="s">
        <v>14</v>
      </c>
      <c r="X308" t="s">
        <v>17</v>
      </c>
      <c r="Y308" s="1" t="s">
        <v>352</v>
      </c>
    </row>
    <row r="309" spans="1:25" x14ac:dyDescent="0.25">
      <c r="A309" s="4">
        <v>541</v>
      </c>
      <c r="B309" s="9" t="s">
        <v>356</v>
      </c>
      <c r="C309" s="8" t="s">
        <v>29</v>
      </c>
      <c r="D309" s="6" t="s">
        <v>28</v>
      </c>
      <c r="E309" s="10">
        <v>6</v>
      </c>
      <c r="F309">
        <v>366.03967788339497</v>
      </c>
      <c r="G309">
        <v>291.12153908994298</v>
      </c>
      <c r="H309" t="s">
        <v>140</v>
      </c>
      <c r="I309" t="s">
        <v>24</v>
      </c>
      <c r="J309" t="s">
        <v>185</v>
      </c>
      <c r="K309" t="s">
        <v>213</v>
      </c>
      <c r="L309">
        <v>313</v>
      </c>
      <c r="M309" t="s">
        <v>1799</v>
      </c>
      <c r="N309">
        <v>320</v>
      </c>
      <c r="O309" s="1" t="s">
        <v>194</v>
      </c>
      <c r="P309" s="1" t="s">
        <v>351</v>
      </c>
      <c r="Q309" s="25">
        <v>45.800328999999998</v>
      </c>
      <c r="R309" s="25">
        <v>-63.119134000000003</v>
      </c>
      <c r="S309">
        <v>-9.1717999999999993</v>
      </c>
      <c r="T309">
        <v>-7.2046999999999999</v>
      </c>
      <c r="U309">
        <v>9.1717999999999993</v>
      </c>
      <c r="V309" t="s">
        <v>1537</v>
      </c>
      <c r="W309" t="s">
        <v>14</v>
      </c>
      <c r="X309" t="s">
        <v>17</v>
      </c>
      <c r="Y309" s="1" t="s">
        <v>352</v>
      </c>
    </row>
    <row r="310" spans="1:25" x14ac:dyDescent="0.25">
      <c r="A310" s="4">
        <v>542</v>
      </c>
      <c r="B310" s="9" t="s">
        <v>353</v>
      </c>
      <c r="C310" s="8" t="s">
        <v>29</v>
      </c>
      <c r="D310" s="6" t="s">
        <v>28</v>
      </c>
      <c r="E310" s="10">
        <v>6</v>
      </c>
      <c r="F310">
        <v>296.86885119700497</v>
      </c>
      <c r="G310">
        <v>222.61287774236999</v>
      </c>
      <c r="H310" t="s">
        <v>140</v>
      </c>
      <c r="I310" t="s">
        <v>24</v>
      </c>
      <c r="J310" t="s">
        <v>185</v>
      </c>
      <c r="K310" t="s">
        <v>213</v>
      </c>
      <c r="L310">
        <v>313</v>
      </c>
      <c r="M310" t="s">
        <v>1799</v>
      </c>
      <c r="N310">
        <v>320</v>
      </c>
      <c r="O310" s="1" t="s">
        <v>194</v>
      </c>
      <c r="P310" s="1" t="s">
        <v>351</v>
      </c>
      <c r="Q310" s="25">
        <v>45.800328999999998</v>
      </c>
      <c r="R310" s="25">
        <v>-63.119134000000003</v>
      </c>
      <c r="S310">
        <v>-9.1717999999999993</v>
      </c>
      <c r="T310">
        <v>-7.2046999999999999</v>
      </c>
      <c r="U310">
        <v>9.1717999999999993</v>
      </c>
      <c r="V310" t="s">
        <v>1537</v>
      </c>
      <c r="W310" t="s">
        <v>14</v>
      </c>
      <c r="X310" t="s">
        <v>17</v>
      </c>
      <c r="Y310" s="1" t="s">
        <v>352</v>
      </c>
    </row>
    <row r="311" spans="1:25" x14ac:dyDescent="0.25">
      <c r="A311" s="4">
        <v>543</v>
      </c>
      <c r="B311" s="9" t="s">
        <v>357</v>
      </c>
      <c r="C311" s="8" t="s">
        <v>29</v>
      </c>
      <c r="D311" s="6" t="s">
        <v>28</v>
      </c>
      <c r="E311" s="10">
        <v>6</v>
      </c>
      <c r="F311">
        <v>275.32231220125402</v>
      </c>
      <c r="G311">
        <v>209.23927408698501</v>
      </c>
      <c r="H311" t="s">
        <v>140</v>
      </c>
      <c r="I311" t="s">
        <v>24</v>
      </c>
      <c r="J311" t="s">
        <v>185</v>
      </c>
      <c r="K311" t="s">
        <v>213</v>
      </c>
      <c r="L311">
        <v>313</v>
      </c>
      <c r="M311" t="s">
        <v>1799</v>
      </c>
      <c r="N311">
        <v>320</v>
      </c>
      <c r="O311" s="1" t="s">
        <v>194</v>
      </c>
      <c r="P311" s="1" t="s">
        <v>351</v>
      </c>
      <c r="Q311" s="25">
        <v>45.800328999999998</v>
      </c>
      <c r="R311" s="25">
        <v>-63.119134000000003</v>
      </c>
      <c r="S311">
        <v>-9.1717999999999993</v>
      </c>
      <c r="T311">
        <v>-7.2046999999999999</v>
      </c>
      <c r="U311">
        <v>9.1717999999999993</v>
      </c>
      <c r="V311" t="s">
        <v>1537</v>
      </c>
      <c r="W311" t="s">
        <v>14</v>
      </c>
      <c r="X311" t="s">
        <v>17</v>
      </c>
      <c r="Y311" s="1" t="s">
        <v>352</v>
      </c>
    </row>
    <row r="312" spans="1:25" x14ac:dyDescent="0.25">
      <c r="A312" s="4">
        <v>544</v>
      </c>
      <c r="B312" s="9" t="s">
        <v>358</v>
      </c>
      <c r="C312" s="8" t="s">
        <v>29</v>
      </c>
      <c r="D312" s="6" t="s">
        <v>28</v>
      </c>
      <c r="E312" s="10">
        <v>6</v>
      </c>
      <c r="F312">
        <v>306.99947219155899</v>
      </c>
      <c r="G312">
        <v>231.493231914181</v>
      </c>
      <c r="H312" t="s">
        <v>140</v>
      </c>
      <c r="I312" t="s">
        <v>24</v>
      </c>
      <c r="J312" t="s">
        <v>185</v>
      </c>
      <c r="K312" t="s">
        <v>213</v>
      </c>
      <c r="L312">
        <v>313</v>
      </c>
      <c r="M312" t="s">
        <v>1799</v>
      </c>
      <c r="N312">
        <v>320</v>
      </c>
      <c r="O312" s="1" t="s">
        <v>194</v>
      </c>
      <c r="P312" s="1" t="s">
        <v>351</v>
      </c>
      <c r="Q312" s="25">
        <v>45.800328999999998</v>
      </c>
      <c r="R312" s="25">
        <v>-63.119134000000003</v>
      </c>
      <c r="S312">
        <v>-9.1717999999999993</v>
      </c>
      <c r="T312">
        <v>-7.2046999999999999</v>
      </c>
      <c r="U312">
        <v>9.1717999999999993</v>
      </c>
      <c r="V312" t="s">
        <v>1537</v>
      </c>
      <c r="W312" t="s">
        <v>14</v>
      </c>
      <c r="X312" t="s">
        <v>17</v>
      </c>
      <c r="Y312" s="1" t="s">
        <v>352</v>
      </c>
    </row>
    <row r="313" spans="1:25" x14ac:dyDescent="0.25">
      <c r="A313" s="4">
        <v>545</v>
      </c>
      <c r="B313" s="9" t="s">
        <v>359</v>
      </c>
      <c r="C313" s="8" t="s">
        <v>29</v>
      </c>
      <c r="D313" s="6" t="s">
        <v>28</v>
      </c>
      <c r="E313" s="10">
        <v>6</v>
      </c>
      <c r="F313">
        <v>332.927613406994</v>
      </c>
      <c r="G313">
        <v>261.42511768000099</v>
      </c>
      <c r="H313" t="s">
        <v>140</v>
      </c>
      <c r="I313" t="s">
        <v>24</v>
      </c>
      <c r="J313" t="s">
        <v>185</v>
      </c>
      <c r="K313" t="s">
        <v>213</v>
      </c>
      <c r="L313">
        <v>313</v>
      </c>
      <c r="M313" t="s">
        <v>1799</v>
      </c>
      <c r="N313">
        <v>320</v>
      </c>
      <c r="O313" s="1" t="s">
        <v>194</v>
      </c>
      <c r="P313" s="1" t="s">
        <v>351</v>
      </c>
      <c r="Q313" s="25">
        <v>45.800328999999998</v>
      </c>
      <c r="R313" s="25">
        <v>-63.119134000000003</v>
      </c>
      <c r="S313">
        <v>-9.1717999999999993</v>
      </c>
      <c r="T313">
        <v>-7.2046999999999999</v>
      </c>
      <c r="U313">
        <v>9.1717999999999993</v>
      </c>
      <c r="V313" t="s">
        <v>1537</v>
      </c>
      <c r="W313" t="s">
        <v>14</v>
      </c>
      <c r="X313" t="s">
        <v>17</v>
      </c>
      <c r="Y313" s="1" t="s">
        <v>352</v>
      </c>
    </row>
    <row r="314" spans="1:25" x14ac:dyDescent="0.25">
      <c r="A314" s="4">
        <v>546</v>
      </c>
      <c r="B314" s="9" t="s">
        <v>360</v>
      </c>
      <c r="C314" s="8" t="s">
        <v>29</v>
      </c>
      <c r="D314" s="6" t="s">
        <v>28</v>
      </c>
      <c r="E314" s="10">
        <v>6</v>
      </c>
      <c r="F314">
        <v>316.27721136101201</v>
      </c>
      <c r="G314">
        <v>253.29672197509601</v>
      </c>
      <c r="H314" t="s">
        <v>140</v>
      </c>
      <c r="I314" t="s">
        <v>24</v>
      </c>
      <c r="J314" t="s">
        <v>185</v>
      </c>
      <c r="K314" t="s">
        <v>213</v>
      </c>
      <c r="L314">
        <v>313</v>
      </c>
      <c r="M314" t="s">
        <v>1799</v>
      </c>
      <c r="N314">
        <v>320</v>
      </c>
      <c r="O314" s="1" t="s">
        <v>194</v>
      </c>
      <c r="P314" s="1" t="s">
        <v>351</v>
      </c>
      <c r="Q314" s="25">
        <v>45.800328999999998</v>
      </c>
      <c r="R314" s="25">
        <v>-63.119134000000003</v>
      </c>
      <c r="S314">
        <v>-9.1717999999999993</v>
      </c>
      <c r="T314">
        <v>-7.2046999999999999</v>
      </c>
      <c r="U314">
        <v>9.1717999999999993</v>
      </c>
      <c r="V314" t="s">
        <v>1537</v>
      </c>
      <c r="W314" t="s">
        <v>14</v>
      </c>
      <c r="X314" t="s">
        <v>17</v>
      </c>
      <c r="Y314" s="1" t="s">
        <v>352</v>
      </c>
    </row>
    <row r="315" spans="1:25" x14ac:dyDescent="0.25">
      <c r="A315" s="4">
        <v>547</v>
      </c>
      <c r="B315" s="9" t="s">
        <v>361</v>
      </c>
      <c r="C315" s="8" t="s">
        <v>29</v>
      </c>
      <c r="D315" s="6" t="s">
        <v>28</v>
      </c>
      <c r="E315" s="10">
        <v>6</v>
      </c>
      <c r="F315">
        <v>406.22986358171602</v>
      </c>
      <c r="G315">
        <v>326.20837472513603</v>
      </c>
      <c r="H315" t="s">
        <v>140</v>
      </c>
      <c r="I315" t="s">
        <v>24</v>
      </c>
      <c r="J315" t="s">
        <v>185</v>
      </c>
      <c r="K315" t="s">
        <v>213</v>
      </c>
      <c r="L315">
        <v>313</v>
      </c>
      <c r="M315" t="s">
        <v>1799</v>
      </c>
      <c r="N315">
        <v>320</v>
      </c>
      <c r="O315" s="1" t="s">
        <v>194</v>
      </c>
      <c r="P315" s="1" t="s">
        <v>351</v>
      </c>
      <c r="Q315" s="25">
        <v>45.800328999999998</v>
      </c>
      <c r="R315" s="25">
        <v>-63.119134000000003</v>
      </c>
      <c r="S315">
        <v>-9.1717999999999993</v>
      </c>
      <c r="T315">
        <v>-7.2046999999999999</v>
      </c>
      <c r="U315">
        <v>9.1717999999999993</v>
      </c>
      <c r="V315" t="s">
        <v>1537</v>
      </c>
      <c r="W315" t="s">
        <v>14</v>
      </c>
      <c r="X315" t="s">
        <v>17</v>
      </c>
      <c r="Y315" s="1" t="s">
        <v>352</v>
      </c>
    </row>
    <row r="316" spans="1:25" x14ac:dyDescent="0.25">
      <c r="A316" s="4">
        <v>548</v>
      </c>
      <c r="B316" s="9" t="s">
        <v>362</v>
      </c>
      <c r="C316" s="8" t="s">
        <v>29</v>
      </c>
      <c r="D316" s="6" t="s">
        <v>28</v>
      </c>
      <c r="E316" s="10">
        <v>6</v>
      </c>
      <c r="F316">
        <v>270.88547944717698</v>
      </c>
      <c r="G316">
        <v>210.88963759024401</v>
      </c>
      <c r="H316" t="s">
        <v>140</v>
      </c>
      <c r="I316" t="s">
        <v>24</v>
      </c>
      <c r="J316" t="s">
        <v>185</v>
      </c>
      <c r="K316" t="s">
        <v>213</v>
      </c>
      <c r="L316">
        <v>313</v>
      </c>
      <c r="M316" t="s">
        <v>1799</v>
      </c>
      <c r="N316">
        <v>320</v>
      </c>
      <c r="O316" s="1" t="s">
        <v>194</v>
      </c>
      <c r="P316" s="1" t="s">
        <v>351</v>
      </c>
      <c r="Q316" s="25">
        <v>45.800328999999998</v>
      </c>
      <c r="R316" s="25">
        <v>-63.119134000000003</v>
      </c>
      <c r="S316">
        <v>-9.1717999999999993</v>
      </c>
      <c r="T316">
        <v>-7.2046999999999999</v>
      </c>
      <c r="U316">
        <v>9.1717999999999993</v>
      </c>
      <c r="V316" t="s">
        <v>1537</v>
      </c>
      <c r="W316" t="s">
        <v>14</v>
      </c>
      <c r="X316" t="s">
        <v>17</v>
      </c>
      <c r="Y316" s="1" t="s">
        <v>352</v>
      </c>
    </row>
    <row r="317" spans="1:25" x14ac:dyDescent="0.25">
      <c r="A317" s="4">
        <v>549</v>
      </c>
      <c r="B317" s="9" t="s">
        <v>363</v>
      </c>
      <c r="C317" s="8" t="s">
        <v>29</v>
      </c>
      <c r="D317" s="6" t="s">
        <v>28</v>
      </c>
      <c r="E317" s="10">
        <v>6</v>
      </c>
      <c r="F317">
        <v>353.76195793516303</v>
      </c>
      <c r="G317">
        <v>288.26074562433598</v>
      </c>
      <c r="H317" t="s">
        <v>140</v>
      </c>
      <c r="I317" t="s">
        <v>24</v>
      </c>
      <c r="J317" t="s">
        <v>185</v>
      </c>
      <c r="K317" t="s">
        <v>213</v>
      </c>
      <c r="L317">
        <v>313</v>
      </c>
      <c r="M317" t="s">
        <v>1799</v>
      </c>
      <c r="N317">
        <v>320</v>
      </c>
      <c r="O317" s="1" t="s">
        <v>194</v>
      </c>
      <c r="P317" s="1" t="s">
        <v>351</v>
      </c>
      <c r="Q317" s="25">
        <v>45.800328999999998</v>
      </c>
      <c r="R317" s="25">
        <v>-63.119134000000003</v>
      </c>
      <c r="S317">
        <v>-9.1717999999999993</v>
      </c>
      <c r="T317">
        <v>-7.2046999999999999</v>
      </c>
      <c r="U317">
        <v>9.1717999999999993</v>
      </c>
      <c r="V317" t="s">
        <v>1537</v>
      </c>
      <c r="W317" t="s">
        <v>14</v>
      </c>
      <c r="X317" t="s">
        <v>17</v>
      </c>
      <c r="Y317" s="1" t="s">
        <v>352</v>
      </c>
    </row>
    <row r="318" spans="1:25" x14ac:dyDescent="0.25">
      <c r="A318" s="4">
        <v>550</v>
      </c>
      <c r="B318" s="9" t="s">
        <v>364</v>
      </c>
      <c r="C318" s="8" t="s">
        <v>29</v>
      </c>
      <c r="D318" s="6" t="s">
        <v>28</v>
      </c>
      <c r="E318" s="10">
        <v>6</v>
      </c>
      <c r="F318">
        <v>225.632788763647</v>
      </c>
      <c r="G318">
        <v>153.30626960114799</v>
      </c>
      <c r="H318" t="s">
        <v>140</v>
      </c>
      <c r="I318" t="s">
        <v>24</v>
      </c>
      <c r="J318" t="s">
        <v>185</v>
      </c>
      <c r="K318" t="s">
        <v>213</v>
      </c>
      <c r="L318">
        <v>313</v>
      </c>
      <c r="M318" t="s">
        <v>1799</v>
      </c>
      <c r="N318">
        <v>320</v>
      </c>
      <c r="O318" s="1" t="s">
        <v>194</v>
      </c>
      <c r="P318" s="1" t="s">
        <v>351</v>
      </c>
      <c r="Q318" s="25">
        <v>45.800328999999998</v>
      </c>
      <c r="R318" s="25">
        <v>-63.119134000000003</v>
      </c>
      <c r="S318">
        <v>-9.1717999999999993</v>
      </c>
      <c r="T318">
        <v>-7.2046999999999999</v>
      </c>
      <c r="U318">
        <v>9.1717999999999993</v>
      </c>
      <c r="V318" t="s">
        <v>1537</v>
      </c>
      <c r="W318" t="s">
        <v>14</v>
      </c>
      <c r="X318" t="s">
        <v>17</v>
      </c>
      <c r="Y318" s="1" t="s">
        <v>352</v>
      </c>
    </row>
    <row r="319" spans="1:25" x14ac:dyDescent="0.25">
      <c r="A319" s="4">
        <v>551</v>
      </c>
      <c r="B319" s="9" t="s">
        <v>365</v>
      </c>
      <c r="C319" s="8" t="s">
        <v>29</v>
      </c>
      <c r="D319" s="6" t="s">
        <v>28</v>
      </c>
      <c r="E319" s="10">
        <v>6</v>
      </c>
      <c r="F319">
        <v>151.94691138733899</v>
      </c>
      <c r="G319">
        <v>101.45968236765999</v>
      </c>
      <c r="H319" t="s">
        <v>140</v>
      </c>
      <c r="I319" t="s">
        <v>24</v>
      </c>
      <c r="J319" t="s">
        <v>185</v>
      </c>
      <c r="K319" t="s">
        <v>213</v>
      </c>
      <c r="L319">
        <v>313</v>
      </c>
      <c r="M319" t="s">
        <v>1799</v>
      </c>
      <c r="N319">
        <v>320</v>
      </c>
      <c r="O319" s="1" t="s">
        <v>194</v>
      </c>
      <c r="P319" s="1" t="s">
        <v>351</v>
      </c>
      <c r="Q319" s="25">
        <v>45.800328999999998</v>
      </c>
      <c r="R319" s="25">
        <v>-63.119134000000003</v>
      </c>
      <c r="S319">
        <v>-9.1717999999999993</v>
      </c>
      <c r="T319">
        <v>-7.2046999999999999</v>
      </c>
      <c r="U319">
        <v>9.1717999999999993</v>
      </c>
      <c r="V319" t="s">
        <v>1537</v>
      </c>
      <c r="W319" t="s">
        <v>14</v>
      </c>
      <c r="X319" t="s">
        <v>17</v>
      </c>
      <c r="Y319" s="1" t="s">
        <v>352</v>
      </c>
    </row>
    <row r="320" spans="1:25" x14ac:dyDescent="0.25">
      <c r="A320" s="4">
        <v>552</v>
      </c>
      <c r="B320" s="9" t="s">
        <v>366</v>
      </c>
      <c r="C320" s="8" t="s">
        <v>29</v>
      </c>
      <c r="D320" s="6" t="s">
        <v>28</v>
      </c>
      <c r="E320" s="10">
        <v>6</v>
      </c>
      <c r="F320">
        <v>127.855230196009</v>
      </c>
      <c r="G320">
        <v>67.881774169259401</v>
      </c>
      <c r="H320" t="s">
        <v>140</v>
      </c>
      <c r="I320" t="s">
        <v>24</v>
      </c>
      <c r="J320" t="s">
        <v>185</v>
      </c>
      <c r="K320" t="s">
        <v>213</v>
      </c>
      <c r="L320">
        <v>313</v>
      </c>
      <c r="M320" t="s">
        <v>1799</v>
      </c>
      <c r="N320">
        <v>320</v>
      </c>
      <c r="O320" s="1" t="s">
        <v>194</v>
      </c>
      <c r="P320" s="1" t="s">
        <v>351</v>
      </c>
      <c r="Q320" s="25">
        <v>45.800328999999998</v>
      </c>
      <c r="R320" s="25">
        <v>-63.119134000000003</v>
      </c>
      <c r="S320">
        <v>-9.1717999999999993</v>
      </c>
      <c r="T320">
        <v>-7.2046999999999999</v>
      </c>
      <c r="U320">
        <v>9.1717999999999993</v>
      </c>
      <c r="V320" t="s">
        <v>1537</v>
      </c>
      <c r="W320" t="s">
        <v>14</v>
      </c>
      <c r="X320" t="s">
        <v>17</v>
      </c>
      <c r="Y320" s="1" t="s">
        <v>352</v>
      </c>
    </row>
    <row r="321" spans="1:25" x14ac:dyDescent="0.25">
      <c r="A321" s="4">
        <v>553</v>
      </c>
      <c r="B321" s="9" t="s">
        <v>367</v>
      </c>
      <c r="C321" s="8" t="s">
        <v>29</v>
      </c>
      <c r="D321" s="6" t="s">
        <v>28</v>
      </c>
      <c r="E321" s="10">
        <v>6</v>
      </c>
      <c r="F321">
        <v>275.29921800583003</v>
      </c>
      <c r="G321">
        <v>219.38550763175701</v>
      </c>
      <c r="H321" t="s">
        <v>140</v>
      </c>
      <c r="I321" t="s">
        <v>24</v>
      </c>
      <c r="J321" t="s">
        <v>185</v>
      </c>
      <c r="K321" t="s">
        <v>213</v>
      </c>
      <c r="L321">
        <v>313</v>
      </c>
      <c r="M321" t="s">
        <v>1799</v>
      </c>
      <c r="N321">
        <v>320</v>
      </c>
      <c r="O321" s="1" t="s">
        <v>194</v>
      </c>
      <c r="P321" s="1" t="s">
        <v>351</v>
      </c>
      <c r="Q321" s="25">
        <v>45.800328999999998</v>
      </c>
      <c r="R321" s="25">
        <v>-63.119134000000003</v>
      </c>
      <c r="S321">
        <v>-9.1717999999999993</v>
      </c>
      <c r="T321">
        <v>-7.2046999999999999</v>
      </c>
      <c r="U321">
        <v>9.1717999999999993</v>
      </c>
      <c r="V321" t="s">
        <v>1537</v>
      </c>
      <c r="W321" t="s">
        <v>14</v>
      </c>
      <c r="X321" t="s">
        <v>17</v>
      </c>
      <c r="Y321" s="1" t="s">
        <v>352</v>
      </c>
    </row>
    <row r="322" spans="1:25" x14ac:dyDescent="0.25">
      <c r="A322" s="4">
        <v>554</v>
      </c>
      <c r="B322" s="9" t="s">
        <v>368</v>
      </c>
      <c r="C322" s="8" t="s">
        <v>29</v>
      </c>
      <c r="D322" s="6" t="s">
        <v>28</v>
      </c>
      <c r="E322" s="10">
        <v>6</v>
      </c>
      <c r="F322">
        <v>208.896043242639</v>
      </c>
      <c r="G322">
        <v>147.462042528761</v>
      </c>
      <c r="H322" t="s">
        <v>140</v>
      </c>
      <c r="I322" t="s">
        <v>24</v>
      </c>
      <c r="J322" t="s">
        <v>185</v>
      </c>
      <c r="K322" t="s">
        <v>213</v>
      </c>
      <c r="L322">
        <v>313</v>
      </c>
      <c r="M322" t="s">
        <v>1799</v>
      </c>
      <c r="N322">
        <v>320</v>
      </c>
      <c r="O322" s="1" t="s">
        <v>194</v>
      </c>
      <c r="P322" s="1" t="s">
        <v>351</v>
      </c>
      <c r="Q322" s="25">
        <v>45.800328999999998</v>
      </c>
      <c r="R322" s="25">
        <v>-63.119134000000003</v>
      </c>
      <c r="S322">
        <v>-9.1717999999999993</v>
      </c>
      <c r="T322">
        <v>-7.2046999999999999</v>
      </c>
      <c r="U322">
        <v>9.1717999999999993</v>
      </c>
      <c r="V322" t="s">
        <v>1537</v>
      </c>
      <c r="W322" t="s">
        <v>14</v>
      </c>
      <c r="X322" t="s">
        <v>17</v>
      </c>
      <c r="Y322" s="1" t="s">
        <v>352</v>
      </c>
    </row>
    <row r="323" spans="1:25" x14ac:dyDescent="0.25">
      <c r="A323" s="4">
        <v>555</v>
      </c>
      <c r="B323" s="9" t="s">
        <v>369</v>
      </c>
      <c r="C323" s="8" t="s">
        <v>29</v>
      </c>
      <c r="D323" s="6" t="s">
        <v>28</v>
      </c>
      <c r="E323" s="10">
        <v>6</v>
      </c>
      <c r="F323">
        <v>298.14907146465498</v>
      </c>
      <c r="G323">
        <v>227.40894667523199</v>
      </c>
      <c r="H323" t="s">
        <v>140</v>
      </c>
      <c r="I323" t="s">
        <v>24</v>
      </c>
      <c r="J323" t="s">
        <v>185</v>
      </c>
      <c r="K323" t="s">
        <v>213</v>
      </c>
      <c r="L323">
        <v>313</v>
      </c>
      <c r="M323" t="s">
        <v>1799</v>
      </c>
      <c r="N323">
        <v>320</v>
      </c>
      <c r="O323" s="1" t="s">
        <v>194</v>
      </c>
      <c r="P323" s="1" t="s">
        <v>351</v>
      </c>
      <c r="Q323" s="25">
        <v>45.800328999999998</v>
      </c>
      <c r="R323" s="25">
        <v>-63.119134000000003</v>
      </c>
      <c r="S323">
        <v>-9.1717999999999993</v>
      </c>
      <c r="T323">
        <v>-7.2046999999999999</v>
      </c>
      <c r="U323">
        <v>9.1717999999999993</v>
      </c>
      <c r="V323" t="s">
        <v>1537</v>
      </c>
      <c r="W323" t="s">
        <v>14</v>
      </c>
      <c r="X323" t="s">
        <v>17</v>
      </c>
      <c r="Y323" s="1" t="s">
        <v>352</v>
      </c>
    </row>
    <row r="324" spans="1:25" x14ac:dyDescent="0.25">
      <c r="A324" s="4">
        <v>556</v>
      </c>
      <c r="B324" s="9" t="s">
        <v>370</v>
      </c>
      <c r="C324" s="8" t="s">
        <v>29</v>
      </c>
      <c r="D324" s="6" t="s">
        <v>28</v>
      </c>
      <c r="E324" s="10">
        <v>6</v>
      </c>
      <c r="F324">
        <v>206.87383686800499</v>
      </c>
      <c r="G324">
        <v>161.96391946335299</v>
      </c>
      <c r="H324" t="s">
        <v>140</v>
      </c>
      <c r="I324" t="s">
        <v>24</v>
      </c>
      <c r="J324" t="s">
        <v>185</v>
      </c>
      <c r="K324" t="s">
        <v>213</v>
      </c>
      <c r="L324">
        <v>313</v>
      </c>
      <c r="M324" t="s">
        <v>1799</v>
      </c>
      <c r="N324">
        <v>320</v>
      </c>
      <c r="O324" s="1" t="s">
        <v>194</v>
      </c>
      <c r="P324" s="1" t="s">
        <v>351</v>
      </c>
      <c r="Q324" s="25">
        <v>45.800328999999998</v>
      </c>
      <c r="R324" s="25">
        <v>-63.119134000000003</v>
      </c>
      <c r="S324">
        <v>-9.1717999999999993</v>
      </c>
      <c r="T324">
        <v>-7.2046999999999999</v>
      </c>
      <c r="U324">
        <v>9.1717999999999993</v>
      </c>
      <c r="V324" t="s">
        <v>1537</v>
      </c>
      <c r="W324" t="s">
        <v>14</v>
      </c>
      <c r="X324" t="s">
        <v>17</v>
      </c>
      <c r="Y324" s="1" t="s">
        <v>352</v>
      </c>
    </row>
    <row r="325" spans="1:25" x14ac:dyDescent="0.25">
      <c r="A325" s="4">
        <v>557</v>
      </c>
      <c r="B325" s="9" t="s">
        <v>371</v>
      </c>
      <c r="C325" s="8" t="s">
        <v>29</v>
      </c>
      <c r="D325" s="6" t="s">
        <v>28</v>
      </c>
      <c r="E325" s="10">
        <v>6</v>
      </c>
      <c r="F325">
        <v>252.06316555251601</v>
      </c>
      <c r="G325">
        <v>174.03656170101499</v>
      </c>
      <c r="H325" t="s">
        <v>140</v>
      </c>
      <c r="I325" t="s">
        <v>24</v>
      </c>
      <c r="J325" t="s">
        <v>185</v>
      </c>
      <c r="K325" t="s">
        <v>213</v>
      </c>
      <c r="L325">
        <v>313</v>
      </c>
      <c r="M325" t="s">
        <v>1799</v>
      </c>
      <c r="N325">
        <v>320</v>
      </c>
      <c r="O325" s="1" t="s">
        <v>194</v>
      </c>
      <c r="P325" s="1" t="s">
        <v>351</v>
      </c>
      <c r="Q325" s="25">
        <v>45.800328999999998</v>
      </c>
      <c r="R325" s="25">
        <v>-63.119134000000003</v>
      </c>
      <c r="S325">
        <v>-9.1717999999999993</v>
      </c>
      <c r="T325">
        <v>-7.2046999999999999</v>
      </c>
      <c r="U325">
        <v>9.1717999999999993</v>
      </c>
      <c r="V325" t="s">
        <v>1537</v>
      </c>
      <c r="W325" t="s">
        <v>14</v>
      </c>
      <c r="X325" t="s">
        <v>17</v>
      </c>
      <c r="Y325" s="1" t="s">
        <v>352</v>
      </c>
    </row>
    <row r="326" spans="1:25" x14ac:dyDescent="0.25">
      <c r="A326" s="4">
        <v>558</v>
      </c>
      <c r="B326" s="9" t="s">
        <v>374</v>
      </c>
      <c r="C326" s="8" t="s">
        <v>341</v>
      </c>
      <c r="D326" s="6" t="s">
        <v>96</v>
      </c>
      <c r="E326" s="10">
        <v>6</v>
      </c>
      <c r="F326">
        <v>96</v>
      </c>
      <c r="G326">
        <v>36</v>
      </c>
      <c r="H326" t="s">
        <v>372</v>
      </c>
      <c r="I326" t="s">
        <v>24</v>
      </c>
      <c r="J326" t="s">
        <v>185</v>
      </c>
      <c r="K326" t="s">
        <v>212</v>
      </c>
      <c r="L326">
        <v>319</v>
      </c>
      <c r="M326" t="s">
        <v>1799</v>
      </c>
      <c r="N326">
        <v>320</v>
      </c>
      <c r="O326" s="1" t="s">
        <v>40</v>
      </c>
      <c r="P326" s="1" t="s">
        <v>283</v>
      </c>
      <c r="Q326" s="25">
        <v>53.311681999999998</v>
      </c>
      <c r="R326" s="25">
        <v>-3.272087</v>
      </c>
      <c r="S326">
        <v>-1.2862</v>
      </c>
      <c r="T326">
        <v>6.0381</v>
      </c>
      <c r="U326">
        <v>1.2862</v>
      </c>
      <c r="V326" t="s">
        <v>1538</v>
      </c>
      <c r="W326" t="s">
        <v>14</v>
      </c>
      <c r="X326" t="s">
        <v>17</v>
      </c>
      <c r="Y326" s="1" t="s">
        <v>373</v>
      </c>
    </row>
    <row r="327" spans="1:25" x14ac:dyDescent="0.25">
      <c r="A327" s="4">
        <v>559</v>
      </c>
      <c r="B327" s="9">
        <v>435</v>
      </c>
      <c r="C327" s="8" t="s">
        <v>386</v>
      </c>
      <c r="D327" s="6" t="s">
        <v>130</v>
      </c>
      <c r="E327" s="10">
        <v>6</v>
      </c>
      <c r="F327">
        <v>43.551088004594</v>
      </c>
      <c r="G327">
        <v>11.1261574331656</v>
      </c>
      <c r="H327" t="s">
        <v>39</v>
      </c>
      <c r="I327" t="s">
        <v>24</v>
      </c>
      <c r="J327" t="s">
        <v>185</v>
      </c>
      <c r="K327" t="s">
        <v>186</v>
      </c>
      <c r="L327">
        <v>311</v>
      </c>
      <c r="M327" t="s">
        <v>1799</v>
      </c>
      <c r="N327">
        <v>320</v>
      </c>
      <c r="O327" s="1" t="s">
        <v>40</v>
      </c>
      <c r="P327" s="1" t="s">
        <v>1455</v>
      </c>
      <c r="Q327" s="25">
        <v>51.302829000000003</v>
      </c>
      <c r="R327" s="25">
        <v>-2.425942</v>
      </c>
      <c r="S327">
        <v>-3.2048000000000001</v>
      </c>
      <c r="T327">
        <v>6.8273999999999999</v>
      </c>
      <c r="U327">
        <v>3.2048000000000001</v>
      </c>
      <c r="V327" t="s">
        <v>1538</v>
      </c>
      <c r="W327" t="s">
        <v>14</v>
      </c>
      <c r="X327" t="s">
        <v>17</v>
      </c>
      <c r="Y327" s="1" t="s">
        <v>385</v>
      </c>
    </row>
    <row r="328" spans="1:25" x14ac:dyDescent="0.25">
      <c r="A328" s="4">
        <v>560</v>
      </c>
      <c r="B328" s="9">
        <v>14879</v>
      </c>
      <c r="C328" s="8" t="s">
        <v>387</v>
      </c>
      <c r="D328" s="6" t="s">
        <v>130</v>
      </c>
      <c r="E328" s="10">
        <v>6</v>
      </c>
      <c r="F328">
        <v>28.8531406511783</v>
      </c>
      <c r="G328">
        <v>6.4839503236180596</v>
      </c>
      <c r="H328" t="s">
        <v>39</v>
      </c>
      <c r="I328" t="s">
        <v>24</v>
      </c>
      <c r="J328" t="s">
        <v>185</v>
      </c>
      <c r="K328" t="s">
        <v>186</v>
      </c>
      <c r="L328">
        <v>311</v>
      </c>
      <c r="M328" t="s">
        <v>1799</v>
      </c>
      <c r="N328">
        <v>320</v>
      </c>
      <c r="O328" s="1" t="s">
        <v>40</v>
      </c>
      <c r="P328" s="1" t="s">
        <v>1455</v>
      </c>
      <c r="Q328" s="25">
        <v>51.302829000000003</v>
      </c>
      <c r="R328" s="25">
        <v>-2.425942</v>
      </c>
      <c r="S328">
        <v>-3.2048000000000001</v>
      </c>
      <c r="T328">
        <v>6.8273999999999999</v>
      </c>
      <c r="U328">
        <v>3.2048000000000001</v>
      </c>
      <c r="V328" t="s">
        <v>1538</v>
      </c>
      <c r="W328" t="s">
        <v>14</v>
      </c>
      <c r="X328" t="s">
        <v>17</v>
      </c>
      <c r="Y328" s="1" t="s">
        <v>385</v>
      </c>
    </row>
    <row r="329" spans="1:25" x14ac:dyDescent="0.25">
      <c r="A329" s="4">
        <v>561</v>
      </c>
      <c r="B329" s="9">
        <v>426</v>
      </c>
      <c r="C329" s="8" t="s">
        <v>386</v>
      </c>
      <c r="D329" s="6" t="s">
        <v>130</v>
      </c>
      <c r="E329" s="10">
        <v>6</v>
      </c>
      <c r="F329">
        <v>43.971028607056297</v>
      </c>
      <c r="G329">
        <v>6.9968760357118498</v>
      </c>
      <c r="H329" t="s">
        <v>39</v>
      </c>
      <c r="I329" t="s">
        <v>24</v>
      </c>
      <c r="J329" t="s">
        <v>185</v>
      </c>
      <c r="K329" t="s">
        <v>186</v>
      </c>
      <c r="L329">
        <v>311</v>
      </c>
      <c r="M329" t="s">
        <v>1799</v>
      </c>
      <c r="N329">
        <v>320</v>
      </c>
      <c r="O329" s="1" t="s">
        <v>40</v>
      </c>
      <c r="P329" s="1" t="s">
        <v>1455</v>
      </c>
      <c r="Q329" s="25">
        <v>51.302829000000003</v>
      </c>
      <c r="R329" s="25">
        <v>-2.425942</v>
      </c>
      <c r="S329">
        <v>-3.2048000000000001</v>
      </c>
      <c r="T329">
        <v>6.8273999999999999</v>
      </c>
      <c r="U329">
        <v>3.2048000000000001</v>
      </c>
      <c r="V329" t="s">
        <v>1538</v>
      </c>
      <c r="W329" t="s">
        <v>14</v>
      </c>
      <c r="X329" t="s">
        <v>17</v>
      </c>
      <c r="Y329" s="1" t="s">
        <v>385</v>
      </c>
    </row>
    <row r="330" spans="1:25" x14ac:dyDescent="0.25">
      <c r="A330" s="4">
        <v>564</v>
      </c>
      <c r="B330" s="9">
        <v>14578</v>
      </c>
      <c r="C330" s="8" t="s">
        <v>70</v>
      </c>
      <c r="D330" s="6" t="s">
        <v>67</v>
      </c>
      <c r="E330" s="10">
        <v>6</v>
      </c>
      <c r="F330">
        <v>7.10618802515833</v>
      </c>
      <c r="G330">
        <v>2.71364099680657</v>
      </c>
      <c r="H330" t="s">
        <v>52</v>
      </c>
      <c r="I330" t="s">
        <v>24</v>
      </c>
      <c r="J330" t="s">
        <v>23</v>
      </c>
      <c r="K330" t="s">
        <v>38</v>
      </c>
      <c r="L330">
        <v>327</v>
      </c>
      <c r="M330" t="s">
        <v>1799</v>
      </c>
      <c r="N330">
        <v>320</v>
      </c>
      <c r="O330" t="s">
        <v>54</v>
      </c>
      <c r="P330" s="1" t="s">
        <v>53</v>
      </c>
      <c r="Q330" s="25">
        <v>-30.143283</v>
      </c>
      <c r="R330" s="25">
        <v>-68.544953000000007</v>
      </c>
      <c r="S330">
        <v>-49.843200000000003</v>
      </c>
      <c r="T330">
        <v>-65.590199999999996</v>
      </c>
      <c r="U330">
        <v>49.843200000000003</v>
      </c>
      <c r="V330" t="s">
        <v>1539</v>
      </c>
      <c r="W330" t="s">
        <v>13</v>
      </c>
      <c r="X330" t="s">
        <v>16</v>
      </c>
      <c r="Y330" t="s">
        <v>69</v>
      </c>
    </row>
    <row r="331" spans="1:25" x14ac:dyDescent="0.25">
      <c r="A331" s="4">
        <v>565</v>
      </c>
      <c r="B331" s="9">
        <v>14600</v>
      </c>
      <c r="C331" s="8" t="s">
        <v>70</v>
      </c>
      <c r="D331" s="6" t="s">
        <v>67</v>
      </c>
      <c r="E331" s="10">
        <v>6</v>
      </c>
      <c r="F331">
        <v>10.6130328571686</v>
      </c>
      <c r="G331">
        <v>2.5947850761048299</v>
      </c>
      <c r="H331" t="s">
        <v>52</v>
      </c>
      <c r="I331" t="s">
        <v>24</v>
      </c>
      <c r="J331" t="s">
        <v>23</v>
      </c>
      <c r="K331" t="s">
        <v>38</v>
      </c>
      <c r="L331">
        <v>327</v>
      </c>
      <c r="M331" t="s">
        <v>1799</v>
      </c>
      <c r="N331">
        <v>320</v>
      </c>
      <c r="O331" t="s">
        <v>54</v>
      </c>
      <c r="P331" s="1" t="s">
        <v>53</v>
      </c>
      <c r="Q331" s="25">
        <v>-30.143283</v>
      </c>
      <c r="R331" s="25">
        <v>-68.544953000000007</v>
      </c>
      <c r="S331">
        <v>-49.843200000000003</v>
      </c>
      <c r="T331">
        <v>-65.590199999999996</v>
      </c>
      <c r="U331">
        <v>49.843200000000003</v>
      </c>
      <c r="V331" t="s">
        <v>1539</v>
      </c>
      <c r="W331" t="s">
        <v>13</v>
      </c>
      <c r="X331" t="s">
        <v>16</v>
      </c>
      <c r="Y331" t="s">
        <v>69</v>
      </c>
    </row>
    <row r="332" spans="1:25" x14ac:dyDescent="0.25">
      <c r="A332" s="4">
        <v>572</v>
      </c>
      <c r="B332" s="9">
        <v>14586</v>
      </c>
      <c r="C332" s="8" t="s">
        <v>70</v>
      </c>
      <c r="D332" s="6" t="s">
        <v>67</v>
      </c>
      <c r="E332" s="10">
        <v>6</v>
      </c>
      <c r="F332">
        <v>10.4717265982969</v>
      </c>
      <c r="G332">
        <v>2.2258777923570299</v>
      </c>
      <c r="H332" t="s">
        <v>52</v>
      </c>
      <c r="I332" t="s">
        <v>24</v>
      </c>
      <c r="J332" t="s">
        <v>23</v>
      </c>
      <c r="K332" t="s">
        <v>38</v>
      </c>
      <c r="L332">
        <v>327</v>
      </c>
      <c r="M332" t="s">
        <v>1799</v>
      </c>
      <c r="N332">
        <v>320</v>
      </c>
      <c r="O332" t="s">
        <v>54</v>
      </c>
      <c r="P332" s="1" t="s">
        <v>53</v>
      </c>
      <c r="Q332" s="25">
        <v>-30.143283</v>
      </c>
      <c r="R332" s="25">
        <v>-68.544953000000007</v>
      </c>
      <c r="S332">
        <v>-49.843200000000003</v>
      </c>
      <c r="T332">
        <v>-65.590199999999996</v>
      </c>
      <c r="U332">
        <v>49.843200000000003</v>
      </c>
      <c r="V332" t="s">
        <v>1539</v>
      </c>
      <c r="W332" t="s">
        <v>13</v>
      </c>
      <c r="X332" t="s">
        <v>16</v>
      </c>
      <c r="Y332" t="s">
        <v>69</v>
      </c>
    </row>
    <row r="333" spans="1:25" x14ac:dyDescent="0.25">
      <c r="A333" s="4">
        <v>573</v>
      </c>
      <c r="B333" s="9">
        <v>14579</v>
      </c>
      <c r="C333" s="8" t="s">
        <v>70</v>
      </c>
      <c r="D333" s="6" t="s">
        <v>72</v>
      </c>
      <c r="E333" s="10">
        <v>6</v>
      </c>
      <c r="F333">
        <v>27.392335202643</v>
      </c>
      <c r="G333">
        <v>5.7310303453211597</v>
      </c>
      <c r="H333" t="s">
        <v>52</v>
      </c>
      <c r="I333" t="s">
        <v>24</v>
      </c>
      <c r="J333" t="s">
        <v>23</v>
      </c>
      <c r="K333" t="s">
        <v>38</v>
      </c>
      <c r="L333">
        <v>327</v>
      </c>
      <c r="M333" t="s">
        <v>1799</v>
      </c>
      <c r="N333">
        <v>320</v>
      </c>
      <c r="O333" t="s">
        <v>54</v>
      </c>
      <c r="P333" s="1" t="s">
        <v>53</v>
      </c>
      <c r="Q333" s="25">
        <v>-30.143283</v>
      </c>
      <c r="R333" s="25">
        <v>-68.544953000000007</v>
      </c>
      <c r="S333">
        <v>-49.843200000000003</v>
      </c>
      <c r="T333">
        <v>-65.590199999999996</v>
      </c>
      <c r="U333">
        <v>49.843200000000003</v>
      </c>
      <c r="V333" t="s">
        <v>1539</v>
      </c>
      <c r="W333" t="s">
        <v>13</v>
      </c>
      <c r="X333" t="s">
        <v>16</v>
      </c>
      <c r="Y333" t="s">
        <v>69</v>
      </c>
    </row>
    <row r="334" spans="1:25" x14ac:dyDescent="0.25">
      <c r="A334" s="4">
        <v>574</v>
      </c>
      <c r="B334" s="9">
        <v>14586</v>
      </c>
      <c r="C334" s="8" t="s">
        <v>70</v>
      </c>
      <c r="D334" s="6" t="s">
        <v>64</v>
      </c>
      <c r="E334" s="10">
        <v>8</v>
      </c>
      <c r="F334">
        <v>1.28032679922759</v>
      </c>
      <c r="G334">
        <v>0.210254124323417</v>
      </c>
      <c r="H334" t="s">
        <v>52</v>
      </c>
      <c r="I334" t="s">
        <v>24</v>
      </c>
      <c r="J334" t="s">
        <v>23</v>
      </c>
      <c r="K334" t="s">
        <v>38</v>
      </c>
      <c r="L334">
        <v>327</v>
      </c>
      <c r="M334" t="s">
        <v>1799</v>
      </c>
      <c r="N334">
        <v>320</v>
      </c>
      <c r="O334" t="s">
        <v>54</v>
      </c>
      <c r="P334" s="1" t="s">
        <v>53</v>
      </c>
      <c r="Q334" s="25">
        <v>-30.143283</v>
      </c>
      <c r="R334" s="25">
        <v>-68.544953000000007</v>
      </c>
      <c r="S334">
        <v>-49.843200000000003</v>
      </c>
      <c r="T334">
        <v>-65.590199999999996</v>
      </c>
      <c r="U334">
        <v>49.843200000000003</v>
      </c>
      <c r="V334" t="s">
        <v>1539</v>
      </c>
      <c r="W334" t="s">
        <v>13</v>
      </c>
      <c r="X334" t="s">
        <v>16</v>
      </c>
      <c r="Y334" t="s">
        <v>69</v>
      </c>
    </row>
    <row r="335" spans="1:25" x14ac:dyDescent="0.25">
      <c r="A335" s="4">
        <v>576</v>
      </c>
      <c r="B335" s="9">
        <v>14599</v>
      </c>
      <c r="C335" s="8" t="s">
        <v>70</v>
      </c>
      <c r="D335" s="6" t="s">
        <v>67</v>
      </c>
      <c r="E335" s="10">
        <v>6</v>
      </c>
      <c r="F335">
        <v>9.0765367120089593</v>
      </c>
      <c r="G335">
        <v>1.66840068617477</v>
      </c>
      <c r="H335" t="s">
        <v>52</v>
      </c>
      <c r="I335" t="s">
        <v>24</v>
      </c>
      <c r="J335" t="s">
        <v>23</v>
      </c>
      <c r="K335" t="s">
        <v>38</v>
      </c>
      <c r="L335">
        <v>327</v>
      </c>
      <c r="M335" t="s">
        <v>1799</v>
      </c>
      <c r="N335">
        <v>320</v>
      </c>
      <c r="O335" t="s">
        <v>54</v>
      </c>
      <c r="P335" s="1" t="s">
        <v>53</v>
      </c>
      <c r="Q335" s="25">
        <v>-30.143283</v>
      </c>
      <c r="R335" s="25">
        <v>-68.544953000000007</v>
      </c>
      <c r="S335">
        <v>-49.843200000000003</v>
      </c>
      <c r="T335">
        <v>-65.590199999999996</v>
      </c>
      <c r="U335">
        <v>49.843200000000003</v>
      </c>
      <c r="V335" t="s">
        <v>1539</v>
      </c>
      <c r="W335" t="s">
        <v>13</v>
      </c>
      <c r="X335" t="s">
        <v>16</v>
      </c>
      <c r="Y335" t="s">
        <v>69</v>
      </c>
    </row>
    <row r="336" spans="1:25" x14ac:dyDescent="0.25">
      <c r="A336" s="4">
        <v>577</v>
      </c>
      <c r="B336" s="9">
        <v>14600</v>
      </c>
      <c r="C336" s="8" t="s">
        <v>70</v>
      </c>
      <c r="D336" s="6" t="s">
        <v>60</v>
      </c>
      <c r="E336" s="10">
        <v>5</v>
      </c>
      <c r="F336">
        <v>7.0187748676348303</v>
      </c>
      <c r="G336">
        <v>1.56567427682677</v>
      </c>
      <c r="H336" t="s">
        <v>52</v>
      </c>
      <c r="I336" t="s">
        <v>24</v>
      </c>
      <c r="J336" t="s">
        <v>23</v>
      </c>
      <c r="K336" t="s">
        <v>38</v>
      </c>
      <c r="L336">
        <v>327</v>
      </c>
      <c r="M336" t="s">
        <v>1799</v>
      </c>
      <c r="N336">
        <v>320</v>
      </c>
      <c r="O336" t="s">
        <v>54</v>
      </c>
      <c r="P336" s="1" t="s">
        <v>53</v>
      </c>
      <c r="Q336" s="25">
        <v>-30.143283</v>
      </c>
      <c r="R336" s="25">
        <v>-68.544953000000007</v>
      </c>
      <c r="S336">
        <v>-49.843200000000003</v>
      </c>
      <c r="T336">
        <v>-65.590199999999996</v>
      </c>
      <c r="U336">
        <v>49.843200000000003</v>
      </c>
      <c r="V336" t="s">
        <v>1539</v>
      </c>
      <c r="W336" t="s">
        <v>13</v>
      </c>
      <c r="X336" t="s">
        <v>16</v>
      </c>
      <c r="Y336" t="s">
        <v>69</v>
      </c>
    </row>
    <row r="337" spans="1:25" x14ac:dyDescent="0.25">
      <c r="A337" s="4">
        <v>578</v>
      </c>
      <c r="B337" s="9">
        <v>14600</v>
      </c>
      <c r="C337" s="8" t="s">
        <v>70</v>
      </c>
      <c r="D337" s="6" t="s">
        <v>73</v>
      </c>
      <c r="E337" s="10">
        <v>6</v>
      </c>
      <c r="F337">
        <v>7.9584669723448602</v>
      </c>
      <c r="G337">
        <v>3.7538970598425601</v>
      </c>
      <c r="H337" t="s">
        <v>52</v>
      </c>
      <c r="I337" t="s">
        <v>24</v>
      </c>
      <c r="J337" t="s">
        <v>23</v>
      </c>
      <c r="K337" t="s">
        <v>38</v>
      </c>
      <c r="L337">
        <v>327</v>
      </c>
      <c r="M337" t="s">
        <v>1799</v>
      </c>
      <c r="N337">
        <v>320</v>
      </c>
      <c r="O337" t="s">
        <v>54</v>
      </c>
      <c r="P337" s="1" t="s">
        <v>53</v>
      </c>
      <c r="Q337" s="25">
        <v>-30.143283</v>
      </c>
      <c r="R337" s="25">
        <v>-68.544953000000007</v>
      </c>
      <c r="S337">
        <v>-49.843200000000003</v>
      </c>
      <c r="T337">
        <v>-65.590199999999996</v>
      </c>
      <c r="U337">
        <v>49.843200000000003</v>
      </c>
      <c r="V337" t="s">
        <v>1539</v>
      </c>
      <c r="W337" t="s">
        <v>13</v>
      </c>
      <c r="X337" t="s">
        <v>16</v>
      </c>
      <c r="Y337" t="s">
        <v>69</v>
      </c>
    </row>
    <row r="338" spans="1:25" x14ac:dyDescent="0.25">
      <c r="A338" s="4">
        <v>579</v>
      </c>
      <c r="B338" s="9" t="s">
        <v>395</v>
      </c>
      <c r="C338" s="8" t="s">
        <v>394</v>
      </c>
      <c r="D338" s="10" t="s">
        <v>393</v>
      </c>
      <c r="E338" s="10">
        <v>7</v>
      </c>
      <c r="F338">
        <v>45.707431468054203</v>
      </c>
      <c r="G338">
        <v>4.2126992849529001</v>
      </c>
      <c r="H338" t="s">
        <v>92</v>
      </c>
      <c r="I338" t="s">
        <v>24</v>
      </c>
      <c r="J338" t="s">
        <v>185</v>
      </c>
      <c r="K338" t="s">
        <v>212</v>
      </c>
      <c r="L338">
        <v>319</v>
      </c>
      <c r="M338" t="s">
        <v>1799</v>
      </c>
      <c r="N338">
        <v>320</v>
      </c>
      <c r="O338" s="1" t="s">
        <v>391</v>
      </c>
      <c r="P338" s="1" t="s">
        <v>390</v>
      </c>
      <c r="Q338" s="25">
        <v>41.994224000000003</v>
      </c>
      <c r="R338" s="25">
        <v>-71.351927000000003</v>
      </c>
      <c r="S338">
        <v>-11.6043</v>
      </c>
      <c r="T338">
        <v>-13.925000000000001</v>
      </c>
      <c r="U338">
        <v>11.6043</v>
      </c>
      <c r="V338" t="s">
        <v>1537</v>
      </c>
      <c r="W338" t="s">
        <v>14</v>
      </c>
      <c r="X338" t="s">
        <v>17</v>
      </c>
      <c r="Y338" s="1" t="s">
        <v>392</v>
      </c>
    </row>
    <row r="339" spans="1:25" x14ac:dyDescent="0.25">
      <c r="A339" s="4">
        <v>580</v>
      </c>
      <c r="B339" s="9" t="s">
        <v>413</v>
      </c>
      <c r="D339" s="6" t="s">
        <v>130</v>
      </c>
      <c r="E339" s="10">
        <v>6</v>
      </c>
      <c r="H339" t="s">
        <v>39</v>
      </c>
      <c r="I339" t="s">
        <v>24</v>
      </c>
      <c r="J339" t="s">
        <v>185</v>
      </c>
      <c r="K339" t="s">
        <v>186</v>
      </c>
      <c r="L339">
        <v>311</v>
      </c>
      <c r="M339" t="s">
        <v>1799</v>
      </c>
      <c r="N339">
        <v>320</v>
      </c>
      <c r="O339" s="1" t="s">
        <v>412</v>
      </c>
      <c r="P339" s="1" t="s">
        <v>410</v>
      </c>
      <c r="Q339" s="25">
        <v>50.826407000000003</v>
      </c>
      <c r="R339" s="25">
        <v>-4.5567900000000003</v>
      </c>
      <c r="S339">
        <v>-3.8494000000000002</v>
      </c>
      <c r="T339">
        <v>5.5583</v>
      </c>
      <c r="U339">
        <v>3.8494000000000002</v>
      </c>
      <c r="V339" t="s">
        <v>1538</v>
      </c>
      <c r="W339" t="s">
        <v>15</v>
      </c>
      <c r="X339" t="s">
        <v>16</v>
      </c>
      <c r="Y339" s="1" t="s">
        <v>409</v>
      </c>
    </row>
    <row r="340" spans="1:25" x14ac:dyDescent="0.25">
      <c r="A340" s="4">
        <v>581</v>
      </c>
      <c r="B340" s="9" t="s">
        <v>408</v>
      </c>
      <c r="D340" s="6" t="s">
        <v>130</v>
      </c>
      <c r="E340" s="10">
        <v>6</v>
      </c>
      <c r="H340" t="s">
        <v>140</v>
      </c>
      <c r="I340" t="s">
        <v>24</v>
      </c>
      <c r="J340" t="s">
        <v>185</v>
      </c>
      <c r="K340" t="s">
        <v>212</v>
      </c>
      <c r="L340">
        <v>319</v>
      </c>
      <c r="M340" t="s">
        <v>1799</v>
      </c>
      <c r="N340">
        <v>320</v>
      </c>
      <c r="O340" s="1" t="s">
        <v>194</v>
      </c>
      <c r="P340" s="1" t="s">
        <v>407</v>
      </c>
      <c r="Q340" s="25">
        <v>45.393794999999997</v>
      </c>
      <c r="R340" s="25">
        <v>-64.345495999999997</v>
      </c>
      <c r="S340">
        <v>-9.4311000000000007</v>
      </c>
      <c r="T340">
        <v>-8.1303000000000001</v>
      </c>
      <c r="U340">
        <v>9.4311000000000007</v>
      </c>
      <c r="V340" t="s">
        <v>1537</v>
      </c>
      <c r="W340" t="s">
        <v>15</v>
      </c>
      <c r="X340" t="s">
        <v>16</v>
      </c>
      <c r="Y340" s="1" t="s">
        <v>409</v>
      </c>
    </row>
    <row r="341" spans="1:25" x14ac:dyDescent="0.25">
      <c r="A341" s="4">
        <v>584</v>
      </c>
      <c r="B341" s="9" t="s">
        <v>415</v>
      </c>
      <c r="C341" s="8" t="s">
        <v>29</v>
      </c>
      <c r="D341" s="6" t="s">
        <v>130</v>
      </c>
      <c r="E341" s="10">
        <v>6</v>
      </c>
      <c r="F341">
        <v>25.597070247830398</v>
      </c>
      <c r="G341">
        <v>13.623732828016699</v>
      </c>
      <c r="H341" t="s">
        <v>39</v>
      </c>
      <c r="I341" t="s">
        <v>24</v>
      </c>
      <c r="J341" t="s">
        <v>185</v>
      </c>
      <c r="K341" t="s">
        <v>186</v>
      </c>
      <c r="L341">
        <v>311</v>
      </c>
      <c r="M341" t="s">
        <v>1799</v>
      </c>
      <c r="N341">
        <v>320</v>
      </c>
      <c r="O341" s="1" t="s">
        <v>412</v>
      </c>
      <c r="P341" s="1" t="s">
        <v>410</v>
      </c>
      <c r="Q341" s="25">
        <v>50.826407000000003</v>
      </c>
      <c r="R341" s="25">
        <v>-4.5567900000000003</v>
      </c>
      <c r="S341">
        <v>-3.8494000000000002</v>
      </c>
      <c r="T341">
        <v>5.5583</v>
      </c>
      <c r="U341">
        <v>3.8494000000000002</v>
      </c>
      <c r="V341" t="s">
        <v>1538</v>
      </c>
      <c r="W341" t="s">
        <v>15</v>
      </c>
      <c r="X341" t="s">
        <v>16</v>
      </c>
      <c r="Y341" s="1" t="s">
        <v>414</v>
      </c>
    </row>
    <row r="342" spans="1:25" x14ac:dyDescent="0.25">
      <c r="A342" s="4">
        <v>585</v>
      </c>
      <c r="B342" s="9" t="s">
        <v>415</v>
      </c>
      <c r="C342" s="8" t="s">
        <v>29</v>
      </c>
      <c r="D342" s="6" t="s">
        <v>130</v>
      </c>
      <c r="E342" s="10">
        <v>6</v>
      </c>
      <c r="F342">
        <v>28.651863920830799</v>
      </c>
      <c r="G342">
        <v>11.653550872143301</v>
      </c>
      <c r="H342" t="s">
        <v>39</v>
      </c>
      <c r="I342" t="s">
        <v>24</v>
      </c>
      <c r="J342" t="s">
        <v>185</v>
      </c>
      <c r="K342" t="s">
        <v>186</v>
      </c>
      <c r="L342">
        <v>311</v>
      </c>
      <c r="M342" t="s">
        <v>1799</v>
      </c>
      <c r="N342">
        <v>320</v>
      </c>
      <c r="O342" s="1" t="s">
        <v>412</v>
      </c>
      <c r="P342" s="1" t="s">
        <v>410</v>
      </c>
      <c r="Q342" s="25">
        <v>50.826407000000003</v>
      </c>
      <c r="R342" s="25">
        <v>-4.5567900000000003</v>
      </c>
      <c r="S342">
        <v>-3.8494000000000002</v>
      </c>
      <c r="T342">
        <v>5.5583</v>
      </c>
      <c r="U342">
        <v>3.8494000000000002</v>
      </c>
      <c r="V342" t="s">
        <v>1538</v>
      </c>
      <c r="W342" t="s">
        <v>15</v>
      </c>
      <c r="X342" t="s">
        <v>16</v>
      </c>
      <c r="Y342" s="1" t="s">
        <v>414</v>
      </c>
    </row>
    <row r="343" spans="1:25" x14ac:dyDescent="0.25">
      <c r="A343" s="4">
        <v>586</v>
      </c>
      <c r="B343" s="9" t="s">
        <v>416</v>
      </c>
      <c r="C343" s="8" t="s">
        <v>417</v>
      </c>
      <c r="D343" s="6" t="s">
        <v>130</v>
      </c>
      <c r="E343" s="10">
        <v>6</v>
      </c>
      <c r="F343">
        <v>17.9924698658888</v>
      </c>
      <c r="G343">
        <v>5.4338133402596096</v>
      </c>
      <c r="H343" t="s">
        <v>39</v>
      </c>
      <c r="I343" t="s">
        <v>24</v>
      </c>
      <c r="J343" t="s">
        <v>185</v>
      </c>
      <c r="K343" t="s">
        <v>186</v>
      </c>
      <c r="L343">
        <v>311</v>
      </c>
      <c r="M343" t="s">
        <v>1799</v>
      </c>
      <c r="N343">
        <v>320</v>
      </c>
      <c r="O343" s="1" t="s">
        <v>412</v>
      </c>
      <c r="P343" s="1" t="s">
        <v>410</v>
      </c>
      <c r="Q343" s="25">
        <v>50.826407000000003</v>
      </c>
      <c r="R343" s="25">
        <v>-4.5567900000000003</v>
      </c>
      <c r="S343">
        <v>-3.8494000000000002</v>
      </c>
      <c r="T343">
        <v>5.5583</v>
      </c>
      <c r="U343">
        <v>3.8494000000000002</v>
      </c>
      <c r="V343" t="s">
        <v>1538</v>
      </c>
      <c r="W343" t="s">
        <v>15</v>
      </c>
      <c r="X343" t="s">
        <v>16</v>
      </c>
      <c r="Y343" s="1" t="s">
        <v>414</v>
      </c>
    </row>
    <row r="344" spans="1:25" x14ac:dyDescent="0.25">
      <c r="A344" s="4">
        <v>587</v>
      </c>
      <c r="B344" s="9" t="s">
        <v>1750</v>
      </c>
      <c r="C344" s="8" t="s">
        <v>1095</v>
      </c>
      <c r="D344" s="6" t="s">
        <v>60</v>
      </c>
      <c r="E344" s="10">
        <v>5</v>
      </c>
      <c r="F344">
        <v>3.8896917923188501</v>
      </c>
      <c r="G344">
        <v>1.0403267174019</v>
      </c>
      <c r="H344" t="s">
        <v>398</v>
      </c>
      <c r="I344" t="s">
        <v>24</v>
      </c>
      <c r="J344" t="s">
        <v>185</v>
      </c>
      <c r="K344" t="s">
        <v>186</v>
      </c>
      <c r="L344">
        <v>311</v>
      </c>
      <c r="M344" t="s">
        <v>1799</v>
      </c>
      <c r="N344">
        <v>320</v>
      </c>
      <c r="O344" s="1" t="s">
        <v>431</v>
      </c>
      <c r="P344" s="1" t="s">
        <v>429</v>
      </c>
      <c r="Q344" s="25">
        <v>49.763750000000002</v>
      </c>
      <c r="R344" s="25">
        <v>13.306709</v>
      </c>
      <c r="S344">
        <v>-2.1156999999999999</v>
      </c>
      <c r="T344">
        <v>18.6007</v>
      </c>
      <c r="U344">
        <v>2.1156999999999999</v>
      </c>
      <c r="V344" t="s">
        <v>1538</v>
      </c>
      <c r="W344" t="s">
        <v>15</v>
      </c>
      <c r="X344" t="s">
        <v>17</v>
      </c>
      <c r="Y344" s="1" t="s">
        <v>430</v>
      </c>
    </row>
    <row r="345" spans="1:25" x14ac:dyDescent="0.25">
      <c r="A345" s="4">
        <v>592</v>
      </c>
      <c r="B345" s="9" t="s">
        <v>1750</v>
      </c>
      <c r="C345" s="8" t="s">
        <v>1095</v>
      </c>
      <c r="D345" s="6" t="s">
        <v>28</v>
      </c>
      <c r="E345" s="10">
        <v>6</v>
      </c>
      <c r="F345">
        <v>3.38177121597719</v>
      </c>
      <c r="G345">
        <v>2.09855968238685</v>
      </c>
      <c r="H345" t="s">
        <v>398</v>
      </c>
      <c r="I345" t="s">
        <v>24</v>
      </c>
      <c r="J345" t="s">
        <v>185</v>
      </c>
      <c r="K345" t="s">
        <v>186</v>
      </c>
      <c r="L345">
        <v>311</v>
      </c>
      <c r="M345" t="s">
        <v>1799</v>
      </c>
      <c r="N345">
        <v>320</v>
      </c>
      <c r="O345" s="1" t="s">
        <v>431</v>
      </c>
      <c r="P345" s="1" t="s">
        <v>429</v>
      </c>
      <c r="Q345" s="25">
        <v>49.763750000000002</v>
      </c>
      <c r="R345" s="25">
        <v>13.306709</v>
      </c>
      <c r="S345">
        <v>-2.1156999999999999</v>
      </c>
      <c r="T345">
        <v>18.6007</v>
      </c>
      <c r="U345">
        <v>2.1156999999999999</v>
      </c>
      <c r="V345" t="s">
        <v>1538</v>
      </c>
      <c r="W345" t="s">
        <v>15</v>
      </c>
      <c r="X345" t="s">
        <v>17</v>
      </c>
      <c r="Y345" s="1" t="s">
        <v>430</v>
      </c>
    </row>
    <row r="346" spans="1:25" x14ac:dyDescent="0.25">
      <c r="A346" s="4">
        <v>593</v>
      </c>
      <c r="B346" s="9" t="s">
        <v>1750</v>
      </c>
      <c r="C346" s="8" t="s">
        <v>1095</v>
      </c>
      <c r="D346" s="10" t="s">
        <v>434</v>
      </c>
      <c r="E346" s="10">
        <v>6</v>
      </c>
      <c r="F346">
        <v>8.5213808890349494</v>
      </c>
      <c r="G346">
        <v>4.1982130061979399</v>
      </c>
      <c r="H346" t="s">
        <v>398</v>
      </c>
      <c r="I346" t="s">
        <v>24</v>
      </c>
      <c r="J346" t="s">
        <v>185</v>
      </c>
      <c r="K346" t="s">
        <v>186</v>
      </c>
      <c r="L346">
        <v>311</v>
      </c>
      <c r="M346" t="s">
        <v>1799</v>
      </c>
      <c r="N346">
        <v>320</v>
      </c>
      <c r="O346" s="1" t="s">
        <v>431</v>
      </c>
      <c r="P346" s="1" t="s">
        <v>429</v>
      </c>
      <c r="Q346" s="25">
        <v>49.763750000000002</v>
      </c>
      <c r="R346" s="25">
        <v>13.306709</v>
      </c>
      <c r="S346">
        <v>-2.1156999999999999</v>
      </c>
      <c r="T346">
        <v>18.6007</v>
      </c>
      <c r="U346">
        <v>2.1156999999999999</v>
      </c>
      <c r="V346" t="s">
        <v>1538</v>
      </c>
      <c r="W346" t="s">
        <v>15</v>
      </c>
      <c r="X346" t="s">
        <v>17</v>
      </c>
      <c r="Y346" s="1" t="s">
        <v>430</v>
      </c>
    </row>
    <row r="347" spans="1:25" x14ac:dyDescent="0.25">
      <c r="A347" s="4">
        <v>596</v>
      </c>
      <c r="B347" s="9" t="s">
        <v>433</v>
      </c>
      <c r="C347" s="8" t="s">
        <v>1095</v>
      </c>
      <c r="D347" s="6" t="s">
        <v>28</v>
      </c>
      <c r="E347" s="10">
        <v>6</v>
      </c>
      <c r="F347">
        <v>3.9491281913643599</v>
      </c>
      <c r="G347">
        <v>3.1780677421189498</v>
      </c>
      <c r="H347" t="s">
        <v>398</v>
      </c>
      <c r="I347" t="s">
        <v>24</v>
      </c>
      <c r="J347" t="s">
        <v>185</v>
      </c>
      <c r="K347" t="s">
        <v>186</v>
      </c>
      <c r="L347">
        <v>311</v>
      </c>
      <c r="M347" t="s">
        <v>1799</v>
      </c>
      <c r="N347">
        <v>320</v>
      </c>
      <c r="O347" s="1" t="s">
        <v>431</v>
      </c>
      <c r="P347" s="1" t="s">
        <v>429</v>
      </c>
      <c r="Q347" s="25">
        <v>49.763750000000002</v>
      </c>
      <c r="R347" s="25">
        <v>13.306709</v>
      </c>
      <c r="S347">
        <v>-2.1156999999999999</v>
      </c>
      <c r="T347">
        <v>18.6007</v>
      </c>
      <c r="U347">
        <v>2.1156999999999999</v>
      </c>
      <c r="V347" t="s">
        <v>1538</v>
      </c>
      <c r="W347" t="s">
        <v>15</v>
      </c>
      <c r="X347" t="s">
        <v>17</v>
      </c>
      <c r="Y347" s="1" t="s">
        <v>430</v>
      </c>
    </row>
    <row r="348" spans="1:25" x14ac:dyDescent="0.25">
      <c r="A348" s="4">
        <v>600</v>
      </c>
      <c r="B348" s="9" t="s">
        <v>433</v>
      </c>
      <c r="C348" s="8" t="s">
        <v>1095</v>
      </c>
      <c r="D348" s="6" t="s">
        <v>59</v>
      </c>
      <c r="E348" s="10">
        <v>5</v>
      </c>
      <c r="F348">
        <v>3.0250803645250599</v>
      </c>
      <c r="G348">
        <v>1.7294792628467499</v>
      </c>
      <c r="H348" t="s">
        <v>398</v>
      </c>
      <c r="I348" t="s">
        <v>24</v>
      </c>
      <c r="J348" t="s">
        <v>185</v>
      </c>
      <c r="K348" t="s">
        <v>186</v>
      </c>
      <c r="L348">
        <v>311</v>
      </c>
      <c r="M348" t="s">
        <v>1799</v>
      </c>
      <c r="N348">
        <v>320</v>
      </c>
      <c r="O348" s="1" t="s">
        <v>431</v>
      </c>
      <c r="P348" s="1" t="s">
        <v>429</v>
      </c>
      <c r="Q348" s="25">
        <v>49.763750000000002</v>
      </c>
      <c r="R348" s="25">
        <v>13.306709</v>
      </c>
      <c r="S348">
        <v>-2.1156999999999999</v>
      </c>
      <c r="T348">
        <v>18.6007</v>
      </c>
      <c r="U348">
        <v>2.1156999999999999</v>
      </c>
      <c r="V348" t="s">
        <v>1538</v>
      </c>
      <c r="W348" t="s">
        <v>15</v>
      </c>
      <c r="X348" t="s">
        <v>17</v>
      </c>
      <c r="Y348" s="1" t="s">
        <v>430</v>
      </c>
    </row>
    <row r="349" spans="1:25" x14ac:dyDescent="0.25">
      <c r="A349" s="4">
        <v>607</v>
      </c>
      <c r="B349" s="9" t="s">
        <v>433</v>
      </c>
      <c r="C349" s="8" t="s">
        <v>1095</v>
      </c>
      <c r="D349" s="6" t="s">
        <v>60</v>
      </c>
      <c r="E349" s="10">
        <v>5</v>
      </c>
      <c r="F349">
        <v>5.0160585685486199</v>
      </c>
      <c r="G349">
        <v>0.59881322142885496</v>
      </c>
      <c r="H349" t="s">
        <v>398</v>
      </c>
      <c r="I349" t="s">
        <v>24</v>
      </c>
      <c r="J349" t="s">
        <v>185</v>
      </c>
      <c r="K349" t="s">
        <v>186</v>
      </c>
      <c r="L349">
        <v>311</v>
      </c>
      <c r="M349" t="s">
        <v>1799</v>
      </c>
      <c r="N349">
        <v>320</v>
      </c>
      <c r="O349" s="1" t="s">
        <v>431</v>
      </c>
      <c r="P349" s="1" t="s">
        <v>429</v>
      </c>
      <c r="Q349" s="25">
        <v>49.763750000000002</v>
      </c>
      <c r="R349" s="25">
        <v>13.306709</v>
      </c>
      <c r="S349">
        <v>-2.1156999999999999</v>
      </c>
      <c r="T349">
        <v>18.6007</v>
      </c>
      <c r="U349">
        <v>2.1156999999999999</v>
      </c>
      <c r="V349" t="s">
        <v>1538</v>
      </c>
      <c r="W349" t="s">
        <v>15</v>
      </c>
      <c r="X349" t="s">
        <v>17</v>
      </c>
      <c r="Y349" s="1" t="s">
        <v>430</v>
      </c>
    </row>
    <row r="350" spans="1:25" x14ac:dyDescent="0.25">
      <c r="A350" s="4">
        <v>610</v>
      </c>
      <c r="B350" s="9" t="s">
        <v>1749</v>
      </c>
      <c r="C350" s="8" t="s">
        <v>1095</v>
      </c>
      <c r="D350" s="6" t="s">
        <v>28</v>
      </c>
      <c r="E350" s="10">
        <v>6</v>
      </c>
      <c r="F350">
        <v>6.9241368526618299</v>
      </c>
      <c r="G350">
        <v>4.3734753552845804</v>
      </c>
      <c r="H350" t="s">
        <v>398</v>
      </c>
      <c r="I350" t="s">
        <v>24</v>
      </c>
      <c r="J350" t="s">
        <v>185</v>
      </c>
      <c r="K350" t="s">
        <v>186</v>
      </c>
      <c r="L350">
        <v>311</v>
      </c>
      <c r="M350" t="s">
        <v>1799</v>
      </c>
      <c r="N350">
        <v>320</v>
      </c>
      <c r="O350" s="1" t="s">
        <v>431</v>
      </c>
      <c r="P350" s="1" t="s">
        <v>429</v>
      </c>
      <c r="Q350" s="25">
        <v>49.763750000000002</v>
      </c>
      <c r="R350" s="25">
        <v>13.306709</v>
      </c>
      <c r="S350">
        <v>-2.1156999999999999</v>
      </c>
      <c r="T350">
        <v>18.6007</v>
      </c>
      <c r="U350">
        <v>2.1156999999999999</v>
      </c>
      <c r="V350" t="s">
        <v>1538</v>
      </c>
      <c r="W350" t="s">
        <v>15</v>
      </c>
      <c r="X350" t="s">
        <v>17</v>
      </c>
      <c r="Y350" s="1" t="s">
        <v>430</v>
      </c>
    </row>
    <row r="351" spans="1:25" x14ac:dyDescent="0.25">
      <c r="A351" s="4">
        <v>611</v>
      </c>
      <c r="B351" s="9" t="s">
        <v>1748</v>
      </c>
      <c r="C351" s="8" t="s">
        <v>1095</v>
      </c>
      <c r="D351" s="6" t="s">
        <v>28</v>
      </c>
      <c r="E351" s="10">
        <v>6</v>
      </c>
      <c r="F351">
        <v>3.4446359523344898</v>
      </c>
      <c r="G351">
        <v>1.9381946822187801</v>
      </c>
      <c r="H351" t="s">
        <v>398</v>
      </c>
      <c r="I351" t="s">
        <v>24</v>
      </c>
      <c r="J351" t="s">
        <v>185</v>
      </c>
      <c r="K351" t="s">
        <v>186</v>
      </c>
      <c r="L351">
        <v>311</v>
      </c>
      <c r="M351" t="s">
        <v>1799</v>
      </c>
      <c r="N351">
        <v>320</v>
      </c>
      <c r="O351" s="1" t="s">
        <v>431</v>
      </c>
      <c r="P351" s="1" t="s">
        <v>429</v>
      </c>
      <c r="Q351" s="25">
        <v>49.763750000000002</v>
      </c>
      <c r="R351" s="25">
        <v>13.306709</v>
      </c>
      <c r="S351">
        <v>-2.1156999999999999</v>
      </c>
      <c r="T351">
        <v>18.6007</v>
      </c>
      <c r="U351">
        <v>2.1156999999999999</v>
      </c>
      <c r="V351" t="s">
        <v>1538</v>
      </c>
      <c r="W351" t="s">
        <v>15</v>
      </c>
      <c r="X351" t="s">
        <v>17</v>
      </c>
      <c r="Y351" s="1" t="s">
        <v>430</v>
      </c>
    </row>
    <row r="352" spans="1:25" x14ac:dyDescent="0.25">
      <c r="A352" s="4">
        <v>612</v>
      </c>
      <c r="B352" s="9" t="s">
        <v>1748</v>
      </c>
      <c r="C352" s="8" t="s">
        <v>1095</v>
      </c>
      <c r="D352" s="6" t="s">
        <v>60</v>
      </c>
      <c r="E352" s="10">
        <v>5</v>
      </c>
      <c r="F352">
        <v>4.7099112052881598</v>
      </c>
      <c r="G352">
        <v>0.69485998457173603</v>
      </c>
      <c r="H352" t="s">
        <v>398</v>
      </c>
      <c r="I352" t="s">
        <v>24</v>
      </c>
      <c r="J352" t="s">
        <v>185</v>
      </c>
      <c r="K352" t="s">
        <v>186</v>
      </c>
      <c r="L352">
        <v>311</v>
      </c>
      <c r="M352" t="s">
        <v>1799</v>
      </c>
      <c r="N352">
        <v>320</v>
      </c>
      <c r="O352" s="1" t="s">
        <v>431</v>
      </c>
      <c r="P352" s="1" t="s">
        <v>429</v>
      </c>
      <c r="Q352" s="25">
        <v>49.763750000000002</v>
      </c>
      <c r="R352" s="25">
        <v>13.306709</v>
      </c>
      <c r="S352">
        <v>-2.1156999999999999</v>
      </c>
      <c r="T352">
        <v>18.6007</v>
      </c>
      <c r="U352">
        <v>2.1156999999999999</v>
      </c>
      <c r="V352" t="s">
        <v>1538</v>
      </c>
      <c r="W352" t="s">
        <v>15</v>
      </c>
      <c r="X352" t="s">
        <v>17</v>
      </c>
      <c r="Y352" s="1" t="s">
        <v>430</v>
      </c>
    </row>
    <row r="353" spans="1:25" x14ac:dyDescent="0.25">
      <c r="A353" s="4">
        <v>614</v>
      </c>
      <c r="B353" s="9">
        <v>13102</v>
      </c>
      <c r="C353" s="8" t="s">
        <v>70</v>
      </c>
      <c r="D353" s="6" t="s">
        <v>73</v>
      </c>
      <c r="E353" s="10">
        <v>6</v>
      </c>
      <c r="F353">
        <v>7.2834152867431401</v>
      </c>
      <c r="G353">
        <v>3.5412621809192899</v>
      </c>
      <c r="H353" t="s">
        <v>221</v>
      </c>
      <c r="I353" t="s">
        <v>24</v>
      </c>
      <c r="J353" t="s">
        <v>185</v>
      </c>
      <c r="L353">
        <v>310</v>
      </c>
      <c r="M353" t="s">
        <v>1798</v>
      </c>
      <c r="N353">
        <v>300</v>
      </c>
      <c r="O353" t="s">
        <v>223</v>
      </c>
      <c r="P353" s="1" t="s">
        <v>1053</v>
      </c>
      <c r="Q353" s="25">
        <v>-26.119852999999999</v>
      </c>
      <c r="R353" s="25">
        <v>-49.733727999999999</v>
      </c>
      <c r="S353">
        <v>-50.980400000000003</v>
      </c>
      <c r="T353">
        <v>-35.991999999999997</v>
      </c>
      <c r="U353">
        <v>50.980400000000003</v>
      </c>
      <c r="V353" t="s">
        <v>1539</v>
      </c>
      <c r="W353" t="s">
        <v>13</v>
      </c>
      <c r="X353" t="s">
        <v>16</v>
      </c>
      <c r="Y353" s="1" t="s">
        <v>599</v>
      </c>
    </row>
    <row r="354" spans="1:25" x14ac:dyDescent="0.25">
      <c r="A354" s="4">
        <v>616</v>
      </c>
      <c r="B354" s="9">
        <v>13102</v>
      </c>
      <c r="C354" s="8" t="s">
        <v>70</v>
      </c>
      <c r="D354" s="6" t="s">
        <v>60</v>
      </c>
      <c r="E354" s="10">
        <v>5</v>
      </c>
      <c r="F354">
        <v>4.4948013174030503</v>
      </c>
      <c r="G354">
        <v>1.4893996681717601</v>
      </c>
      <c r="H354" t="s">
        <v>221</v>
      </c>
      <c r="I354" t="s">
        <v>24</v>
      </c>
      <c r="J354" t="s">
        <v>185</v>
      </c>
      <c r="L354">
        <v>310</v>
      </c>
      <c r="M354" t="s">
        <v>1798</v>
      </c>
      <c r="N354">
        <v>300</v>
      </c>
      <c r="O354" t="s">
        <v>223</v>
      </c>
      <c r="P354" s="1" t="s">
        <v>1053</v>
      </c>
      <c r="Q354" s="25">
        <v>-26.119852999999999</v>
      </c>
      <c r="R354" s="25">
        <v>-49.733727999999999</v>
      </c>
      <c r="S354">
        <v>-50.980400000000003</v>
      </c>
      <c r="T354">
        <v>-35.991999999999997</v>
      </c>
      <c r="U354">
        <v>50.980400000000003</v>
      </c>
      <c r="V354" t="s">
        <v>1539</v>
      </c>
      <c r="W354" t="s">
        <v>13</v>
      </c>
      <c r="X354" t="s">
        <v>16</v>
      </c>
      <c r="Y354" s="1" t="s">
        <v>599</v>
      </c>
    </row>
    <row r="355" spans="1:25" x14ac:dyDescent="0.25">
      <c r="A355" s="4">
        <v>617</v>
      </c>
      <c r="B355" s="9">
        <v>12123</v>
      </c>
      <c r="C355" s="8" t="s">
        <v>70</v>
      </c>
      <c r="D355" s="6" t="s">
        <v>73</v>
      </c>
      <c r="E355" s="10">
        <v>6</v>
      </c>
      <c r="F355">
        <v>11.712017600236599</v>
      </c>
      <c r="G355">
        <v>5.5055106165166396</v>
      </c>
      <c r="H355" t="s">
        <v>236</v>
      </c>
      <c r="I355" t="s">
        <v>24</v>
      </c>
      <c r="J355" t="s">
        <v>185</v>
      </c>
      <c r="L355">
        <v>310</v>
      </c>
      <c r="M355" t="s">
        <v>1798</v>
      </c>
      <c r="N355">
        <v>300</v>
      </c>
      <c r="O355" s="1" t="s">
        <v>235</v>
      </c>
      <c r="P355" s="1" t="s">
        <v>234</v>
      </c>
      <c r="Q355" s="25">
        <v>-27.937280999999999</v>
      </c>
      <c r="R355" s="25">
        <v>31.191949999999999</v>
      </c>
      <c r="S355">
        <v>-71.659700000000001</v>
      </c>
      <c r="T355">
        <v>-48.533000000000001</v>
      </c>
      <c r="U355">
        <v>71.659700000000001</v>
      </c>
      <c r="V355" t="s">
        <v>1539</v>
      </c>
      <c r="W355" t="s">
        <v>13</v>
      </c>
      <c r="X355" t="s">
        <v>16</v>
      </c>
      <c r="Y355" s="1" t="s">
        <v>599</v>
      </c>
    </row>
    <row r="356" spans="1:25" x14ac:dyDescent="0.25">
      <c r="A356" s="4">
        <v>618</v>
      </c>
      <c r="B356" s="9" t="s">
        <v>652</v>
      </c>
      <c r="C356" s="8" t="s">
        <v>304</v>
      </c>
      <c r="D356" s="6" t="s">
        <v>534</v>
      </c>
      <c r="E356" s="10">
        <v>6</v>
      </c>
      <c r="F356">
        <v>8.3510398478010703</v>
      </c>
      <c r="G356">
        <v>2.3441093035678602</v>
      </c>
      <c r="H356" t="s">
        <v>92</v>
      </c>
      <c r="I356" t="s">
        <v>266</v>
      </c>
      <c r="J356" t="s">
        <v>267</v>
      </c>
      <c r="K356" t="s">
        <v>1452</v>
      </c>
      <c r="L356">
        <v>294</v>
      </c>
      <c r="M356" t="s">
        <v>1798</v>
      </c>
      <c r="N356">
        <v>300</v>
      </c>
      <c r="O356" t="s">
        <v>1439</v>
      </c>
      <c r="P356" s="1" t="s">
        <v>651</v>
      </c>
      <c r="Q356" s="25">
        <v>32.099584999999998</v>
      </c>
      <c r="R356" s="25">
        <v>-106.76058</v>
      </c>
      <c r="S356">
        <v>-2.0552000000000001</v>
      </c>
      <c r="T356">
        <v>-38.658499999999997</v>
      </c>
      <c r="U356">
        <v>2.0552000000000001</v>
      </c>
      <c r="V356" t="s">
        <v>1538</v>
      </c>
      <c r="W356" t="s">
        <v>14</v>
      </c>
      <c r="X356" t="s">
        <v>17</v>
      </c>
      <c r="Y356" s="1" t="s">
        <v>648</v>
      </c>
    </row>
    <row r="357" spans="1:25" x14ac:dyDescent="0.25">
      <c r="A357" s="4">
        <v>619</v>
      </c>
      <c r="B357" s="9" t="s">
        <v>1240</v>
      </c>
      <c r="C357" s="8" t="s">
        <v>304</v>
      </c>
      <c r="D357" s="6" t="s">
        <v>28</v>
      </c>
      <c r="E357" s="10">
        <v>6</v>
      </c>
      <c r="F357">
        <v>8.0168944026851605</v>
      </c>
      <c r="G357">
        <v>3.58586941619882</v>
      </c>
      <c r="H357" t="s">
        <v>92</v>
      </c>
      <c r="I357" t="s">
        <v>266</v>
      </c>
      <c r="J357" t="s">
        <v>267</v>
      </c>
      <c r="K357" t="s">
        <v>1452</v>
      </c>
      <c r="L357">
        <v>294</v>
      </c>
      <c r="M357" t="s">
        <v>1798</v>
      </c>
      <c r="N357">
        <v>300</v>
      </c>
      <c r="O357" t="s">
        <v>1439</v>
      </c>
      <c r="P357" s="1" t="s">
        <v>651</v>
      </c>
      <c r="Q357" s="25">
        <v>32.099584999999998</v>
      </c>
      <c r="R357" s="25">
        <v>-106.76058</v>
      </c>
      <c r="S357">
        <v>-2.0552000000000001</v>
      </c>
      <c r="T357">
        <v>-38.658499999999997</v>
      </c>
      <c r="U357">
        <v>2.0552000000000001</v>
      </c>
      <c r="V357" t="s">
        <v>1538</v>
      </c>
      <c r="W357" t="s">
        <v>14</v>
      </c>
      <c r="X357" t="s">
        <v>17</v>
      </c>
      <c r="Y357" s="1" t="s">
        <v>648</v>
      </c>
    </row>
    <row r="358" spans="1:25" x14ac:dyDescent="0.25">
      <c r="A358" s="4">
        <v>620</v>
      </c>
      <c r="B358" s="9">
        <v>10393</v>
      </c>
      <c r="C358" s="8" t="s">
        <v>70</v>
      </c>
      <c r="D358" s="6" t="s">
        <v>67</v>
      </c>
      <c r="E358" s="10">
        <v>6</v>
      </c>
      <c r="F358">
        <v>16.6102911057135</v>
      </c>
      <c r="G358">
        <v>5.1066701760992004</v>
      </c>
      <c r="H358" t="s">
        <v>52</v>
      </c>
      <c r="I358" t="s">
        <v>24</v>
      </c>
      <c r="J358" t="s">
        <v>185</v>
      </c>
      <c r="L358">
        <v>310</v>
      </c>
      <c r="M358" t="s">
        <v>1798</v>
      </c>
      <c r="N358">
        <v>300</v>
      </c>
      <c r="O358" s="1" t="s">
        <v>54</v>
      </c>
      <c r="P358" s="1" t="s">
        <v>166</v>
      </c>
      <c r="Q358" s="25">
        <v>-27.923822999999999</v>
      </c>
      <c r="R358" s="25">
        <v>-68.211618000000001</v>
      </c>
      <c r="S358">
        <v>-43.362099999999998</v>
      </c>
      <c r="T358">
        <v>-57.399799999999999</v>
      </c>
      <c r="U358">
        <v>43.362099999999998</v>
      </c>
      <c r="V358" t="s">
        <v>1537</v>
      </c>
      <c r="W358" t="s">
        <v>15</v>
      </c>
      <c r="X358" t="s">
        <v>16</v>
      </c>
      <c r="Y358" s="1" t="s">
        <v>893</v>
      </c>
    </row>
    <row r="359" spans="1:25" x14ac:dyDescent="0.25">
      <c r="A359" s="4">
        <v>622</v>
      </c>
      <c r="B359" s="9">
        <v>3402</v>
      </c>
      <c r="C359" s="8" t="s">
        <v>216</v>
      </c>
      <c r="D359" s="6" t="s">
        <v>60</v>
      </c>
      <c r="E359" s="10">
        <v>5</v>
      </c>
      <c r="F359">
        <v>3.8068449796415398</v>
      </c>
      <c r="G359">
        <v>0.52355195672948696</v>
      </c>
      <c r="H359" t="s">
        <v>52</v>
      </c>
      <c r="I359" t="s">
        <v>24</v>
      </c>
      <c r="J359" t="s">
        <v>185</v>
      </c>
      <c r="L359">
        <v>310</v>
      </c>
      <c r="M359" t="s">
        <v>1798</v>
      </c>
      <c r="N359">
        <v>300</v>
      </c>
      <c r="O359" s="1" t="s">
        <v>78</v>
      </c>
      <c r="P359" s="1" t="s">
        <v>214</v>
      </c>
      <c r="Q359" s="25">
        <v>-36.013750000000002</v>
      </c>
      <c r="R359" s="25">
        <v>-68.464839999999995</v>
      </c>
      <c r="S359">
        <v>-48.7654</v>
      </c>
      <c r="T359">
        <v>-63.4298</v>
      </c>
      <c r="U359">
        <v>48.7654</v>
      </c>
      <c r="V359" t="s">
        <v>1537</v>
      </c>
      <c r="W359" t="s">
        <v>13</v>
      </c>
      <c r="X359" t="s">
        <v>16</v>
      </c>
      <c r="Y359" s="1" t="s">
        <v>897</v>
      </c>
    </row>
    <row r="360" spans="1:25" x14ac:dyDescent="0.25">
      <c r="A360" s="4">
        <v>624</v>
      </c>
      <c r="B360" s="9">
        <v>3404</v>
      </c>
      <c r="C360" s="8" t="s">
        <v>216</v>
      </c>
      <c r="D360" s="6" t="s">
        <v>60</v>
      </c>
      <c r="E360" s="10">
        <v>5</v>
      </c>
      <c r="F360">
        <v>1.94007942273392</v>
      </c>
      <c r="G360">
        <v>0.28476485899515702</v>
      </c>
      <c r="H360" t="s">
        <v>52</v>
      </c>
      <c r="I360" t="s">
        <v>24</v>
      </c>
      <c r="J360" t="s">
        <v>185</v>
      </c>
      <c r="L360">
        <v>310</v>
      </c>
      <c r="M360" t="s">
        <v>1798</v>
      </c>
      <c r="N360">
        <v>300</v>
      </c>
      <c r="O360" s="1" t="s">
        <v>78</v>
      </c>
      <c r="P360" s="1" t="s">
        <v>214</v>
      </c>
      <c r="Q360" s="25">
        <v>-36.013750000000002</v>
      </c>
      <c r="R360" s="25">
        <v>-68.464839999999995</v>
      </c>
      <c r="S360">
        <v>-48.7654</v>
      </c>
      <c r="T360">
        <v>-63.4298</v>
      </c>
      <c r="U360">
        <v>48.7654</v>
      </c>
      <c r="V360" t="s">
        <v>1537</v>
      </c>
      <c r="W360" t="s">
        <v>13</v>
      </c>
      <c r="X360" t="s">
        <v>16</v>
      </c>
      <c r="Y360" s="1" t="s">
        <v>897</v>
      </c>
    </row>
    <row r="361" spans="1:25" x14ac:dyDescent="0.25">
      <c r="A361" s="4">
        <v>625</v>
      </c>
      <c r="B361" s="9">
        <v>3461</v>
      </c>
      <c r="C361" s="8" t="s">
        <v>216</v>
      </c>
      <c r="D361" s="6" t="s">
        <v>28</v>
      </c>
      <c r="E361" s="10">
        <v>6</v>
      </c>
      <c r="F361">
        <v>9.0309435555287898</v>
      </c>
      <c r="G361">
        <v>3.5969669233619701</v>
      </c>
      <c r="H361" t="s">
        <v>52</v>
      </c>
      <c r="I361" t="s">
        <v>24</v>
      </c>
      <c r="J361" t="s">
        <v>185</v>
      </c>
      <c r="L361">
        <v>310</v>
      </c>
      <c r="M361" t="s">
        <v>1798</v>
      </c>
      <c r="N361">
        <v>300</v>
      </c>
      <c r="O361" s="1" t="s">
        <v>78</v>
      </c>
      <c r="P361" s="1" t="s">
        <v>214</v>
      </c>
      <c r="Q361" s="25">
        <v>-36.013750000000002</v>
      </c>
      <c r="R361" s="25">
        <v>-68.464839999999995</v>
      </c>
      <c r="S361">
        <v>-48.7654</v>
      </c>
      <c r="T361">
        <v>-63.4298</v>
      </c>
      <c r="U361">
        <v>48.7654</v>
      </c>
      <c r="V361" t="s">
        <v>1537</v>
      </c>
      <c r="W361" t="s">
        <v>13</v>
      </c>
      <c r="X361" t="s">
        <v>16</v>
      </c>
      <c r="Y361" s="1" t="s">
        <v>897</v>
      </c>
    </row>
    <row r="362" spans="1:25" x14ac:dyDescent="0.25">
      <c r="A362" s="4">
        <v>626</v>
      </c>
      <c r="B362" s="9">
        <v>3404</v>
      </c>
      <c r="C362" s="8" t="s">
        <v>216</v>
      </c>
      <c r="D362" s="6" t="s">
        <v>28</v>
      </c>
      <c r="E362" s="10">
        <v>6</v>
      </c>
      <c r="F362">
        <v>6.1071072002967304</v>
      </c>
      <c r="G362">
        <v>3.4955585094068899</v>
      </c>
      <c r="H362" t="s">
        <v>52</v>
      </c>
      <c r="I362" t="s">
        <v>24</v>
      </c>
      <c r="J362" t="s">
        <v>185</v>
      </c>
      <c r="L362">
        <v>310</v>
      </c>
      <c r="M362" t="s">
        <v>1798</v>
      </c>
      <c r="N362">
        <v>300</v>
      </c>
      <c r="O362" s="1" t="s">
        <v>78</v>
      </c>
      <c r="P362" s="1" t="s">
        <v>214</v>
      </c>
      <c r="Q362" s="25">
        <v>-36.013750000000002</v>
      </c>
      <c r="R362" s="25">
        <v>-68.464839999999995</v>
      </c>
      <c r="S362">
        <v>-48.7654</v>
      </c>
      <c r="T362">
        <v>-63.4298</v>
      </c>
      <c r="U362">
        <v>48.7654</v>
      </c>
      <c r="V362" t="s">
        <v>1537</v>
      </c>
      <c r="W362" t="s">
        <v>13</v>
      </c>
      <c r="X362" t="s">
        <v>16</v>
      </c>
      <c r="Y362" s="1" t="s">
        <v>897</v>
      </c>
    </row>
    <row r="363" spans="1:25" x14ac:dyDescent="0.25">
      <c r="A363" s="4">
        <v>627</v>
      </c>
      <c r="B363" s="9">
        <v>3429</v>
      </c>
      <c r="C363" s="8" t="s">
        <v>216</v>
      </c>
      <c r="D363" s="6" t="s">
        <v>161</v>
      </c>
      <c r="E363" s="10">
        <v>7</v>
      </c>
      <c r="F363">
        <v>6.9259284055272401</v>
      </c>
      <c r="G363">
        <v>2.5108308596109201</v>
      </c>
      <c r="H363" t="s">
        <v>52</v>
      </c>
      <c r="I363" t="s">
        <v>24</v>
      </c>
      <c r="J363" t="s">
        <v>185</v>
      </c>
      <c r="L363">
        <v>310</v>
      </c>
      <c r="M363" t="s">
        <v>1798</v>
      </c>
      <c r="N363">
        <v>300</v>
      </c>
      <c r="O363" s="1" t="s">
        <v>78</v>
      </c>
      <c r="P363" s="1" t="s">
        <v>214</v>
      </c>
      <c r="Q363" s="25">
        <v>-36.013750000000002</v>
      </c>
      <c r="R363" s="25">
        <v>-68.464839999999995</v>
      </c>
      <c r="S363">
        <v>-48.7654</v>
      </c>
      <c r="T363">
        <v>-63.4298</v>
      </c>
      <c r="U363">
        <v>48.7654</v>
      </c>
      <c r="V363" t="s">
        <v>1537</v>
      </c>
      <c r="W363" t="s">
        <v>13</v>
      </c>
      <c r="X363" t="s">
        <v>16</v>
      </c>
      <c r="Y363" s="1" t="s">
        <v>897</v>
      </c>
    </row>
    <row r="364" spans="1:25" x14ac:dyDescent="0.25">
      <c r="A364" s="4">
        <v>629</v>
      </c>
      <c r="B364" s="9">
        <v>3456</v>
      </c>
      <c r="C364" s="8" t="s">
        <v>216</v>
      </c>
      <c r="D364" s="6" t="s">
        <v>161</v>
      </c>
      <c r="E364" s="10">
        <v>7</v>
      </c>
      <c r="F364">
        <v>8.7719426287348092</v>
      </c>
      <c r="G364">
        <v>3.8235355443326799</v>
      </c>
      <c r="H364" t="s">
        <v>52</v>
      </c>
      <c r="I364" t="s">
        <v>24</v>
      </c>
      <c r="J364" t="s">
        <v>185</v>
      </c>
      <c r="L364">
        <v>310</v>
      </c>
      <c r="M364" t="s">
        <v>1798</v>
      </c>
      <c r="N364">
        <v>300</v>
      </c>
      <c r="O364" s="1" t="s">
        <v>78</v>
      </c>
      <c r="P364" s="1" t="s">
        <v>214</v>
      </c>
      <c r="Q364" s="25">
        <v>-36.013750000000002</v>
      </c>
      <c r="R364" s="25">
        <v>-68.464839999999995</v>
      </c>
      <c r="S364">
        <v>-48.7654</v>
      </c>
      <c r="T364">
        <v>-63.4298</v>
      </c>
      <c r="U364">
        <v>48.7654</v>
      </c>
      <c r="V364" t="s">
        <v>1537</v>
      </c>
      <c r="W364" t="s">
        <v>13</v>
      </c>
      <c r="X364" t="s">
        <v>16</v>
      </c>
      <c r="Y364" s="1" t="s">
        <v>897</v>
      </c>
    </row>
    <row r="365" spans="1:25" x14ac:dyDescent="0.25">
      <c r="A365" s="4">
        <v>630</v>
      </c>
      <c r="B365" s="9">
        <v>12138</v>
      </c>
      <c r="C365" s="8" t="s">
        <v>216</v>
      </c>
      <c r="D365" s="6" t="s">
        <v>64</v>
      </c>
      <c r="E365" s="10">
        <v>8</v>
      </c>
      <c r="F365">
        <v>3.98661951537929</v>
      </c>
      <c r="G365">
        <v>0.54552048779902096</v>
      </c>
      <c r="H365" t="s">
        <v>52</v>
      </c>
      <c r="I365" t="s">
        <v>24</v>
      </c>
      <c r="J365" t="s">
        <v>185</v>
      </c>
      <c r="L365">
        <v>310</v>
      </c>
      <c r="M365" t="s">
        <v>1798</v>
      </c>
      <c r="N365">
        <v>300</v>
      </c>
      <c r="O365" s="1" t="s">
        <v>78</v>
      </c>
      <c r="P365" s="1" t="s">
        <v>214</v>
      </c>
      <c r="Q365" s="25">
        <v>-36.013750000000002</v>
      </c>
      <c r="R365" s="25">
        <v>-68.464839999999995</v>
      </c>
      <c r="S365">
        <v>-48.7654</v>
      </c>
      <c r="T365">
        <v>-63.4298</v>
      </c>
      <c r="U365">
        <v>48.7654</v>
      </c>
      <c r="V365" t="s">
        <v>1537</v>
      </c>
      <c r="W365" t="s">
        <v>13</v>
      </c>
      <c r="X365" t="s">
        <v>16</v>
      </c>
      <c r="Y365" s="1" t="s">
        <v>897</v>
      </c>
    </row>
    <row r="366" spans="1:25" x14ac:dyDescent="0.25">
      <c r="A366" s="4">
        <v>631</v>
      </c>
      <c r="B366" s="9">
        <v>12184</v>
      </c>
      <c r="C366" s="8" t="s">
        <v>216</v>
      </c>
      <c r="D366" s="6" t="s">
        <v>64</v>
      </c>
      <c r="E366" s="10">
        <v>8</v>
      </c>
      <c r="F366">
        <v>3.4841116132363998</v>
      </c>
      <c r="G366">
        <v>0.56730291813546396</v>
      </c>
      <c r="H366" t="s">
        <v>52</v>
      </c>
      <c r="I366" t="s">
        <v>24</v>
      </c>
      <c r="J366" t="s">
        <v>185</v>
      </c>
      <c r="L366">
        <v>310</v>
      </c>
      <c r="M366" t="s">
        <v>1798</v>
      </c>
      <c r="N366">
        <v>300</v>
      </c>
      <c r="O366" s="1" t="s">
        <v>78</v>
      </c>
      <c r="P366" s="1" t="s">
        <v>214</v>
      </c>
      <c r="Q366" s="25">
        <v>-36.013750000000002</v>
      </c>
      <c r="R366" s="25">
        <v>-68.464839999999995</v>
      </c>
      <c r="S366">
        <v>-48.7654</v>
      </c>
      <c r="T366">
        <v>-63.4298</v>
      </c>
      <c r="U366">
        <v>48.7654</v>
      </c>
      <c r="V366" t="s">
        <v>1537</v>
      </c>
      <c r="W366" t="s">
        <v>13</v>
      </c>
      <c r="X366" t="s">
        <v>16</v>
      </c>
      <c r="Y366" s="1" t="s">
        <v>897</v>
      </c>
    </row>
    <row r="367" spans="1:25" x14ac:dyDescent="0.25">
      <c r="A367" s="4">
        <v>632</v>
      </c>
      <c r="B367" s="9">
        <v>3402</v>
      </c>
      <c r="C367" s="8" t="s">
        <v>216</v>
      </c>
      <c r="D367" s="6" t="s">
        <v>64</v>
      </c>
      <c r="E367" s="10">
        <v>8</v>
      </c>
      <c r="F367">
        <v>2.77055541058682</v>
      </c>
      <c r="G367">
        <v>0.17582587268755401</v>
      </c>
      <c r="H367" t="s">
        <v>52</v>
      </c>
      <c r="I367" t="s">
        <v>24</v>
      </c>
      <c r="J367" t="s">
        <v>185</v>
      </c>
      <c r="L367">
        <v>310</v>
      </c>
      <c r="M367" t="s">
        <v>1798</v>
      </c>
      <c r="N367">
        <v>300</v>
      </c>
      <c r="O367" s="1" t="s">
        <v>78</v>
      </c>
      <c r="P367" s="1" t="s">
        <v>214</v>
      </c>
      <c r="Q367" s="25">
        <v>-36.013750000000002</v>
      </c>
      <c r="R367" s="25">
        <v>-68.464839999999995</v>
      </c>
      <c r="S367">
        <v>-48.7654</v>
      </c>
      <c r="T367">
        <v>-63.4298</v>
      </c>
      <c r="U367">
        <v>48.7654</v>
      </c>
      <c r="V367" t="s">
        <v>1537</v>
      </c>
      <c r="W367" t="s">
        <v>13</v>
      </c>
      <c r="X367" t="s">
        <v>16</v>
      </c>
      <c r="Y367" s="1" t="s">
        <v>897</v>
      </c>
    </row>
    <row r="368" spans="1:25" x14ac:dyDescent="0.25">
      <c r="A368" s="4">
        <v>634</v>
      </c>
      <c r="B368" s="9">
        <v>12097</v>
      </c>
      <c r="C368" s="8" t="s">
        <v>216</v>
      </c>
      <c r="D368" s="6" t="s">
        <v>73</v>
      </c>
      <c r="E368" s="10">
        <v>6</v>
      </c>
      <c r="F368">
        <v>15.011376412342599</v>
      </c>
      <c r="G368">
        <v>6.8674422536371802</v>
      </c>
      <c r="H368" t="s">
        <v>52</v>
      </c>
      <c r="I368" t="s">
        <v>24</v>
      </c>
      <c r="J368" t="s">
        <v>185</v>
      </c>
      <c r="L368">
        <v>310</v>
      </c>
      <c r="M368" t="s">
        <v>1798</v>
      </c>
      <c r="N368">
        <v>300</v>
      </c>
      <c r="O368" s="1" t="s">
        <v>78</v>
      </c>
      <c r="P368" s="1" t="s">
        <v>214</v>
      </c>
      <c r="Q368" s="25">
        <v>-36.013750000000002</v>
      </c>
      <c r="R368" s="25">
        <v>-68.464839999999995</v>
      </c>
      <c r="S368">
        <v>-48.7654</v>
      </c>
      <c r="T368">
        <v>-63.4298</v>
      </c>
      <c r="U368">
        <v>48.7654</v>
      </c>
      <c r="V368" t="s">
        <v>1537</v>
      </c>
      <c r="W368" t="s">
        <v>13</v>
      </c>
      <c r="X368" t="s">
        <v>16</v>
      </c>
      <c r="Y368" s="1" t="s">
        <v>897</v>
      </c>
    </row>
    <row r="369" spans="1:25" x14ac:dyDescent="0.25">
      <c r="A369" s="4">
        <v>635</v>
      </c>
      <c r="B369" s="9" t="s">
        <v>899</v>
      </c>
      <c r="C369" s="8" t="s">
        <v>898</v>
      </c>
      <c r="D369" s="10" t="s">
        <v>434</v>
      </c>
      <c r="E369" s="10">
        <v>6</v>
      </c>
      <c r="F369">
        <v>6.5299023447536504</v>
      </c>
      <c r="G369">
        <v>4.6102226103163204</v>
      </c>
      <c r="H369" t="s">
        <v>52</v>
      </c>
      <c r="I369" t="s">
        <v>24</v>
      </c>
      <c r="J369" t="s">
        <v>185</v>
      </c>
      <c r="L369">
        <v>310</v>
      </c>
      <c r="M369" t="s">
        <v>1798</v>
      </c>
      <c r="N369">
        <v>300</v>
      </c>
      <c r="O369" s="1" t="s">
        <v>78</v>
      </c>
      <c r="P369" s="1" t="s">
        <v>214</v>
      </c>
      <c r="Q369" s="25">
        <v>-36.013750000000002</v>
      </c>
      <c r="R369" s="25">
        <v>-68.464839999999995</v>
      </c>
      <c r="S369">
        <v>-48.7654</v>
      </c>
      <c r="T369">
        <v>-63.4298</v>
      </c>
      <c r="U369">
        <v>48.7654</v>
      </c>
      <c r="V369" t="s">
        <v>1537</v>
      </c>
      <c r="W369" t="s">
        <v>13</v>
      </c>
      <c r="X369" t="s">
        <v>16</v>
      </c>
      <c r="Y369" s="1" t="s">
        <v>897</v>
      </c>
    </row>
    <row r="370" spans="1:25" x14ac:dyDescent="0.25">
      <c r="A370" s="4">
        <v>637</v>
      </c>
      <c r="B370" s="9">
        <v>12152</v>
      </c>
      <c r="C370" s="8" t="s">
        <v>216</v>
      </c>
      <c r="D370" s="6" t="s">
        <v>73</v>
      </c>
      <c r="E370" s="10">
        <v>6</v>
      </c>
      <c r="F370">
        <v>5.5905187636710396</v>
      </c>
      <c r="G370">
        <v>2.2914230511085401</v>
      </c>
      <c r="H370" t="s">
        <v>52</v>
      </c>
      <c r="I370" t="s">
        <v>24</v>
      </c>
      <c r="J370" t="s">
        <v>185</v>
      </c>
      <c r="L370">
        <v>310</v>
      </c>
      <c r="M370" t="s">
        <v>1798</v>
      </c>
      <c r="N370">
        <v>300</v>
      </c>
      <c r="O370" s="1" t="s">
        <v>78</v>
      </c>
      <c r="P370" s="1" t="s">
        <v>214</v>
      </c>
      <c r="Q370" s="25">
        <v>-36.013750000000002</v>
      </c>
      <c r="R370" s="25">
        <v>-68.464839999999995</v>
      </c>
      <c r="S370">
        <v>-48.7654</v>
      </c>
      <c r="T370">
        <v>-63.4298</v>
      </c>
      <c r="U370">
        <v>48.7654</v>
      </c>
      <c r="V370" t="s">
        <v>1537</v>
      </c>
      <c r="W370" t="s">
        <v>13</v>
      </c>
      <c r="X370" t="s">
        <v>16</v>
      </c>
      <c r="Y370" s="1" t="s">
        <v>914</v>
      </c>
    </row>
    <row r="371" spans="1:25" x14ac:dyDescent="0.25">
      <c r="A371" s="4">
        <v>638</v>
      </c>
      <c r="B371" s="9">
        <v>12152</v>
      </c>
      <c r="C371" s="8" t="s">
        <v>216</v>
      </c>
      <c r="D371" s="6" t="s">
        <v>219</v>
      </c>
      <c r="E371" s="10">
        <v>6</v>
      </c>
      <c r="F371">
        <v>7.0192375368387703</v>
      </c>
      <c r="G371">
        <v>1.9272873201813301</v>
      </c>
      <c r="H371" t="s">
        <v>52</v>
      </c>
      <c r="I371" t="s">
        <v>24</v>
      </c>
      <c r="J371" t="s">
        <v>185</v>
      </c>
      <c r="L371">
        <v>310</v>
      </c>
      <c r="M371" t="s">
        <v>1798</v>
      </c>
      <c r="N371">
        <v>300</v>
      </c>
      <c r="O371" s="1" t="s">
        <v>78</v>
      </c>
      <c r="P371" s="1" t="s">
        <v>214</v>
      </c>
      <c r="Q371" s="25">
        <v>-36.013750000000002</v>
      </c>
      <c r="R371" s="25">
        <v>-68.464839999999995</v>
      </c>
      <c r="S371">
        <v>-48.7654</v>
      </c>
      <c r="T371">
        <v>-63.4298</v>
      </c>
      <c r="U371">
        <v>48.7654</v>
      </c>
      <c r="V371" t="s">
        <v>1537</v>
      </c>
      <c r="W371" t="s">
        <v>13</v>
      </c>
      <c r="X371" t="s">
        <v>16</v>
      </c>
      <c r="Y371" s="1" t="s">
        <v>914</v>
      </c>
    </row>
    <row r="372" spans="1:25" x14ac:dyDescent="0.25">
      <c r="A372" s="4">
        <v>641</v>
      </c>
      <c r="B372" s="9">
        <v>12237</v>
      </c>
      <c r="C372" s="8" t="s">
        <v>216</v>
      </c>
      <c r="D372" s="6" t="s">
        <v>73</v>
      </c>
      <c r="E372" s="10">
        <v>6</v>
      </c>
      <c r="F372">
        <v>6.0897203559158504</v>
      </c>
      <c r="G372">
        <v>3.89170617723093</v>
      </c>
      <c r="H372" t="s">
        <v>52</v>
      </c>
      <c r="I372" t="s">
        <v>24</v>
      </c>
      <c r="J372" t="s">
        <v>185</v>
      </c>
      <c r="L372">
        <v>310</v>
      </c>
      <c r="M372" t="s">
        <v>1798</v>
      </c>
      <c r="N372">
        <v>300</v>
      </c>
      <c r="O372" s="1" t="s">
        <v>78</v>
      </c>
      <c r="P372" s="1" t="s">
        <v>214</v>
      </c>
      <c r="Q372" s="25">
        <v>-36.013750000000002</v>
      </c>
      <c r="R372" s="25">
        <v>-68.464839999999995</v>
      </c>
      <c r="S372">
        <v>-48.7654</v>
      </c>
      <c r="T372">
        <v>-63.4298</v>
      </c>
      <c r="U372">
        <v>48.7654</v>
      </c>
      <c r="V372" t="s">
        <v>1537</v>
      </c>
      <c r="W372" t="s">
        <v>13</v>
      </c>
      <c r="X372" t="s">
        <v>16</v>
      </c>
      <c r="Y372" s="1" t="s">
        <v>914</v>
      </c>
    </row>
    <row r="373" spans="1:25" x14ac:dyDescent="0.25">
      <c r="A373" s="4">
        <v>642</v>
      </c>
      <c r="B373" s="9">
        <v>12090</v>
      </c>
      <c r="C373" s="8" t="s">
        <v>216</v>
      </c>
      <c r="D373" s="6" t="s">
        <v>161</v>
      </c>
      <c r="E373" s="10">
        <v>7</v>
      </c>
      <c r="F373">
        <v>9.2004010734675994</v>
      </c>
      <c r="G373">
        <v>2.12812831638611</v>
      </c>
      <c r="H373" t="s">
        <v>52</v>
      </c>
      <c r="I373" t="s">
        <v>24</v>
      </c>
      <c r="J373" t="s">
        <v>185</v>
      </c>
      <c r="L373">
        <v>310</v>
      </c>
      <c r="M373" t="s">
        <v>1798</v>
      </c>
      <c r="N373">
        <v>300</v>
      </c>
      <c r="O373" s="1" t="s">
        <v>78</v>
      </c>
      <c r="P373" s="1" t="s">
        <v>214</v>
      </c>
      <c r="Q373" s="25">
        <v>-36.013750000000002</v>
      </c>
      <c r="R373" s="25">
        <v>-68.464839999999995</v>
      </c>
      <c r="S373">
        <v>-48.7654</v>
      </c>
      <c r="T373">
        <v>-63.4298</v>
      </c>
      <c r="U373">
        <v>48.7654</v>
      </c>
      <c r="V373" t="s">
        <v>1537</v>
      </c>
      <c r="W373" t="s">
        <v>13</v>
      </c>
      <c r="X373" t="s">
        <v>16</v>
      </c>
      <c r="Y373" s="1" t="s">
        <v>914</v>
      </c>
    </row>
    <row r="374" spans="1:25" x14ac:dyDescent="0.25">
      <c r="A374" s="4">
        <v>643</v>
      </c>
      <c r="B374" s="9">
        <v>12090</v>
      </c>
      <c r="C374" s="8" t="s">
        <v>216</v>
      </c>
      <c r="D374" s="6" t="s">
        <v>219</v>
      </c>
      <c r="E374" s="10">
        <v>6</v>
      </c>
      <c r="F374">
        <v>5.5516659494615199</v>
      </c>
      <c r="G374">
        <v>2.0937693491252198</v>
      </c>
      <c r="H374" t="s">
        <v>52</v>
      </c>
      <c r="I374" t="s">
        <v>24</v>
      </c>
      <c r="J374" t="s">
        <v>185</v>
      </c>
      <c r="L374">
        <v>310</v>
      </c>
      <c r="M374" t="s">
        <v>1798</v>
      </c>
      <c r="N374">
        <v>300</v>
      </c>
      <c r="O374" s="1" t="s">
        <v>78</v>
      </c>
      <c r="P374" s="1" t="s">
        <v>214</v>
      </c>
      <c r="Q374" s="25">
        <v>-36.013750000000002</v>
      </c>
      <c r="R374" s="25">
        <v>-68.464839999999995</v>
      </c>
      <c r="S374">
        <v>-48.7654</v>
      </c>
      <c r="T374">
        <v>-63.4298</v>
      </c>
      <c r="U374">
        <v>48.7654</v>
      </c>
      <c r="V374" t="s">
        <v>1537</v>
      </c>
      <c r="W374" t="s">
        <v>13</v>
      </c>
      <c r="X374" t="s">
        <v>16</v>
      </c>
      <c r="Y374" s="1" t="s">
        <v>914</v>
      </c>
    </row>
    <row r="375" spans="1:25" x14ac:dyDescent="0.25">
      <c r="A375" s="4">
        <v>645</v>
      </c>
      <c r="B375" s="9">
        <v>12116</v>
      </c>
      <c r="C375" s="8" t="s">
        <v>216</v>
      </c>
      <c r="D375" s="6" t="s">
        <v>73</v>
      </c>
      <c r="E375" s="10">
        <v>6</v>
      </c>
      <c r="F375">
        <v>7.4701446591852898</v>
      </c>
      <c r="G375">
        <v>4.2654614503561197</v>
      </c>
      <c r="H375" t="s">
        <v>52</v>
      </c>
      <c r="I375" t="s">
        <v>24</v>
      </c>
      <c r="J375" t="s">
        <v>185</v>
      </c>
      <c r="L375">
        <v>310</v>
      </c>
      <c r="M375" t="s">
        <v>1798</v>
      </c>
      <c r="N375">
        <v>300</v>
      </c>
      <c r="O375" s="1" t="s">
        <v>78</v>
      </c>
      <c r="P375" s="1" t="s">
        <v>214</v>
      </c>
      <c r="Q375" s="25">
        <v>-36.013750000000002</v>
      </c>
      <c r="R375" s="25">
        <v>-68.464839999999995</v>
      </c>
      <c r="S375">
        <v>-48.7654</v>
      </c>
      <c r="T375">
        <v>-63.4298</v>
      </c>
      <c r="U375">
        <v>48.7654</v>
      </c>
      <c r="V375" t="s">
        <v>1537</v>
      </c>
      <c r="W375" t="s">
        <v>13</v>
      </c>
      <c r="X375" t="s">
        <v>16</v>
      </c>
      <c r="Y375" s="1" t="s">
        <v>914</v>
      </c>
    </row>
    <row r="376" spans="1:25" x14ac:dyDescent="0.25">
      <c r="A376" s="4">
        <v>648</v>
      </c>
      <c r="B376" s="9">
        <v>3431</v>
      </c>
      <c r="C376" s="8" t="s">
        <v>216</v>
      </c>
      <c r="D376" s="6" t="s">
        <v>220</v>
      </c>
      <c r="E376" s="10">
        <v>7</v>
      </c>
      <c r="F376">
        <v>4.9005829301016703</v>
      </c>
      <c r="G376">
        <v>3.65243350837161</v>
      </c>
      <c r="H376" t="s">
        <v>52</v>
      </c>
      <c r="I376" t="s">
        <v>24</v>
      </c>
      <c r="J376" t="s">
        <v>185</v>
      </c>
      <c r="L376">
        <v>310</v>
      </c>
      <c r="M376" t="s">
        <v>1798</v>
      </c>
      <c r="N376">
        <v>300</v>
      </c>
      <c r="O376" s="1" t="s">
        <v>78</v>
      </c>
      <c r="P376" s="1" t="s">
        <v>214</v>
      </c>
      <c r="Q376" s="25">
        <v>-36.013750000000002</v>
      </c>
      <c r="R376" s="25">
        <v>-68.464839999999995</v>
      </c>
      <c r="S376">
        <v>-48.7654</v>
      </c>
      <c r="T376">
        <v>-63.4298</v>
      </c>
      <c r="U376">
        <v>48.7654</v>
      </c>
      <c r="V376" t="s">
        <v>1537</v>
      </c>
      <c r="W376" t="s">
        <v>13</v>
      </c>
      <c r="X376" t="s">
        <v>16</v>
      </c>
      <c r="Y376" s="1" t="s">
        <v>914</v>
      </c>
    </row>
    <row r="377" spans="1:25" x14ac:dyDescent="0.25">
      <c r="A377" s="4">
        <v>650</v>
      </c>
      <c r="B377" s="9">
        <v>12238</v>
      </c>
      <c r="C377" s="8" t="s">
        <v>216</v>
      </c>
      <c r="D377" s="6" t="s">
        <v>220</v>
      </c>
      <c r="E377" s="10">
        <v>7</v>
      </c>
      <c r="F377">
        <v>5.3707060904506401</v>
      </c>
      <c r="G377">
        <v>3.3307786089721398</v>
      </c>
      <c r="H377" t="s">
        <v>52</v>
      </c>
      <c r="I377" t="s">
        <v>24</v>
      </c>
      <c r="J377" t="s">
        <v>185</v>
      </c>
      <c r="L377">
        <v>310</v>
      </c>
      <c r="M377" t="s">
        <v>1798</v>
      </c>
      <c r="N377">
        <v>300</v>
      </c>
      <c r="O377" s="1" t="s">
        <v>78</v>
      </c>
      <c r="P377" s="1" t="s">
        <v>214</v>
      </c>
      <c r="Q377" s="25">
        <v>-36.013750000000002</v>
      </c>
      <c r="R377" s="25">
        <v>-68.464839999999995</v>
      </c>
      <c r="S377">
        <v>-48.7654</v>
      </c>
      <c r="T377">
        <v>-63.4298</v>
      </c>
      <c r="U377">
        <v>48.7654</v>
      </c>
      <c r="V377" t="s">
        <v>1537</v>
      </c>
      <c r="W377" t="s">
        <v>13</v>
      </c>
      <c r="X377" t="s">
        <v>16</v>
      </c>
      <c r="Y377" s="1" t="s">
        <v>914</v>
      </c>
    </row>
    <row r="378" spans="1:25" x14ac:dyDescent="0.25">
      <c r="A378" s="4">
        <v>651</v>
      </c>
      <c r="B378" s="9">
        <v>3427</v>
      </c>
      <c r="C378" s="8" t="s">
        <v>216</v>
      </c>
      <c r="D378" s="6" t="s">
        <v>73</v>
      </c>
      <c r="E378" s="10">
        <v>6</v>
      </c>
      <c r="F378">
        <v>4.6860798796477798</v>
      </c>
      <c r="G378">
        <v>3.32211690955697</v>
      </c>
      <c r="H378" t="s">
        <v>52</v>
      </c>
      <c r="I378" t="s">
        <v>24</v>
      </c>
      <c r="J378" t="s">
        <v>185</v>
      </c>
      <c r="L378">
        <v>310</v>
      </c>
      <c r="M378" t="s">
        <v>1798</v>
      </c>
      <c r="N378">
        <v>300</v>
      </c>
      <c r="O378" s="1" t="s">
        <v>78</v>
      </c>
      <c r="P378" s="1" t="s">
        <v>214</v>
      </c>
      <c r="Q378" s="25">
        <v>-36.013750000000002</v>
      </c>
      <c r="R378" s="25">
        <v>-68.464839999999995</v>
      </c>
      <c r="S378">
        <v>-48.7654</v>
      </c>
      <c r="T378">
        <v>-63.4298</v>
      </c>
      <c r="U378">
        <v>48.7654</v>
      </c>
      <c r="V378" t="s">
        <v>1537</v>
      </c>
      <c r="W378" t="s">
        <v>13</v>
      </c>
      <c r="X378" t="s">
        <v>16</v>
      </c>
      <c r="Y378" s="1" t="s">
        <v>914</v>
      </c>
    </row>
    <row r="379" spans="1:25" x14ac:dyDescent="0.25">
      <c r="A379" s="4">
        <v>652</v>
      </c>
      <c r="B379" s="9" t="s">
        <v>915</v>
      </c>
      <c r="C379" s="8" t="s">
        <v>898</v>
      </c>
      <c r="D379" s="6" t="s">
        <v>73</v>
      </c>
      <c r="E379" s="10">
        <v>6</v>
      </c>
      <c r="F379">
        <v>7.7511748334181299</v>
      </c>
      <c r="G379">
        <v>5.8174666992293798</v>
      </c>
      <c r="H379" t="s">
        <v>52</v>
      </c>
      <c r="I379" t="s">
        <v>24</v>
      </c>
      <c r="J379" t="s">
        <v>185</v>
      </c>
      <c r="L379">
        <v>310</v>
      </c>
      <c r="M379" t="s">
        <v>1798</v>
      </c>
      <c r="N379">
        <v>300</v>
      </c>
      <c r="O379" s="1" t="s">
        <v>78</v>
      </c>
      <c r="P379" s="1" t="s">
        <v>214</v>
      </c>
      <c r="Q379" s="25">
        <v>-36.013750000000002</v>
      </c>
      <c r="R379" s="25">
        <v>-68.464839999999995</v>
      </c>
      <c r="S379">
        <v>-48.7654</v>
      </c>
      <c r="T379">
        <v>-63.4298</v>
      </c>
      <c r="U379">
        <v>48.7654</v>
      </c>
      <c r="V379" t="s">
        <v>1537</v>
      </c>
      <c r="W379" t="s">
        <v>13</v>
      </c>
      <c r="X379" t="s">
        <v>16</v>
      </c>
      <c r="Y379" s="1" t="s">
        <v>914</v>
      </c>
    </row>
    <row r="380" spans="1:25" x14ac:dyDescent="0.25">
      <c r="A380" s="4">
        <v>653</v>
      </c>
      <c r="B380" s="9" t="s">
        <v>899</v>
      </c>
      <c r="C380" s="8" t="s">
        <v>898</v>
      </c>
      <c r="D380" s="6" t="s">
        <v>73</v>
      </c>
      <c r="E380" s="10">
        <v>6</v>
      </c>
      <c r="F380">
        <v>8.04050379913798</v>
      </c>
      <c r="G380">
        <v>3.63296292463151</v>
      </c>
      <c r="H380" t="s">
        <v>52</v>
      </c>
      <c r="I380" t="s">
        <v>24</v>
      </c>
      <c r="J380" t="s">
        <v>185</v>
      </c>
      <c r="L380">
        <v>310</v>
      </c>
      <c r="M380" t="s">
        <v>1798</v>
      </c>
      <c r="N380">
        <v>300</v>
      </c>
      <c r="O380" s="1" t="s">
        <v>78</v>
      </c>
      <c r="P380" s="1" t="s">
        <v>214</v>
      </c>
      <c r="Q380" s="25">
        <v>-36.013750000000002</v>
      </c>
      <c r="R380" s="25">
        <v>-68.464839999999995</v>
      </c>
      <c r="S380">
        <v>-48.7654</v>
      </c>
      <c r="T380">
        <v>-63.4298</v>
      </c>
      <c r="U380">
        <v>48.7654</v>
      </c>
      <c r="V380" t="s">
        <v>1537</v>
      </c>
      <c r="W380" t="s">
        <v>13</v>
      </c>
      <c r="X380" t="s">
        <v>16</v>
      </c>
      <c r="Y380" s="1" t="s">
        <v>914</v>
      </c>
    </row>
    <row r="381" spans="1:25" x14ac:dyDescent="0.25">
      <c r="A381" s="4">
        <v>654</v>
      </c>
      <c r="B381" s="9">
        <v>12175</v>
      </c>
      <c r="C381" s="8" t="s">
        <v>216</v>
      </c>
      <c r="D381" s="6" t="s">
        <v>73</v>
      </c>
      <c r="E381" s="10">
        <v>6</v>
      </c>
      <c r="F381">
        <v>7.77543889639783</v>
      </c>
      <c r="G381">
        <v>3.8924540497126801</v>
      </c>
      <c r="H381" t="s">
        <v>52</v>
      </c>
      <c r="I381" t="s">
        <v>24</v>
      </c>
      <c r="J381" t="s">
        <v>185</v>
      </c>
      <c r="L381">
        <v>310</v>
      </c>
      <c r="M381" t="s">
        <v>1798</v>
      </c>
      <c r="N381">
        <v>300</v>
      </c>
      <c r="O381" s="1" t="s">
        <v>78</v>
      </c>
      <c r="P381" s="1" t="s">
        <v>214</v>
      </c>
      <c r="Q381" s="25">
        <v>-36.013750000000002</v>
      </c>
      <c r="R381" s="25">
        <v>-68.464839999999995</v>
      </c>
      <c r="S381">
        <v>-48.7654</v>
      </c>
      <c r="T381">
        <v>-63.4298</v>
      </c>
      <c r="U381">
        <v>48.7654</v>
      </c>
      <c r="V381" t="s">
        <v>1537</v>
      </c>
      <c r="W381" t="s">
        <v>13</v>
      </c>
      <c r="X381" t="s">
        <v>16</v>
      </c>
      <c r="Y381" s="1" t="s">
        <v>914</v>
      </c>
    </row>
    <row r="382" spans="1:25" x14ac:dyDescent="0.25">
      <c r="A382" s="4">
        <v>655</v>
      </c>
      <c r="B382" s="9">
        <v>12156</v>
      </c>
      <c r="C382" s="8" t="s">
        <v>216</v>
      </c>
      <c r="D382" s="6" t="s">
        <v>73</v>
      </c>
      <c r="E382" s="10">
        <v>6</v>
      </c>
      <c r="F382">
        <v>9.7634660027306204</v>
      </c>
      <c r="G382">
        <v>3.5848997432122398</v>
      </c>
      <c r="H382" t="s">
        <v>52</v>
      </c>
      <c r="I382" t="s">
        <v>24</v>
      </c>
      <c r="J382" t="s">
        <v>185</v>
      </c>
      <c r="L382">
        <v>310</v>
      </c>
      <c r="M382" t="s">
        <v>1798</v>
      </c>
      <c r="N382">
        <v>300</v>
      </c>
      <c r="O382" s="1" t="s">
        <v>78</v>
      </c>
      <c r="P382" s="1" t="s">
        <v>214</v>
      </c>
      <c r="Q382" s="25">
        <v>-36.013750000000002</v>
      </c>
      <c r="R382" s="25">
        <v>-68.464839999999995</v>
      </c>
      <c r="S382">
        <v>-48.7654</v>
      </c>
      <c r="T382">
        <v>-63.4298</v>
      </c>
      <c r="U382">
        <v>48.7654</v>
      </c>
      <c r="V382" t="s">
        <v>1537</v>
      </c>
      <c r="W382" t="s">
        <v>13</v>
      </c>
      <c r="X382" t="s">
        <v>16</v>
      </c>
      <c r="Y382" s="1" t="s">
        <v>914</v>
      </c>
    </row>
    <row r="383" spans="1:25" x14ac:dyDescent="0.25">
      <c r="A383" s="4">
        <v>656</v>
      </c>
      <c r="B383" s="9">
        <v>12162</v>
      </c>
      <c r="C383" s="8" t="s">
        <v>216</v>
      </c>
      <c r="D383" s="6" t="s">
        <v>73</v>
      </c>
      <c r="E383" s="10">
        <v>6</v>
      </c>
      <c r="F383">
        <v>6.2379570878554702</v>
      </c>
      <c r="G383">
        <v>1.9019402053815999</v>
      </c>
      <c r="H383" t="s">
        <v>52</v>
      </c>
      <c r="I383" t="s">
        <v>24</v>
      </c>
      <c r="J383" t="s">
        <v>185</v>
      </c>
      <c r="L383">
        <v>310</v>
      </c>
      <c r="M383" t="s">
        <v>1798</v>
      </c>
      <c r="N383">
        <v>300</v>
      </c>
      <c r="O383" s="1" t="s">
        <v>78</v>
      </c>
      <c r="P383" s="1" t="s">
        <v>214</v>
      </c>
      <c r="Q383" s="25">
        <v>-36.013750000000002</v>
      </c>
      <c r="R383" s="25">
        <v>-68.464839999999995</v>
      </c>
      <c r="S383">
        <v>-48.7654</v>
      </c>
      <c r="T383">
        <v>-63.4298</v>
      </c>
      <c r="U383">
        <v>48.7654</v>
      </c>
      <c r="V383" t="s">
        <v>1537</v>
      </c>
      <c r="W383" t="s">
        <v>13</v>
      </c>
      <c r="X383" t="s">
        <v>16</v>
      </c>
      <c r="Y383" s="1" t="s">
        <v>914</v>
      </c>
    </row>
    <row r="384" spans="1:25" x14ac:dyDescent="0.25">
      <c r="A384" s="4">
        <v>659</v>
      </c>
      <c r="B384" s="9">
        <v>12175</v>
      </c>
      <c r="C384" s="8" t="s">
        <v>216</v>
      </c>
      <c r="D384" s="6" t="s">
        <v>161</v>
      </c>
      <c r="E384" s="10">
        <v>7</v>
      </c>
      <c r="F384">
        <v>9.5745348877205192</v>
      </c>
      <c r="G384">
        <v>3.3704690908372701</v>
      </c>
      <c r="H384" t="s">
        <v>52</v>
      </c>
      <c r="I384" t="s">
        <v>24</v>
      </c>
      <c r="J384" t="s">
        <v>185</v>
      </c>
      <c r="L384">
        <v>310</v>
      </c>
      <c r="M384" t="s">
        <v>1798</v>
      </c>
      <c r="N384">
        <v>300</v>
      </c>
      <c r="O384" s="1" t="s">
        <v>78</v>
      </c>
      <c r="P384" s="1" t="s">
        <v>214</v>
      </c>
      <c r="Q384" s="25">
        <v>-36.013750000000002</v>
      </c>
      <c r="R384" s="25">
        <v>-68.464839999999995</v>
      </c>
      <c r="S384">
        <v>-48.7654</v>
      </c>
      <c r="T384">
        <v>-63.4298</v>
      </c>
      <c r="U384">
        <v>48.7654</v>
      </c>
      <c r="V384" t="s">
        <v>1537</v>
      </c>
      <c r="W384" t="s">
        <v>13</v>
      </c>
      <c r="X384" t="s">
        <v>16</v>
      </c>
      <c r="Y384" s="1" t="s">
        <v>914</v>
      </c>
    </row>
    <row r="385" spans="1:25" x14ac:dyDescent="0.25">
      <c r="A385" s="4">
        <v>660</v>
      </c>
      <c r="B385" s="9">
        <v>3404</v>
      </c>
      <c r="C385" s="8" t="s">
        <v>216</v>
      </c>
      <c r="D385" s="6" t="s">
        <v>220</v>
      </c>
      <c r="E385" s="10">
        <v>7</v>
      </c>
      <c r="F385">
        <v>15.597083294021999</v>
      </c>
      <c r="G385">
        <v>8.4432285798316595</v>
      </c>
      <c r="H385" t="s">
        <v>52</v>
      </c>
      <c r="I385" t="s">
        <v>24</v>
      </c>
      <c r="J385" t="s">
        <v>185</v>
      </c>
      <c r="L385">
        <v>310</v>
      </c>
      <c r="M385" t="s">
        <v>1798</v>
      </c>
      <c r="N385">
        <v>300</v>
      </c>
      <c r="O385" s="1" t="s">
        <v>78</v>
      </c>
      <c r="P385" s="1" t="s">
        <v>214</v>
      </c>
      <c r="Q385" s="25">
        <v>-36.013750000000002</v>
      </c>
      <c r="R385" s="25">
        <v>-68.464839999999995</v>
      </c>
      <c r="S385">
        <v>-48.7654</v>
      </c>
      <c r="T385">
        <v>-63.4298</v>
      </c>
      <c r="U385">
        <v>48.7654</v>
      </c>
      <c r="V385" t="s">
        <v>1537</v>
      </c>
      <c r="W385" t="s">
        <v>13</v>
      </c>
      <c r="X385" t="s">
        <v>16</v>
      </c>
      <c r="Y385" s="1" t="s">
        <v>914</v>
      </c>
    </row>
    <row r="386" spans="1:25" x14ac:dyDescent="0.25">
      <c r="A386" s="4">
        <v>661</v>
      </c>
      <c r="B386" s="9">
        <v>12182</v>
      </c>
      <c r="C386" s="8" t="s">
        <v>216</v>
      </c>
      <c r="D386" s="6" t="s">
        <v>161</v>
      </c>
      <c r="E386" s="10">
        <v>7</v>
      </c>
      <c r="F386">
        <v>13.7454314950681</v>
      </c>
      <c r="G386">
        <v>7.8543263881099197</v>
      </c>
      <c r="H386" t="s">
        <v>52</v>
      </c>
      <c r="I386" t="s">
        <v>24</v>
      </c>
      <c r="J386" t="s">
        <v>185</v>
      </c>
      <c r="L386">
        <v>310</v>
      </c>
      <c r="M386" t="s">
        <v>1798</v>
      </c>
      <c r="N386">
        <v>300</v>
      </c>
      <c r="O386" s="1" t="s">
        <v>78</v>
      </c>
      <c r="P386" s="1" t="s">
        <v>214</v>
      </c>
      <c r="Q386" s="25">
        <v>-36.013750000000002</v>
      </c>
      <c r="R386" s="25">
        <v>-68.464839999999995</v>
      </c>
      <c r="S386">
        <v>-48.7654</v>
      </c>
      <c r="T386">
        <v>-63.4298</v>
      </c>
      <c r="U386">
        <v>48.7654</v>
      </c>
      <c r="V386" t="s">
        <v>1537</v>
      </c>
      <c r="W386" t="s">
        <v>13</v>
      </c>
      <c r="X386" t="s">
        <v>16</v>
      </c>
      <c r="Y386" s="1" t="s">
        <v>914</v>
      </c>
    </row>
    <row r="387" spans="1:25" x14ac:dyDescent="0.25">
      <c r="A387" s="4">
        <v>662</v>
      </c>
      <c r="B387" s="9" t="s">
        <v>164</v>
      </c>
      <c r="C387" s="8" t="s">
        <v>49</v>
      </c>
      <c r="D387" s="6" t="s">
        <v>60</v>
      </c>
      <c r="E387" s="10">
        <v>5</v>
      </c>
      <c r="F387">
        <v>4.3785874316285698</v>
      </c>
      <c r="G387">
        <v>0.66276724467096804</v>
      </c>
      <c r="H387" t="s">
        <v>924</v>
      </c>
      <c r="I387" t="s">
        <v>24</v>
      </c>
      <c r="J387" t="s">
        <v>185</v>
      </c>
      <c r="L387">
        <v>310</v>
      </c>
      <c r="M387" t="s">
        <v>1798</v>
      </c>
      <c r="N387">
        <v>300</v>
      </c>
      <c r="O387" t="s">
        <v>927</v>
      </c>
      <c r="P387" s="1" t="s">
        <v>923</v>
      </c>
      <c r="Q387" s="25">
        <v>-32.504860999999998</v>
      </c>
      <c r="R387" s="26">
        <v>-54.126193999999998</v>
      </c>
      <c r="S387">
        <v>-54.136499999999998</v>
      </c>
      <c r="T387">
        <v>-46.298999999999999</v>
      </c>
      <c r="U387">
        <v>54.136499999999998</v>
      </c>
      <c r="V387" t="s">
        <v>1539</v>
      </c>
      <c r="W387" t="s">
        <v>15</v>
      </c>
      <c r="X387" t="s">
        <v>17</v>
      </c>
      <c r="Y387" s="1" t="s">
        <v>926</v>
      </c>
    </row>
    <row r="388" spans="1:25" x14ac:dyDescent="0.25">
      <c r="A388" s="4">
        <v>663</v>
      </c>
      <c r="B388" s="9" t="s">
        <v>928</v>
      </c>
      <c r="C388" s="8" t="s">
        <v>49</v>
      </c>
      <c r="D388" s="6" t="s">
        <v>28</v>
      </c>
      <c r="E388" s="10">
        <v>6</v>
      </c>
      <c r="F388">
        <v>4.8152531609029499</v>
      </c>
      <c r="G388">
        <v>2.0521875127926901</v>
      </c>
      <c r="H388" t="s">
        <v>924</v>
      </c>
      <c r="I388" t="s">
        <v>24</v>
      </c>
      <c r="J388" t="s">
        <v>185</v>
      </c>
      <c r="L388">
        <v>310</v>
      </c>
      <c r="M388" t="s">
        <v>1798</v>
      </c>
      <c r="N388">
        <v>300</v>
      </c>
      <c r="O388" t="s">
        <v>927</v>
      </c>
      <c r="P388" s="1" t="s">
        <v>923</v>
      </c>
      <c r="Q388" s="25">
        <v>-32.504860999999998</v>
      </c>
      <c r="R388" s="26">
        <v>-54.126193999999998</v>
      </c>
      <c r="S388">
        <v>-54.136499999999998</v>
      </c>
      <c r="T388">
        <v>-46.298999999999999</v>
      </c>
      <c r="U388">
        <v>54.136499999999998</v>
      </c>
      <c r="V388" t="s">
        <v>1539</v>
      </c>
      <c r="W388" t="s">
        <v>15</v>
      </c>
      <c r="X388" t="s">
        <v>17</v>
      </c>
      <c r="Y388" s="1" t="s">
        <v>926</v>
      </c>
    </row>
    <row r="389" spans="1:25" x14ac:dyDescent="0.25">
      <c r="A389" s="4">
        <v>664</v>
      </c>
      <c r="B389" s="9" t="s">
        <v>165</v>
      </c>
      <c r="C389" s="8" t="s">
        <v>49</v>
      </c>
      <c r="D389" s="6" t="s">
        <v>67</v>
      </c>
      <c r="E389" s="10">
        <v>6</v>
      </c>
      <c r="F389">
        <v>8.5992261816672908</v>
      </c>
      <c r="G389">
        <v>4.3107808967616599</v>
      </c>
      <c r="H389" t="s">
        <v>924</v>
      </c>
      <c r="I389" t="s">
        <v>24</v>
      </c>
      <c r="J389" t="s">
        <v>185</v>
      </c>
      <c r="L389">
        <v>310</v>
      </c>
      <c r="M389" t="s">
        <v>1798</v>
      </c>
      <c r="N389">
        <v>300</v>
      </c>
      <c r="O389" t="s">
        <v>927</v>
      </c>
      <c r="P389" s="1" t="s">
        <v>923</v>
      </c>
      <c r="Q389" s="25">
        <v>-32.504860999999998</v>
      </c>
      <c r="R389" s="26">
        <v>-54.126193999999998</v>
      </c>
      <c r="S389">
        <v>-54.136499999999998</v>
      </c>
      <c r="T389">
        <v>-46.298999999999999</v>
      </c>
      <c r="U389">
        <v>54.136499999999998</v>
      </c>
      <c r="V389" t="s">
        <v>1539</v>
      </c>
      <c r="W389" t="s">
        <v>15</v>
      </c>
      <c r="X389" t="s">
        <v>17</v>
      </c>
      <c r="Y389" s="1" t="s">
        <v>926</v>
      </c>
    </row>
    <row r="390" spans="1:25" x14ac:dyDescent="0.25">
      <c r="A390" s="4">
        <v>665</v>
      </c>
      <c r="B390" s="9" t="s">
        <v>315</v>
      </c>
      <c r="C390" s="8" t="s">
        <v>49</v>
      </c>
      <c r="D390" s="6" t="s">
        <v>73</v>
      </c>
      <c r="E390" s="10">
        <v>6</v>
      </c>
      <c r="F390">
        <v>24.660433836087201</v>
      </c>
      <c r="G390">
        <v>8.5500348607634997</v>
      </c>
      <c r="H390" t="s">
        <v>924</v>
      </c>
      <c r="I390" t="s">
        <v>24</v>
      </c>
      <c r="J390" t="s">
        <v>185</v>
      </c>
      <c r="L390">
        <v>310</v>
      </c>
      <c r="M390" t="s">
        <v>1798</v>
      </c>
      <c r="N390">
        <v>300</v>
      </c>
      <c r="O390" t="s">
        <v>927</v>
      </c>
      <c r="P390" s="1" t="s">
        <v>923</v>
      </c>
      <c r="Q390" s="25">
        <v>-32.504860999999998</v>
      </c>
      <c r="R390" s="26">
        <v>-54.126193999999998</v>
      </c>
      <c r="S390">
        <v>-54.136499999999998</v>
      </c>
      <c r="T390">
        <v>-46.298999999999999</v>
      </c>
      <c r="U390">
        <v>54.136499999999998</v>
      </c>
      <c r="V390" t="s">
        <v>1539</v>
      </c>
      <c r="W390" t="s">
        <v>15</v>
      </c>
      <c r="X390" t="s">
        <v>17</v>
      </c>
      <c r="Y390" s="1" t="s">
        <v>926</v>
      </c>
    </row>
    <row r="391" spans="1:25" x14ac:dyDescent="0.25">
      <c r="A391" s="4">
        <v>667</v>
      </c>
      <c r="B391" s="9" t="s">
        <v>929</v>
      </c>
      <c r="C391" s="8" t="s">
        <v>49</v>
      </c>
      <c r="D391" s="6" t="s">
        <v>161</v>
      </c>
      <c r="E391" s="10">
        <v>7</v>
      </c>
      <c r="F391">
        <v>14.340153936239201</v>
      </c>
      <c r="G391">
        <v>7.8011880588946401</v>
      </c>
      <c r="H391" t="s">
        <v>924</v>
      </c>
      <c r="I391" t="s">
        <v>24</v>
      </c>
      <c r="J391" t="s">
        <v>185</v>
      </c>
      <c r="L391">
        <v>310</v>
      </c>
      <c r="M391" t="s">
        <v>1798</v>
      </c>
      <c r="N391">
        <v>300</v>
      </c>
      <c r="O391" t="s">
        <v>927</v>
      </c>
      <c r="P391" s="1" t="s">
        <v>923</v>
      </c>
      <c r="Q391" s="25">
        <v>-32.504860999999998</v>
      </c>
      <c r="R391" s="26">
        <v>-54.126193999999998</v>
      </c>
      <c r="S391">
        <v>-54.136499999999998</v>
      </c>
      <c r="T391">
        <v>-46.298999999999999</v>
      </c>
      <c r="U391">
        <v>54.136499999999998</v>
      </c>
      <c r="V391" t="s">
        <v>1539</v>
      </c>
      <c r="W391" t="s">
        <v>15</v>
      </c>
      <c r="X391" t="s">
        <v>17</v>
      </c>
      <c r="Y391" s="1" t="s">
        <v>926</v>
      </c>
    </row>
    <row r="392" spans="1:25" x14ac:dyDescent="0.25">
      <c r="A392" s="4">
        <v>669</v>
      </c>
      <c r="B392" s="9" t="s">
        <v>224</v>
      </c>
      <c r="C392" s="8" t="s">
        <v>49</v>
      </c>
      <c r="D392" s="6" t="s">
        <v>161</v>
      </c>
      <c r="E392" s="10">
        <v>7</v>
      </c>
      <c r="F392">
        <v>7.6268804066531199</v>
      </c>
      <c r="G392">
        <v>2.24417005928415</v>
      </c>
      <c r="H392" t="s">
        <v>924</v>
      </c>
      <c r="I392" t="s">
        <v>24</v>
      </c>
      <c r="J392" t="s">
        <v>185</v>
      </c>
      <c r="L392">
        <v>310</v>
      </c>
      <c r="M392" t="s">
        <v>1798</v>
      </c>
      <c r="N392">
        <v>300</v>
      </c>
      <c r="O392" t="s">
        <v>927</v>
      </c>
      <c r="P392" s="1" t="s">
        <v>923</v>
      </c>
      <c r="Q392" s="25">
        <v>-32.504860999999998</v>
      </c>
      <c r="R392" s="26">
        <v>-54.126193999999998</v>
      </c>
      <c r="S392">
        <v>-54.136499999999998</v>
      </c>
      <c r="T392">
        <v>-46.298999999999999</v>
      </c>
      <c r="U392">
        <v>54.136499999999998</v>
      </c>
      <c r="V392" t="s">
        <v>1539</v>
      </c>
      <c r="W392" t="s">
        <v>15</v>
      </c>
      <c r="X392" t="s">
        <v>17</v>
      </c>
      <c r="Y392" s="1" t="s">
        <v>926</v>
      </c>
    </row>
    <row r="393" spans="1:25" x14ac:dyDescent="0.25">
      <c r="A393" s="4">
        <v>671</v>
      </c>
      <c r="B393" s="9" t="s">
        <v>225</v>
      </c>
      <c r="C393" s="8" t="s">
        <v>49</v>
      </c>
      <c r="D393" s="6" t="s">
        <v>208</v>
      </c>
      <c r="E393" s="10">
        <v>7</v>
      </c>
      <c r="F393">
        <v>14.756530471238699</v>
      </c>
      <c r="G393">
        <v>1.7813168606437599</v>
      </c>
      <c r="H393" t="s">
        <v>924</v>
      </c>
      <c r="I393" t="s">
        <v>24</v>
      </c>
      <c r="J393" t="s">
        <v>185</v>
      </c>
      <c r="L393">
        <v>310</v>
      </c>
      <c r="M393" t="s">
        <v>1798</v>
      </c>
      <c r="N393">
        <v>300</v>
      </c>
      <c r="O393" t="s">
        <v>927</v>
      </c>
      <c r="P393" s="1" t="s">
        <v>923</v>
      </c>
      <c r="Q393" s="25">
        <v>-32.504860999999998</v>
      </c>
      <c r="R393" s="26">
        <v>-54.126193999999998</v>
      </c>
      <c r="S393">
        <v>-54.136499999999998</v>
      </c>
      <c r="T393">
        <v>-46.298999999999999</v>
      </c>
      <c r="U393">
        <v>54.136499999999998</v>
      </c>
      <c r="V393" t="s">
        <v>1539</v>
      </c>
      <c r="W393" t="s">
        <v>15</v>
      </c>
      <c r="X393" t="s">
        <v>17</v>
      </c>
      <c r="Y393" s="1" t="s">
        <v>926</v>
      </c>
    </row>
    <row r="394" spans="1:25" x14ac:dyDescent="0.25">
      <c r="A394" s="4">
        <v>672</v>
      </c>
      <c r="B394" s="9" t="s">
        <v>930</v>
      </c>
      <c r="C394" s="8" t="s">
        <v>49</v>
      </c>
      <c r="D394" s="6" t="s">
        <v>64</v>
      </c>
      <c r="E394" s="10">
        <v>8</v>
      </c>
      <c r="F394">
        <v>26.429046684668801</v>
      </c>
      <c r="G394">
        <v>2.30559921433488</v>
      </c>
      <c r="H394" t="s">
        <v>924</v>
      </c>
      <c r="I394" t="s">
        <v>24</v>
      </c>
      <c r="J394" t="s">
        <v>185</v>
      </c>
      <c r="L394">
        <v>310</v>
      </c>
      <c r="M394" t="s">
        <v>1798</v>
      </c>
      <c r="N394">
        <v>300</v>
      </c>
      <c r="O394" t="s">
        <v>927</v>
      </c>
      <c r="P394" s="1" t="s">
        <v>923</v>
      </c>
      <c r="Q394" s="25">
        <v>-32.504860999999998</v>
      </c>
      <c r="R394" s="26">
        <v>-54.126193999999998</v>
      </c>
      <c r="S394">
        <v>-54.136499999999998</v>
      </c>
      <c r="T394">
        <v>-46.298999999999999</v>
      </c>
      <c r="U394">
        <v>54.136499999999998</v>
      </c>
      <c r="V394" t="s">
        <v>1539</v>
      </c>
      <c r="W394" t="s">
        <v>15</v>
      </c>
      <c r="X394" t="s">
        <v>17</v>
      </c>
      <c r="Y394" s="1" t="s">
        <v>926</v>
      </c>
    </row>
    <row r="395" spans="1:25" x14ac:dyDescent="0.25">
      <c r="A395" s="4">
        <v>674</v>
      </c>
      <c r="B395" s="9" t="s">
        <v>226</v>
      </c>
      <c r="C395" s="8" t="s">
        <v>49</v>
      </c>
      <c r="D395" s="6" t="s">
        <v>241</v>
      </c>
      <c r="E395" s="10">
        <v>7</v>
      </c>
      <c r="F395">
        <v>14.7618185124495</v>
      </c>
      <c r="G395">
        <v>0.84817404695306298</v>
      </c>
      <c r="H395" t="s">
        <v>924</v>
      </c>
      <c r="I395" t="s">
        <v>24</v>
      </c>
      <c r="J395" t="s">
        <v>185</v>
      </c>
      <c r="L395">
        <v>310</v>
      </c>
      <c r="M395" t="s">
        <v>1798</v>
      </c>
      <c r="N395">
        <v>300</v>
      </c>
      <c r="O395" t="s">
        <v>927</v>
      </c>
      <c r="P395" s="1" t="s">
        <v>923</v>
      </c>
      <c r="Q395" s="25">
        <v>-32.504860999999998</v>
      </c>
      <c r="R395" s="26">
        <v>-54.126193999999998</v>
      </c>
      <c r="S395">
        <v>-54.136499999999998</v>
      </c>
      <c r="T395">
        <v>-46.298999999999999</v>
      </c>
      <c r="U395">
        <v>54.136499999999998</v>
      </c>
      <c r="V395" t="s">
        <v>1539</v>
      </c>
      <c r="W395" t="s">
        <v>15</v>
      </c>
      <c r="X395" t="s">
        <v>17</v>
      </c>
      <c r="Y395" s="1" t="s">
        <v>926</v>
      </c>
    </row>
    <row r="396" spans="1:25" x14ac:dyDescent="0.25">
      <c r="A396" s="4">
        <v>675</v>
      </c>
      <c r="B396" s="9" t="s">
        <v>227</v>
      </c>
      <c r="C396" s="8" t="s">
        <v>49</v>
      </c>
      <c r="D396" s="6" t="s">
        <v>156</v>
      </c>
      <c r="E396" s="10">
        <v>8</v>
      </c>
      <c r="F396">
        <v>44.045174450247302</v>
      </c>
      <c r="G396">
        <v>26.885923341074101</v>
      </c>
      <c r="H396" t="s">
        <v>924</v>
      </c>
      <c r="I396" t="s">
        <v>24</v>
      </c>
      <c r="J396" t="s">
        <v>185</v>
      </c>
      <c r="L396">
        <v>310</v>
      </c>
      <c r="M396" t="s">
        <v>1798</v>
      </c>
      <c r="N396">
        <v>300</v>
      </c>
      <c r="O396" t="s">
        <v>927</v>
      </c>
      <c r="P396" s="1" t="s">
        <v>923</v>
      </c>
      <c r="Q396" s="25">
        <v>-32.504860999999998</v>
      </c>
      <c r="R396" s="26">
        <v>-54.126193999999998</v>
      </c>
      <c r="S396">
        <v>-54.136499999999998</v>
      </c>
      <c r="T396">
        <v>-46.298999999999999</v>
      </c>
      <c r="U396">
        <v>54.136499999999998</v>
      </c>
      <c r="V396" t="s">
        <v>1539</v>
      </c>
      <c r="W396" t="s">
        <v>15</v>
      </c>
      <c r="X396" t="s">
        <v>17</v>
      </c>
      <c r="Y396" s="1" t="s">
        <v>926</v>
      </c>
    </row>
    <row r="397" spans="1:25" x14ac:dyDescent="0.25">
      <c r="A397" s="4">
        <v>676</v>
      </c>
      <c r="B397" s="9">
        <v>2</v>
      </c>
      <c r="C397" s="8" t="s">
        <v>931</v>
      </c>
      <c r="D397" s="6" t="s">
        <v>60</v>
      </c>
      <c r="E397" s="10">
        <v>5</v>
      </c>
      <c r="F397">
        <v>3.4058406018828</v>
      </c>
      <c r="G397">
        <v>0.54582731791525096</v>
      </c>
      <c r="H397" t="s">
        <v>221</v>
      </c>
      <c r="I397" t="s">
        <v>24</v>
      </c>
      <c r="J397" t="s">
        <v>185</v>
      </c>
      <c r="K397" s="25" t="s">
        <v>1449</v>
      </c>
      <c r="L397">
        <v>303</v>
      </c>
      <c r="M397" t="s">
        <v>1798</v>
      </c>
      <c r="N397">
        <v>300</v>
      </c>
      <c r="O397" t="s">
        <v>223</v>
      </c>
      <c r="P397" s="1" t="s">
        <v>1052</v>
      </c>
      <c r="Q397" s="25">
        <v>-30.498632000000001</v>
      </c>
      <c r="R397" s="25">
        <v>-54.094054</v>
      </c>
      <c r="S397">
        <v>-52.483899999999998</v>
      </c>
      <c r="T397">
        <v>-44.394300000000001</v>
      </c>
      <c r="U397">
        <v>52.483899999999998</v>
      </c>
      <c r="V397" t="s">
        <v>1539</v>
      </c>
      <c r="W397" t="s">
        <v>15</v>
      </c>
      <c r="X397" t="s">
        <v>16</v>
      </c>
      <c r="Y397" s="1" t="s">
        <v>933</v>
      </c>
    </row>
    <row r="398" spans="1:25" x14ac:dyDescent="0.25">
      <c r="A398" s="4">
        <v>678</v>
      </c>
      <c r="B398" s="9" t="s">
        <v>944</v>
      </c>
      <c r="C398" s="8" t="s">
        <v>931</v>
      </c>
      <c r="D398" s="6" t="s">
        <v>157</v>
      </c>
      <c r="E398" s="10">
        <v>6</v>
      </c>
      <c r="F398">
        <v>8.3484327759153008</v>
      </c>
      <c r="G398">
        <v>3.8718797749223799</v>
      </c>
      <c r="H398" t="s">
        <v>221</v>
      </c>
      <c r="I398" t="s">
        <v>24</v>
      </c>
      <c r="J398" t="s">
        <v>185</v>
      </c>
      <c r="K398" s="25" t="s">
        <v>1449</v>
      </c>
      <c r="L398">
        <v>303</v>
      </c>
      <c r="M398" t="s">
        <v>1798</v>
      </c>
      <c r="N398">
        <v>300</v>
      </c>
      <c r="O398" t="s">
        <v>223</v>
      </c>
      <c r="P398" s="1" t="s">
        <v>1052</v>
      </c>
      <c r="Q398" s="25">
        <v>-30.498632000000001</v>
      </c>
      <c r="R398" s="25">
        <v>-54.094054</v>
      </c>
      <c r="S398">
        <v>-52.483899999999998</v>
      </c>
      <c r="T398">
        <v>-44.394300000000001</v>
      </c>
      <c r="U398">
        <v>52.483899999999998</v>
      </c>
      <c r="V398" t="s">
        <v>1539</v>
      </c>
      <c r="W398" t="s">
        <v>15</v>
      </c>
      <c r="X398" t="s">
        <v>16</v>
      </c>
      <c r="Y398" s="1" t="s">
        <v>933</v>
      </c>
    </row>
    <row r="399" spans="1:25" x14ac:dyDescent="0.25">
      <c r="A399" s="4">
        <v>679</v>
      </c>
      <c r="B399" s="9">
        <v>18</v>
      </c>
      <c r="C399" s="8" t="s">
        <v>931</v>
      </c>
      <c r="D399" s="6" t="s">
        <v>130</v>
      </c>
      <c r="E399" s="10">
        <v>6</v>
      </c>
      <c r="F399">
        <v>8.3935769747669404</v>
      </c>
      <c r="G399">
        <v>2.2097451242972901</v>
      </c>
      <c r="H399" t="s">
        <v>221</v>
      </c>
      <c r="I399" t="s">
        <v>24</v>
      </c>
      <c r="J399" t="s">
        <v>185</v>
      </c>
      <c r="K399" s="25" t="s">
        <v>1449</v>
      </c>
      <c r="L399">
        <v>303</v>
      </c>
      <c r="M399" t="s">
        <v>1798</v>
      </c>
      <c r="N399">
        <v>300</v>
      </c>
      <c r="O399" t="s">
        <v>223</v>
      </c>
      <c r="P399" s="1" t="s">
        <v>1052</v>
      </c>
      <c r="Q399" s="25">
        <v>-30.498632000000001</v>
      </c>
      <c r="R399" s="25">
        <v>-54.094054</v>
      </c>
      <c r="S399">
        <v>-52.483899999999998</v>
      </c>
      <c r="T399">
        <v>-44.394300000000001</v>
      </c>
      <c r="U399">
        <v>52.483899999999998</v>
      </c>
      <c r="V399" t="s">
        <v>1539</v>
      </c>
      <c r="W399" t="s">
        <v>15</v>
      </c>
      <c r="X399" t="s">
        <v>16</v>
      </c>
      <c r="Y399" s="1" t="s">
        <v>933</v>
      </c>
    </row>
    <row r="400" spans="1:25" x14ac:dyDescent="0.25">
      <c r="A400" s="4">
        <v>681</v>
      </c>
      <c r="B400" s="9" t="s">
        <v>945</v>
      </c>
      <c r="C400" s="8" t="s">
        <v>931</v>
      </c>
      <c r="D400" s="6" t="s">
        <v>67</v>
      </c>
      <c r="E400" s="10">
        <v>6</v>
      </c>
      <c r="F400">
        <v>5.6183767363216903</v>
      </c>
      <c r="G400">
        <v>3.7176461282406899</v>
      </c>
      <c r="H400" t="s">
        <v>221</v>
      </c>
      <c r="I400" t="s">
        <v>24</v>
      </c>
      <c r="J400" t="s">
        <v>185</v>
      </c>
      <c r="K400" s="25" t="s">
        <v>1449</v>
      </c>
      <c r="L400">
        <v>303</v>
      </c>
      <c r="M400" t="s">
        <v>1798</v>
      </c>
      <c r="N400">
        <v>300</v>
      </c>
      <c r="O400" t="s">
        <v>223</v>
      </c>
      <c r="P400" s="1" t="s">
        <v>1052</v>
      </c>
      <c r="Q400" s="25">
        <v>-30.498632000000001</v>
      </c>
      <c r="R400" s="25">
        <v>-54.094054</v>
      </c>
      <c r="S400">
        <v>-52.483899999999998</v>
      </c>
      <c r="T400">
        <v>-44.394300000000001</v>
      </c>
      <c r="U400">
        <v>52.483899999999998</v>
      </c>
      <c r="V400" t="s">
        <v>1539</v>
      </c>
      <c r="W400" t="s">
        <v>15</v>
      </c>
      <c r="X400" t="s">
        <v>16</v>
      </c>
      <c r="Y400" s="1" t="s">
        <v>933</v>
      </c>
    </row>
    <row r="401" spans="1:25" x14ac:dyDescent="0.25">
      <c r="A401" s="4">
        <v>682</v>
      </c>
      <c r="B401" s="9" t="s">
        <v>946</v>
      </c>
      <c r="C401" s="8" t="s">
        <v>931</v>
      </c>
      <c r="D401" s="6" t="s">
        <v>67</v>
      </c>
      <c r="E401" s="10">
        <v>6</v>
      </c>
      <c r="F401">
        <v>6.6857596730160704</v>
      </c>
      <c r="G401">
        <v>3.2909409212941299</v>
      </c>
      <c r="H401" t="s">
        <v>221</v>
      </c>
      <c r="I401" t="s">
        <v>24</v>
      </c>
      <c r="J401" t="s">
        <v>185</v>
      </c>
      <c r="K401" s="25" t="s">
        <v>1449</v>
      </c>
      <c r="L401">
        <v>303</v>
      </c>
      <c r="M401" t="s">
        <v>1798</v>
      </c>
      <c r="N401">
        <v>300</v>
      </c>
      <c r="O401" t="s">
        <v>223</v>
      </c>
      <c r="P401" s="1" t="s">
        <v>1052</v>
      </c>
      <c r="Q401" s="25">
        <v>-30.498632000000001</v>
      </c>
      <c r="R401" s="25">
        <v>-54.094054</v>
      </c>
      <c r="S401">
        <v>-52.483899999999998</v>
      </c>
      <c r="T401">
        <v>-44.394300000000001</v>
      </c>
      <c r="U401">
        <v>52.483899999999998</v>
      </c>
      <c r="V401" t="s">
        <v>1539</v>
      </c>
      <c r="W401" t="s">
        <v>15</v>
      </c>
      <c r="X401" t="s">
        <v>16</v>
      </c>
      <c r="Y401" s="1" t="s">
        <v>933</v>
      </c>
    </row>
    <row r="402" spans="1:25" x14ac:dyDescent="0.25">
      <c r="A402" s="4">
        <v>687</v>
      </c>
      <c r="B402" s="9">
        <v>4</v>
      </c>
      <c r="C402" s="8" t="s">
        <v>931</v>
      </c>
      <c r="D402" s="6" t="s">
        <v>59</v>
      </c>
      <c r="E402" s="10">
        <v>5</v>
      </c>
      <c r="F402">
        <v>7.5</v>
      </c>
      <c r="G402">
        <v>2.2999999999999998</v>
      </c>
      <c r="H402" t="s">
        <v>221</v>
      </c>
      <c r="I402" t="s">
        <v>24</v>
      </c>
      <c r="J402" t="s">
        <v>185</v>
      </c>
      <c r="K402" s="25" t="s">
        <v>1449</v>
      </c>
      <c r="L402">
        <v>303</v>
      </c>
      <c r="M402" t="s">
        <v>1798</v>
      </c>
      <c r="N402">
        <v>300</v>
      </c>
      <c r="O402" t="s">
        <v>223</v>
      </c>
      <c r="P402" s="1" t="s">
        <v>1052</v>
      </c>
      <c r="Q402" s="25">
        <v>-30.498632000000001</v>
      </c>
      <c r="R402" s="25">
        <v>-54.094054</v>
      </c>
      <c r="S402">
        <v>-52.483899999999998</v>
      </c>
      <c r="T402">
        <v>-44.394300000000001</v>
      </c>
      <c r="U402">
        <v>52.483899999999998</v>
      </c>
      <c r="V402" t="s">
        <v>1539</v>
      </c>
      <c r="W402" t="s">
        <v>15</v>
      </c>
      <c r="X402" t="s">
        <v>16</v>
      </c>
      <c r="Y402" s="1" t="s">
        <v>936</v>
      </c>
    </row>
    <row r="403" spans="1:25" x14ac:dyDescent="0.25">
      <c r="A403" s="4">
        <v>691</v>
      </c>
      <c r="B403" s="9" t="s">
        <v>937</v>
      </c>
      <c r="C403" s="8" t="s">
        <v>931</v>
      </c>
      <c r="D403" s="6" t="s">
        <v>59</v>
      </c>
      <c r="E403" s="10">
        <v>5</v>
      </c>
      <c r="F403">
        <v>7.38</v>
      </c>
      <c r="G403">
        <v>3.54</v>
      </c>
      <c r="H403" t="s">
        <v>221</v>
      </c>
      <c r="I403" t="s">
        <v>24</v>
      </c>
      <c r="J403" t="s">
        <v>185</v>
      </c>
      <c r="K403" s="25" t="s">
        <v>1449</v>
      </c>
      <c r="L403">
        <v>303</v>
      </c>
      <c r="M403" t="s">
        <v>1798</v>
      </c>
      <c r="N403">
        <v>300</v>
      </c>
      <c r="O403" t="s">
        <v>223</v>
      </c>
      <c r="P403" s="1" t="s">
        <v>1052</v>
      </c>
      <c r="Q403" s="25">
        <v>-30.498632000000001</v>
      </c>
      <c r="R403" s="25">
        <v>-54.094054</v>
      </c>
      <c r="S403">
        <v>-52.483899999999998</v>
      </c>
      <c r="T403">
        <v>-44.394300000000001</v>
      </c>
      <c r="U403">
        <v>52.483899999999998</v>
      </c>
      <c r="V403" t="s">
        <v>1539</v>
      </c>
      <c r="W403" t="s">
        <v>15</v>
      </c>
      <c r="X403" t="s">
        <v>16</v>
      </c>
      <c r="Y403" s="1" t="s">
        <v>936</v>
      </c>
    </row>
    <row r="404" spans="1:25" x14ac:dyDescent="0.25">
      <c r="A404" s="4">
        <v>698</v>
      </c>
      <c r="B404" s="9" t="s">
        <v>938</v>
      </c>
      <c r="C404" s="8" t="s">
        <v>931</v>
      </c>
      <c r="D404" s="6" t="s">
        <v>59</v>
      </c>
      <c r="E404" s="10">
        <v>5</v>
      </c>
      <c r="F404">
        <v>7.3</v>
      </c>
      <c r="G404">
        <v>2.76</v>
      </c>
      <c r="H404" t="s">
        <v>221</v>
      </c>
      <c r="I404" t="s">
        <v>24</v>
      </c>
      <c r="J404" t="s">
        <v>185</v>
      </c>
      <c r="K404" s="25" t="s">
        <v>1449</v>
      </c>
      <c r="L404">
        <v>303</v>
      </c>
      <c r="M404" t="s">
        <v>1798</v>
      </c>
      <c r="N404">
        <v>300</v>
      </c>
      <c r="O404" t="s">
        <v>223</v>
      </c>
      <c r="P404" s="1" t="s">
        <v>1052</v>
      </c>
      <c r="Q404" s="25">
        <v>-30.498632000000001</v>
      </c>
      <c r="R404" s="25">
        <v>-54.094054</v>
      </c>
      <c r="S404">
        <v>-52.483899999999998</v>
      </c>
      <c r="T404">
        <v>-44.394300000000001</v>
      </c>
      <c r="U404">
        <v>52.483899999999998</v>
      </c>
      <c r="V404" t="s">
        <v>1539</v>
      </c>
      <c r="W404" t="s">
        <v>15</v>
      </c>
      <c r="X404" t="s">
        <v>16</v>
      </c>
      <c r="Y404" s="1" t="s">
        <v>936</v>
      </c>
    </row>
    <row r="405" spans="1:25" x14ac:dyDescent="0.25">
      <c r="A405" s="4">
        <v>702</v>
      </c>
      <c r="B405" s="9">
        <v>18</v>
      </c>
      <c r="C405" s="8" t="s">
        <v>931</v>
      </c>
      <c r="D405" s="6" t="s">
        <v>59</v>
      </c>
      <c r="E405" s="10">
        <v>5</v>
      </c>
      <c r="F405">
        <v>6.97</v>
      </c>
      <c r="G405">
        <v>2.11</v>
      </c>
      <c r="H405" t="s">
        <v>221</v>
      </c>
      <c r="I405" t="s">
        <v>24</v>
      </c>
      <c r="J405" t="s">
        <v>185</v>
      </c>
      <c r="K405" s="25" t="s">
        <v>1449</v>
      </c>
      <c r="L405">
        <v>303</v>
      </c>
      <c r="M405" t="s">
        <v>1798</v>
      </c>
      <c r="N405">
        <v>300</v>
      </c>
      <c r="O405" t="s">
        <v>223</v>
      </c>
      <c r="P405" s="1" t="s">
        <v>1052</v>
      </c>
      <c r="Q405" s="25">
        <v>-30.498632000000001</v>
      </c>
      <c r="R405" s="25">
        <v>-54.094054</v>
      </c>
      <c r="S405">
        <v>-52.483899999999998</v>
      </c>
      <c r="T405">
        <v>-44.394300000000001</v>
      </c>
      <c r="U405">
        <v>52.483899999999998</v>
      </c>
      <c r="V405" t="s">
        <v>1539</v>
      </c>
      <c r="W405" t="s">
        <v>15</v>
      </c>
      <c r="X405" t="s">
        <v>16</v>
      </c>
      <c r="Y405" s="1" t="s">
        <v>936</v>
      </c>
    </row>
    <row r="406" spans="1:25" x14ac:dyDescent="0.25">
      <c r="A406" s="4">
        <v>703</v>
      </c>
      <c r="B406" s="9">
        <v>22</v>
      </c>
      <c r="C406" s="8" t="s">
        <v>931</v>
      </c>
      <c r="D406" s="6" t="s">
        <v>59</v>
      </c>
      <c r="E406" s="10">
        <v>5</v>
      </c>
      <c r="F406">
        <v>6.23</v>
      </c>
      <c r="G406">
        <v>1.73</v>
      </c>
      <c r="H406" t="s">
        <v>221</v>
      </c>
      <c r="I406" t="s">
        <v>24</v>
      </c>
      <c r="J406" t="s">
        <v>185</v>
      </c>
      <c r="K406" s="25" t="s">
        <v>1449</v>
      </c>
      <c r="L406">
        <v>303</v>
      </c>
      <c r="M406" t="s">
        <v>1798</v>
      </c>
      <c r="N406">
        <v>300</v>
      </c>
      <c r="O406" t="s">
        <v>223</v>
      </c>
      <c r="P406" s="1" t="s">
        <v>1052</v>
      </c>
      <c r="Q406" s="25">
        <v>-30.498632000000001</v>
      </c>
      <c r="R406" s="25">
        <v>-54.094054</v>
      </c>
      <c r="S406">
        <v>-52.483899999999998</v>
      </c>
      <c r="T406">
        <v>-44.394300000000001</v>
      </c>
      <c r="U406">
        <v>52.483899999999998</v>
      </c>
      <c r="V406" t="s">
        <v>1539</v>
      </c>
      <c r="W406" t="s">
        <v>15</v>
      </c>
      <c r="X406" t="s">
        <v>16</v>
      </c>
      <c r="Y406" s="1" t="s">
        <v>936</v>
      </c>
    </row>
    <row r="407" spans="1:25" x14ac:dyDescent="0.25">
      <c r="A407" s="4">
        <v>704</v>
      </c>
      <c r="B407" s="9">
        <v>33</v>
      </c>
      <c r="C407" s="8" t="s">
        <v>931</v>
      </c>
      <c r="D407" s="6" t="s">
        <v>59</v>
      </c>
      <c r="E407" s="10">
        <v>5</v>
      </c>
      <c r="F407">
        <v>7.08</v>
      </c>
      <c r="G407">
        <v>3.2</v>
      </c>
      <c r="H407" t="s">
        <v>221</v>
      </c>
      <c r="I407" t="s">
        <v>24</v>
      </c>
      <c r="J407" t="s">
        <v>185</v>
      </c>
      <c r="K407" s="25" t="s">
        <v>1449</v>
      </c>
      <c r="L407">
        <v>303</v>
      </c>
      <c r="M407" t="s">
        <v>1798</v>
      </c>
      <c r="N407">
        <v>300</v>
      </c>
      <c r="O407" t="s">
        <v>223</v>
      </c>
      <c r="P407" s="1" t="s">
        <v>1052</v>
      </c>
      <c r="Q407" s="25">
        <v>-30.498632000000001</v>
      </c>
      <c r="R407" s="25">
        <v>-54.094054</v>
      </c>
      <c r="S407">
        <v>-52.483899999999998</v>
      </c>
      <c r="T407">
        <v>-44.394300000000001</v>
      </c>
      <c r="U407">
        <v>52.483899999999998</v>
      </c>
      <c r="V407" t="s">
        <v>1539</v>
      </c>
      <c r="W407" t="s">
        <v>15</v>
      </c>
      <c r="X407" t="s">
        <v>16</v>
      </c>
      <c r="Y407" s="1" t="s">
        <v>936</v>
      </c>
    </row>
    <row r="408" spans="1:25" x14ac:dyDescent="0.25">
      <c r="A408" s="4">
        <v>714</v>
      </c>
      <c r="B408" s="9">
        <v>35</v>
      </c>
      <c r="C408" s="8" t="s">
        <v>931</v>
      </c>
      <c r="D408" s="6" t="s">
        <v>59</v>
      </c>
      <c r="E408" s="10">
        <v>5</v>
      </c>
      <c r="F408">
        <v>7.32</v>
      </c>
      <c r="G408">
        <v>3.44</v>
      </c>
      <c r="H408" t="s">
        <v>221</v>
      </c>
      <c r="I408" t="s">
        <v>24</v>
      </c>
      <c r="J408" t="s">
        <v>185</v>
      </c>
      <c r="K408" s="25" t="s">
        <v>1449</v>
      </c>
      <c r="L408">
        <v>303</v>
      </c>
      <c r="M408" t="s">
        <v>1798</v>
      </c>
      <c r="N408">
        <v>300</v>
      </c>
      <c r="O408" t="s">
        <v>223</v>
      </c>
      <c r="P408" s="1" t="s">
        <v>1052</v>
      </c>
      <c r="Q408" s="25">
        <v>-30.498632000000001</v>
      </c>
      <c r="R408" s="25">
        <v>-54.094054</v>
      </c>
      <c r="S408">
        <v>-52.483899999999998</v>
      </c>
      <c r="T408">
        <v>-44.394300000000001</v>
      </c>
      <c r="U408">
        <v>52.483899999999998</v>
      </c>
      <c r="V408" t="s">
        <v>1539</v>
      </c>
      <c r="W408" t="s">
        <v>15</v>
      </c>
      <c r="X408" t="s">
        <v>16</v>
      </c>
      <c r="Y408" s="1" t="s">
        <v>936</v>
      </c>
    </row>
    <row r="409" spans="1:25" x14ac:dyDescent="0.25">
      <c r="A409" s="4">
        <v>718</v>
      </c>
      <c r="B409" s="9">
        <v>36</v>
      </c>
      <c r="C409" s="8" t="s">
        <v>931</v>
      </c>
      <c r="D409" s="6" t="s">
        <v>59</v>
      </c>
      <c r="E409" s="10">
        <v>5</v>
      </c>
      <c r="F409">
        <v>7.01</v>
      </c>
      <c r="G409">
        <v>2.35</v>
      </c>
      <c r="H409" t="s">
        <v>221</v>
      </c>
      <c r="I409" t="s">
        <v>24</v>
      </c>
      <c r="J409" t="s">
        <v>185</v>
      </c>
      <c r="K409" s="25" t="s">
        <v>1449</v>
      </c>
      <c r="L409">
        <v>303</v>
      </c>
      <c r="M409" t="s">
        <v>1798</v>
      </c>
      <c r="N409">
        <v>300</v>
      </c>
      <c r="O409" t="s">
        <v>223</v>
      </c>
      <c r="P409" s="1" t="s">
        <v>1052</v>
      </c>
      <c r="Q409" s="25">
        <v>-30.498632000000001</v>
      </c>
      <c r="R409" s="25">
        <v>-54.094054</v>
      </c>
      <c r="S409">
        <v>-52.483899999999998</v>
      </c>
      <c r="T409">
        <v>-44.394300000000001</v>
      </c>
      <c r="U409">
        <v>52.483899999999998</v>
      </c>
      <c r="V409" t="s">
        <v>1539</v>
      </c>
      <c r="W409" t="s">
        <v>15</v>
      </c>
      <c r="X409" t="s">
        <v>16</v>
      </c>
      <c r="Y409" s="1" t="s">
        <v>936</v>
      </c>
    </row>
    <row r="410" spans="1:25" x14ac:dyDescent="0.25">
      <c r="A410" s="4">
        <v>722</v>
      </c>
      <c r="B410" s="9" t="s">
        <v>939</v>
      </c>
      <c r="C410" s="8" t="s">
        <v>931</v>
      </c>
      <c r="D410" s="6" t="s">
        <v>60</v>
      </c>
      <c r="E410" s="10">
        <v>5</v>
      </c>
      <c r="F410">
        <v>9.6679515761788899</v>
      </c>
      <c r="G410">
        <v>1.2411980374639</v>
      </c>
      <c r="H410" t="s">
        <v>221</v>
      </c>
      <c r="I410" t="s">
        <v>24</v>
      </c>
      <c r="J410" t="s">
        <v>185</v>
      </c>
      <c r="K410" s="25" t="s">
        <v>1449</v>
      </c>
      <c r="L410">
        <v>303</v>
      </c>
      <c r="M410" t="s">
        <v>1798</v>
      </c>
      <c r="N410">
        <v>300</v>
      </c>
      <c r="O410" t="s">
        <v>223</v>
      </c>
      <c r="P410" s="1" t="s">
        <v>1052</v>
      </c>
      <c r="Q410" s="25">
        <v>-30.498632000000001</v>
      </c>
      <c r="R410" s="25">
        <v>-54.094054</v>
      </c>
      <c r="S410">
        <v>-52.483899999999998</v>
      </c>
      <c r="T410">
        <v>-44.394300000000001</v>
      </c>
      <c r="U410">
        <v>52.483899999999998</v>
      </c>
      <c r="V410" t="s">
        <v>1539</v>
      </c>
      <c r="W410" t="s">
        <v>15</v>
      </c>
      <c r="X410" t="s">
        <v>16</v>
      </c>
      <c r="Y410" s="1" t="s">
        <v>936</v>
      </c>
    </row>
    <row r="411" spans="1:25" x14ac:dyDescent="0.25">
      <c r="A411" s="4">
        <v>723</v>
      </c>
      <c r="B411" s="9">
        <v>30</v>
      </c>
      <c r="C411" s="8" t="s">
        <v>931</v>
      </c>
      <c r="D411" s="6" t="s">
        <v>60</v>
      </c>
      <c r="E411" s="10">
        <v>5</v>
      </c>
      <c r="F411">
        <v>3.8946977074973699</v>
      </c>
      <c r="G411">
        <v>0.84541902155479198</v>
      </c>
      <c r="H411" t="s">
        <v>221</v>
      </c>
      <c r="I411" t="s">
        <v>24</v>
      </c>
      <c r="J411" t="s">
        <v>185</v>
      </c>
      <c r="K411" s="25" t="s">
        <v>1449</v>
      </c>
      <c r="L411">
        <v>303</v>
      </c>
      <c r="M411" t="s">
        <v>1798</v>
      </c>
      <c r="N411">
        <v>300</v>
      </c>
      <c r="O411" t="s">
        <v>223</v>
      </c>
      <c r="P411" s="1" t="s">
        <v>1052</v>
      </c>
      <c r="Q411" s="25">
        <v>-30.498632000000001</v>
      </c>
      <c r="R411" s="25">
        <v>-54.094054</v>
      </c>
      <c r="S411">
        <v>-52.483899999999998</v>
      </c>
      <c r="T411">
        <v>-44.394300000000001</v>
      </c>
      <c r="U411">
        <v>52.483899999999998</v>
      </c>
      <c r="V411" t="s">
        <v>1539</v>
      </c>
      <c r="W411" t="s">
        <v>15</v>
      </c>
      <c r="X411" t="s">
        <v>16</v>
      </c>
      <c r="Y411" s="1" t="s">
        <v>936</v>
      </c>
    </row>
    <row r="412" spans="1:25" x14ac:dyDescent="0.25">
      <c r="A412" s="4">
        <v>726</v>
      </c>
      <c r="B412" s="9" t="s">
        <v>154</v>
      </c>
      <c r="C412" s="8" t="s">
        <v>931</v>
      </c>
      <c r="D412" s="6" t="s">
        <v>28</v>
      </c>
      <c r="E412" s="10">
        <v>6</v>
      </c>
      <c r="F412">
        <v>8.2195922649126807</v>
      </c>
      <c r="G412">
        <v>3.30704736368327</v>
      </c>
      <c r="H412" t="s">
        <v>221</v>
      </c>
      <c r="I412" t="s">
        <v>24</v>
      </c>
      <c r="J412" t="s">
        <v>185</v>
      </c>
      <c r="K412" s="25" t="s">
        <v>1449</v>
      </c>
      <c r="L412">
        <v>303</v>
      </c>
      <c r="M412" t="s">
        <v>1798</v>
      </c>
      <c r="N412">
        <v>300</v>
      </c>
      <c r="O412" t="s">
        <v>223</v>
      </c>
      <c r="P412" s="1" t="s">
        <v>1052</v>
      </c>
      <c r="Q412" s="25">
        <v>-30.498632000000001</v>
      </c>
      <c r="R412" s="25">
        <v>-54.094054</v>
      </c>
      <c r="S412">
        <v>-52.483899999999998</v>
      </c>
      <c r="T412">
        <v>-44.394300000000001</v>
      </c>
      <c r="U412">
        <v>52.483899999999998</v>
      </c>
      <c r="V412" t="s">
        <v>1539</v>
      </c>
      <c r="W412" t="s">
        <v>15</v>
      </c>
      <c r="X412" t="s">
        <v>16</v>
      </c>
      <c r="Y412" s="1" t="s">
        <v>936</v>
      </c>
    </row>
    <row r="413" spans="1:25" x14ac:dyDescent="0.25">
      <c r="A413" s="4">
        <v>727</v>
      </c>
      <c r="B413" s="9" t="s">
        <v>154</v>
      </c>
      <c r="C413" s="8" t="s">
        <v>931</v>
      </c>
      <c r="D413" s="6" t="s">
        <v>28</v>
      </c>
      <c r="E413" s="10">
        <v>6</v>
      </c>
      <c r="F413">
        <v>6.2137987070376202</v>
      </c>
      <c r="G413">
        <v>2.0762622514273499</v>
      </c>
      <c r="H413" t="s">
        <v>221</v>
      </c>
      <c r="I413" t="s">
        <v>24</v>
      </c>
      <c r="J413" t="s">
        <v>185</v>
      </c>
      <c r="K413" s="25" t="s">
        <v>1449</v>
      </c>
      <c r="L413">
        <v>303</v>
      </c>
      <c r="M413" t="s">
        <v>1798</v>
      </c>
      <c r="N413">
        <v>300</v>
      </c>
      <c r="O413" t="s">
        <v>223</v>
      </c>
      <c r="P413" s="1" t="s">
        <v>1052</v>
      </c>
      <c r="Q413" s="25">
        <v>-30.498632000000001</v>
      </c>
      <c r="R413" s="25">
        <v>-54.094054</v>
      </c>
      <c r="S413">
        <v>-52.483899999999998</v>
      </c>
      <c r="T413">
        <v>-44.394300000000001</v>
      </c>
      <c r="U413">
        <v>52.483899999999998</v>
      </c>
      <c r="V413" t="s">
        <v>1539</v>
      </c>
      <c r="W413" t="s">
        <v>15</v>
      </c>
      <c r="X413" t="s">
        <v>16</v>
      </c>
      <c r="Y413" s="1" t="s">
        <v>936</v>
      </c>
    </row>
    <row r="414" spans="1:25" x14ac:dyDescent="0.25">
      <c r="A414" s="4">
        <v>728</v>
      </c>
      <c r="B414" s="9" t="s">
        <v>154</v>
      </c>
      <c r="C414" s="8" t="s">
        <v>931</v>
      </c>
      <c r="D414" s="6" t="s">
        <v>28</v>
      </c>
      <c r="E414" s="10">
        <v>6</v>
      </c>
      <c r="F414">
        <v>8.1634579569515697</v>
      </c>
      <c r="G414">
        <v>2.7313422573021899</v>
      </c>
      <c r="H414" t="s">
        <v>221</v>
      </c>
      <c r="I414" t="s">
        <v>24</v>
      </c>
      <c r="J414" t="s">
        <v>185</v>
      </c>
      <c r="K414" s="25" t="s">
        <v>1449</v>
      </c>
      <c r="L414">
        <v>303</v>
      </c>
      <c r="M414" t="s">
        <v>1798</v>
      </c>
      <c r="N414">
        <v>300</v>
      </c>
      <c r="O414" t="s">
        <v>223</v>
      </c>
      <c r="P414" s="1" t="s">
        <v>1052</v>
      </c>
      <c r="Q414" s="25">
        <v>-30.498632000000001</v>
      </c>
      <c r="R414" s="25">
        <v>-54.094054</v>
      </c>
      <c r="S414">
        <v>-52.483899999999998</v>
      </c>
      <c r="T414">
        <v>-44.394300000000001</v>
      </c>
      <c r="U414">
        <v>52.483899999999998</v>
      </c>
      <c r="V414" t="s">
        <v>1539</v>
      </c>
      <c r="W414" t="s">
        <v>15</v>
      </c>
      <c r="X414" t="s">
        <v>16</v>
      </c>
      <c r="Y414" s="1" t="s">
        <v>936</v>
      </c>
    </row>
    <row r="415" spans="1:25" x14ac:dyDescent="0.25">
      <c r="A415" s="4">
        <v>730</v>
      </c>
      <c r="B415" s="9">
        <v>26</v>
      </c>
      <c r="C415" s="8" t="s">
        <v>931</v>
      </c>
      <c r="D415" s="6" t="s">
        <v>161</v>
      </c>
      <c r="E415" s="10">
        <v>7</v>
      </c>
      <c r="F415">
        <v>9.17842108674337</v>
      </c>
      <c r="G415">
        <v>2.3518953727109602</v>
      </c>
      <c r="H415" t="s">
        <v>221</v>
      </c>
      <c r="I415" t="s">
        <v>24</v>
      </c>
      <c r="J415" t="s">
        <v>185</v>
      </c>
      <c r="K415" s="25" t="s">
        <v>1449</v>
      </c>
      <c r="L415">
        <v>303</v>
      </c>
      <c r="M415" t="s">
        <v>1798</v>
      </c>
      <c r="N415">
        <v>300</v>
      </c>
      <c r="O415" t="s">
        <v>223</v>
      </c>
      <c r="P415" s="1" t="s">
        <v>1052</v>
      </c>
      <c r="Q415" s="25">
        <v>-30.498632000000001</v>
      </c>
      <c r="R415" s="25">
        <v>-54.094054</v>
      </c>
      <c r="S415">
        <v>-52.483899999999998</v>
      </c>
      <c r="T415">
        <v>-44.394300000000001</v>
      </c>
      <c r="U415">
        <v>52.483899999999998</v>
      </c>
      <c r="V415" t="s">
        <v>1539</v>
      </c>
      <c r="W415" t="s">
        <v>15</v>
      </c>
      <c r="X415" t="s">
        <v>16</v>
      </c>
      <c r="Y415" s="1" t="s">
        <v>936</v>
      </c>
    </row>
    <row r="416" spans="1:25" x14ac:dyDescent="0.25">
      <c r="A416" s="4">
        <v>731</v>
      </c>
      <c r="B416" s="9" t="s">
        <v>179</v>
      </c>
      <c r="C416" s="8" t="s">
        <v>931</v>
      </c>
      <c r="D416" s="6" t="s">
        <v>130</v>
      </c>
      <c r="E416" s="10">
        <v>6</v>
      </c>
      <c r="F416">
        <v>12.445428898883099</v>
      </c>
      <c r="G416">
        <v>3.0258799768669098</v>
      </c>
      <c r="H416" t="s">
        <v>221</v>
      </c>
      <c r="I416" t="s">
        <v>24</v>
      </c>
      <c r="J416" t="s">
        <v>185</v>
      </c>
      <c r="K416" s="25" t="s">
        <v>1449</v>
      </c>
      <c r="L416">
        <v>303</v>
      </c>
      <c r="M416" t="s">
        <v>1798</v>
      </c>
      <c r="N416">
        <v>300</v>
      </c>
      <c r="O416" t="s">
        <v>223</v>
      </c>
      <c r="P416" s="1" t="s">
        <v>1052</v>
      </c>
      <c r="Q416" s="25">
        <v>-30.498632000000001</v>
      </c>
      <c r="R416" s="25">
        <v>-54.094054</v>
      </c>
      <c r="S416">
        <v>-52.483899999999998</v>
      </c>
      <c r="T416">
        <v>-44.394300000000001</v>
      </c>
      <c r="U416">
        <v>52.483899999999998</v>
      </c>
      <c r="V416" t="s">
        <v>1539</v>
      </c>
      <c r="W416" t="s">
        <v>15</v>
      </c>
      <c r="X416" t="s">
        <v>16</v>
      </c>
      <c r="Y416" s="1" t="s">
        <v>936</v>
      </c>
    </row>
    <row r="417" spans="1:25" x14ac:dyDescent="0.25">
      <c r="A417" s="4">
        <v>733</v>
      </c>
      <c r="B417" s="9" t="s">
        <v>180</v>
      </c>
      <c r="C417" s="8" t="s">
        <v>931</v>
      </c>
      <c r="D417" s="6" t="s">
        <v>67</v>
      </c>
      <c r="E417" s="10">
        <v>6</v>
      </c>
      <c r="F417">
        <v>10.152855835885999</v>
      </c>
      <c r="G417">
        <v>6.8176255121694203</v>
      </c>
      <c r="H417" t="s">
        <v>221</v>
      </c>
      <c r="I417" t="s">
        <v>24</v>
      </c>
      <c r="J417" t="s">
        <v>185</v>
      </c>
      <c r="K417" s="25" t="s">
        <v>1449</v>
      </c>
      <c r="L417">
        <v>303</v>
      </c>
      <c r="M417" t="s">
        <v>1798</v>
      </c>
      <c r="N417">
        <v>300</v>
      </c>
      <c r="O417" t="s">
        <v>223</v>
      </c>
      <c r="P417" s="1" t="s">
        <v>1052</v>
      </c>
      <c r="Q417" s="25">
        <v>-30.498632000000001</v>
      </c>
      <c r="R417" s="25">
        <v>-54.094054</v>
      </c>
      <c r="S417">
        <v>-52.483899999999998</v>
      </c>
      <c r="T417">
        <v>-44.394300000000001</v>
      </c>
      <c r="U417">
        <v>52.483899999999998</v>
      </c>
      <c r="V417" t="s">
        <v>1539</v>
      </c>
      <c r="W417" t="s">
        <v>15</v>
      </c>
      <c r="X417" t="s">
        <v>16</v>
      </c>
      <c r="Y417" s="1" t="s">
        <v>936</v>
      </c>
    </row>
    <row r="418" spans="1:25" x14ac:dyDescent="0.25">
      <c r="A418" s="4">
        <v>734</v>
      </c>
      <c r="B418" s="9" t="s">
        <v>181</v>
      </c>
      <c r="C418" s="8" t="s">
        <v>931</v>
      </c>
      <c r="D418" s="6" t="s">
        <v>67</v>
      </c>
      <c r="E418" s="10">
        <v>6</v>
      </c>
      <c r="F418">
        <v>12.6741339762082</v>
      </c>
      <c r="G418">
        <v>8.3252631968631601</v>
      </c>
      <c r="H418" t="s">
        <v>221</v>
      </c>
      <c r="I418" t="s">
        <v>24</v>
      </c>
      <c r="J418" t="s">
        <v>185</v>
      </c>
      <c r="K418" s="25" t="s">
        <v>1449</v>
      </c>
      <c r="L418">
        <v>303</v>
      </c>
      <c r="M418" t="s">
        <v>1798</v>
      </c>
      <c r="N418">
        <v>300</v>
      </c>
      <c r="O418" t="s">
        <v>223</v>
      </c>
      <c r="P418" s="1" t="s">
        <v>1052</v>
      </c>
      <c r="Q418" s="25">
        <v>-30.498632000000001</v>
      </c>
      <c r="R418" s="25">
        <v>-54.094054</v>
      </c>
      <c r="S418">
        <v>-52.483899999999998</v>
      </c>
      <c r="T418">
        <v>-44.394300000000001</v>
      </c>
      <c r="U418">
        <v>52.483899999999998</v>
      </c>
      <c r="V418" t="s">
        <v>1539</v>
      </c>
      <c r="W418" t="s">
        <v>15</v>
      </c>
      <c r="X418" t="s">
        <v>16</v>
      </c>
      <c r="Y418" s="1" t="s">
        <v>936</v>
      </c>
    </row>
    <row r="419" spans="1:25" x14ac:dyDescent="0.25">
      <c r="A419" s="4">
        <v>736</v>
      </c>
      <c r="B419" s="9" t="s">
        <v>940</v>
      </c>
      <c r="C419" s="8" t="s">
        <v>931</v>
      </c>
      <c r="D419" s="6" t="s">
        <v>157</v>
      </c>
      <c r="E419" s="10">
        <v>6</v>
      </c>
      <c r="F419">
        <v>14.5314743460605</v>
      </c>
      <c r="G419">
        <v>5.1837330292471497</v>
      </c>
      <c r="H419" t="s">
        <v>221</v>
      </c>
      <c r="I419" t="s">
        <v>24</v>
      </c>
      <c r="J419" t="s">
        <v>185</v>
      </c>
      <c r="K419" s="25" t="s">
        <v>1449</v>
      </c>
      <c r="L419">
        <v>303</v>
      </c>
      <c r="M419" t="s">
        <v>1798</v>
      </c>
      <c r="N419">
        <v>300</v>
      </c>
      <c r="O419" t="s">
        <v>223</v>
      </c>
      <c r="P419" s="1" t="s">
        <v>1052</v>
      </c>
      <c r="Q419" s="25">
        <v>-30.498632000000001</v>
      </c>
      <c r="R419" s="25">
        <v>-54.094054</v>
      </c>
      <c r="S419">
        <v>-52.483899999999998</v>
      </c>
      <c r="T419">
        <v>-44.394300000000001</v>
      </c>
      <c r="U419">
        <v>52.483899999999998</v>
      </c>
      <c r="V419" t="s">
        <v>1539</v>
      </c>
      <c r="W419" t="s">
        <v>15</v>
      </c>
      <c r="X419" t="s">
        <v>16</v>
      </c>
      <c r="Y419" s="1" t="s">
        <v>936</v>
      </c>
    </row>
    <row r="420" spans="1:25" x14ac:dyDescent="0.25">
      <c r="A420" s="4">
        <v>737</v>
      </c>
      <c r="B420" s="9" t="s">
        <v>941</v>
      </c>
      <c r="C420" s="8" t="s">
        <v>931</v>
      </c>
      <c r="D420" s="6" t="s">
        <v>157</v>
      </c>
      <c r="E420" s="10">
        <v>6</v>
      </c>
      <c r="F420">
        <v>13.6748563280198</v>
      </c>
      <c r="G420">
        <v>4.6013876042832402</v>
      </c>
      <c r="H420" t="s">
        <v>221</v>
      </c>
      <c r="I420" t="s">
        <v>24</v>
      </c>
      <c r="J420" t="s">
        <v>185</v>
      </c>
      <c r="K420" s="25" t="s">
        <v>1449</v>
      </c>
      <c r="L420">
        <v>303</v>
      </c>
      <c r="M420" t="s">
        <v>1798</v>
      </c>
      <c r="N420">
        <v>300</v>
      </c>
      <c r="O420" t="s">
        <v>223</v>
      </c>
      <c r="P420" s="1" t="s">
        <v>1052</v>
      </c>
      <c r="Q420" s="25">
        <v>-30.498632000000001</v>
      </c>
      <c r="R420" s="25">
        <v>-54.094054</v>
      </c>
      <c r="S420">
        <v>-52.483899999999998</v>
      </c>
      <c r="T420">
        <v>-44.394300000000001</v>
      </c>
      <c r="U420">
        <v>52.483899999999998</v>
      </c>
      <c r="V420" t="s">
        <v>1539</v>
      </c>
      <c r="W420" t="s">
        <v>15</v>
      </c>
      <c r="X420" t="s">
        <v>16</v>
      </c>
      <c r="Y420" s="1" t="s">
        <v>936</v>
      </c>
    </row>
    <row r="421" spans="1:25" x14ac:dyDescent="0.25">
      <c r="A421" s="4">
        <v>738</v>
      </c>
      <c r="B421" s="9" t="s">
        <v>942</v>
      </c>
      <c r="C421" s="8" t="s">
        <v>931</v>
      </c>
      <c r="D421" s="6" t="s">
        <v>64</v>
      </c>
      <c r="E421" s="10">
        <v>8</v>
      </c>
      <c r="F421">
        <v>9.6667526017220702</v>
      </c>
      <c r="G421">
        <v>1.39023417045043</v>
      </c>
      <c r="H421" t="s">
        <v>221</v>
      </c>
      <c r="I421" t="s">
        <v>24</v>
      </c>
      <c r="J421" t="s">
        <v>185</v>
      </c>
      <c r="K421" s="25" t="s">
        <v>1449</v>
      </c>
      <c r="L421">
        <v>303</v>
      </c>
      <c r="M421" t="s">
        <v>1798</v>
      </c>
      <c r="N421">
        <v>300</v>
      </c>
      <c r="O421" t="s">
        <v>223</v>
      </c>
      <c r="P421" s="1" t="s">
        <v>1052</v>
      </c>
      <c r="Q421" s="25">
        <v>-30.498632000000001</v>
      </c>
      <c r="R421" s="25">
        <v>-54.094054</v>
      </c>
      <c r="S421">
        <v>-52.483899999999998</v>
      </c>
      <c r="T421">
        <v>-44.394300000000001</v>
      </c>
      <c r="U421">
        <v>52.483899999999998</v>
      </c>
      <c r="V421" t="s">
        <v>1539</v>
      </c>
      <c r="W421" t="s">
        <v>15</v>
      </c>
      <c r="X421" t="s">
        <v>16</v>
      </c>
      <c r="Y421" s="1" t="s">
        <v>936</v>
      </c>
    </row>
    <row r="422" spans="1:25" x14ac:dyDescent="0.25">
      <c r="A422" s="4">
        <v>739</v>
      </c>
      <c r="B422" s="9" t="s">
        <v>943</v>
      </c>
      <c r="C422" s="8" t="s">
        <v>931</v>
      </c>
      <c r="D422" s="6" t="s">
        <v>64</v>
      </c>
      <c r="E422" s="10">
        <v>8</v>
      </c>
      <c r="F422">
        <v>7.9290247838714398</v>
      </c>
      <c r="G422">
        <v>1.0241645061589799</v>
      </c>
      <c r="H422" t="s">
        <v>221</v>
      </c>
      <c r="I422" t="s">
        <v>24</v>
      </c>
      <c r="J422" t="s">
        <v>185</v>
      </c>
      <c r="K422" s="25" t="s">
        <v>1449</v>
      </c>
      <c r="L422">
        <v>303</v>
      </c>
      <c r="M422" t="s">
        <v>1798</v>
      </c>
      <c r="N422">
        <v>300</v>
      </c>
      <c r="O422" t="s">
        <v>223</v>
      </c>
      <c r="P422" s="1" t="s">
        <v>1052</v>
      </c>
      <c r="Q422" s="25">
        <v>-30.498632000000001</v>
      </c>
      <c r="R422" s="25">
        <v>-54.094054</v>
      </c>
      <c r="S422">
        <v>-52.483899999999998</v>
      </c>
      <c r="T422">
        <v>-44.394300000000001</v>
      </c>
      <c r="U422">
        <v>52.483899999999998</v>
      </c>
      <c r="V422" t="s">
        <v>1539</v>
      </c>
      <c r="W422" t="s">
        <v>15</v>
      </c>
      <c r="X422" t="s">
        <v>16</v>
      </c>
      <c r="Y422" s="1" t="s">
        <v>936</v>
      </c>
    </row>
    <row r="423" spans="1:25" x14ac:dyDescent="0.25">
      <c r="A423" s="4">
        <v>740</v>
      </c>
      <c r="B423" s="9">
        <v>9</v>
      </c>
      <c r="C423" s="8" t="s">
        <v>931</v>
      </c>
      <c r="D423" s="6" t="s">
        <v>295</v>
      </c>
      <c r="E423" s="10">
        <v>7</v>
      </c>
      <c r="F423">
        <v>10.3298889790518</v>
      </c>
      <c r="G423">
        <v>2.2266285232902101</v>
      </c>
      <c r="H423" t="s">
        <v>221</v>
      </c>
      <c r="I423" t="s">
        <v>24</v>
      </c>
      <c r="J423" t="s">
        <v>185</v>
      </c>
      <c r="K423" s="25" t="s">
        <v>1449</v>
      </c>
      <c r="L423">
        <v>303</v>
      </c>
      <c r="M423" t="s">
        <v>1798</v>
      </c>
      <c r="N423">
        <v>300</v>
      </c>
      <c r="O423" t="s">
        <v>223</v>
      </c>
      <c r="P423" s="1" t="s">
        <v>1052</v>
      </c>
      <c r="Q423" s="25">
        <v>-30.498632000000001</v>
      </c>
      <c r="R423" s="25">
        <v>-54.094054</v>
      </c>
      <c r="S423">
        <v>-52.483899999999998</v>
      </c>
      <c r="T423">
        <v>-44.394300000000001</v>
      </c>
      <c r="U423">
        <v>52.483899999999998</v>
      </c>
      <c r="V423" t="s">
        <v>1539</v>
      </c>
      <c r="W423" t="s">
        <v>15</v>
      </c>
      <c r="X423" t="s">
        <v>16</v>
      </c>
      <c r="Y423" s="1" t="s">
        <v>936</v>
      </c>
    </row>
    <row r="424" spans="1:25" x14ac:dyDescent="0.25">
      <c r="A424" s="4">
        <v>741</v>
      </c>
      <c r="B424" s="9" t="s">
        <v>168</v>
      </c>
      <c r="C424" s="8" t="s">
        <v>49</v>
      </c>
      <c r="D424" s="6" t="s">
        <v>73</v>
      </c>
      <c r="E424" s="10">
        <v>6</v>
      </c>
      <c r="F424">
        <v>18.7738682780959</v>
      </c>
      <c r="G424">
        <v>8.3972491757136094</v>
      </c>
      <c r="H424" t="s">
        <v>221</v>
      </c>
      <c r="I424" t="s">
        <v>24</v>
      </c>
      <c r="J424" t="s">
        <v>185</v>
      </c>
      <c r="K424" s="25" t="s">
        <v>1449</v>
      </c>
      <c r="L424">
        <v>303</v>
      </c>
      <c r="M424" t="s">
        <v>1798</v>
      </c>
      <c r="N424">
        <v>300</v>
      </c>
      <c r="O424" t="s">
        <v>223</v>
      </c>
      <c r="P424" s="1" t="s">
        <v>1052</v>
      </c>
      <c r="Q424" s="25">
        <v>-27.288145</v>
      </c>
      <c r="R424" s="26">
        <v>-49.796455000000002</v>
      </c>
      <c r="S424">
        <v>-51.956000000000003</v>
      </c>
      <c r="T424">
        <v>-37.027700000000003</v>
      </c>
      <c r="U424">
        <v>51.956000000000003</v>
      </c>
      <c r="V424" t="s">
        <v>1539</v>
      </c>
      <c r="W424" s="1" t="s">
        <v>13</v>
      </c>
      <c r="X424" t="s">
        <v>16</v>
      </c>
      <c r="Y424" s="1" t="s">
        <v>947</v>
      </c>
    </row>
    <row r="425" spans="1:25" x14ac:dyDescent="0.25">
      <c r="A425" s="4">
        <v>742</v>
      </c>
      <c r="B425" s="9" t="s">
        <v>296</v>
      </c>
      <c r="C425" s="8" t="s">
        <v>49</v>
      </c>
      <c r="D425" s="6" t="s">
        <v>60</v>
      </c>
      <c r="E425" s="10">
        <v>5</v>
      </c>
      <c r="F425">
        <v>1.83656094481526</v>
      </c>
      <c r="G425">
        <v>0.25549973933904802</v>
      </c>
      <c r="H425" t="s">
        <v>221</v>
      </c>
      <c r="I425" t="s">
        <v>24</v>
      </c>
      <c r="J425" t="s">
        <v>185</v>
      </c>
      <c r="K425" s="25" t="s">
        <v>1449</v>
      </c>
      <c r="L425">
        <v>303</v>
      </c>
      <c r="M425" t="s">
        <v>1798</v>
      </c>
      <c r="N425">
        <v>300</v>
      </c>
      <c r="O425" t="s">
        <v>223</v>
      </c>
      <c r="P425" s="1" t="s">
        <v>1052</v>
      </c>
      <c r="Q425" s="25">
        <v>-27.288145</v>
      </c>
      <c r="R425" s="26">
        <v>-49.796455000000002</v>
      </c>
      <c r="S425">
        <v>-51.956000000000003</v>
      </c>
      <c r="T425">
        <v>-37.027700000000003</v>
      </c>
      <c r="U425">
        <v>51.956000000000003</v>
      </c>
      <c r="V425" t="s">
        <v>1539</v>
      </c>
      <c r="W425" s="1" t="s">
        <v>13</v>
      </c>
      <c r="X425" t="s">
        <v>16</v>
      </c>
      <c r="Y425" s="1" t="s">
        <v>947</v>
      </c>
    </row>
    <row r="426" spans="1:25" x14ac:dyDescent="0.25">
      <c r="A426" s="4">
        <v>743</v>
      </c>
      <c r="B426" s="9" t="s">
        <v>297</v>
      </c>
      <c r="C426" s="8" t="s">
        <v>49</v>
      </c>
      <c r="D426" s="6" t="s">
        <v>73</v>
      </c>
      <c r="E426" s="10">
        <v>6</v>
      </c>
      <c r="F426">
        <v>23.248929228754601</v>
      </c>
      <c r="G426">
        <v>9.1118690449054203</v>
      </c>
      <c r="H426" t="s">
        <v>221</v>
      </c>
      <c r="I426" t="s">
        <v>24</v>
      </c>
      <c r="J426" t="s">
        <v>185</v>
      </c>
      <c r="K426" s="25" t="s">
        <v>1449</v>
      </c>
      <c r="L426">
        <v>303</v>
      </c>
      <c r="M426" t="s">
        <v>1798</v>
      </c>
      <c r="N426">
        <v>300</v>
      </c>
      <c r="O426" t="s">
        <v>223</v>
      </c>
      <c r="P426" s="1" t="s">
        <v>1052</v>
      </c>
      <c r="Q426" s="25">
        <v>-27.288145</v>
      </c>
      <c r="R426" s="26">
        <v>-49.796455000000002</v>
      </c>
      <c r="S426">
        <v>-51.956000000000003</v>
      </c>
      <c r="T426">
        <v>-37.027700000000003</v>
      </c>
      <c r="U426">
        <v>51.956000000000003</v>
      </c>
      <c r="V426" t="s">
        <v>1539</v>
      </c>
      <c r="W426" s="1" t="s">
        <v>13</v>
      </c>
      <c r="X426" t="s">
        <v>16</v>
      </c>
      <c r="Y426" s="1" t="s">
        <v>947</v>
      </c>
    </row>
    <row r="427" spans="1:25" x14ac:dyDescent="0.25">
      <c r="A427" s="4">
        <v>744</v>
      </c>
      <c r="B427" s="9" t="s">
        <v>714</v>
      </c>
      <c r="C427" s="8" t="s">
        <v>49</v>
      </c>
      <c r="D427" s="6" t="s">
        <v>161</v>
      </c>
      <c r="E427" s="10">
        <v>7</v>
      </c>
      <c r="F427">
        <v>13.030232179016799</v>
      </c>
      <c r="G427">
        <v>5.3866616522215303</v>
      </c>
      <c r="H427" t="s">
        <v>221</v>
      </c>
      <c r="I427" t="s">
        <v>24</v>
      </c>
      <c r="J427" t="s">
        <v>185</v>
      </c>
      <c r="K427" s="25" t="s">
        <v>1449</v>
      </c>
      <c r="L427">
        <v>303</v>
      </c>
      <c r="M427" t="s">
        <v>1798</v>
      </c>
      <c r="N427">
        <v>300</v>
      </c>
      <c r="O427" t="s">
        <v>223</v>
      </c>
      <c r="P427" s="1" t="s">
        <v>1052</v>
      </c>
      <c r="Q427" s="25">
        <v>-27.288145</v>
      </c>
      <c r="R427" s="26">
        <v>-49.796455000000002</v>
      </c>
      <c r="S427">
        <v>-51.956000000000003</v>
      </c>
      <c r="T427">
        <v>-37.027700000000003</v>
      </c>
      <c r="U427">
        <v>51.956000000000003</v>
      </c>
      <c r="V427" t="s">
        <v>1539</v>
      </c>
      <c r="W427" s="1" t="s">
        <v>13</v>
      </c>
      <c r="X427" t="s">
        <v>16</v>
      </c>
      <c r="Y427" s="1" t="s">
        <v>947</v>
      </c>
    </row>
    <row r="428" spans="1:25" x14ac:dyDescent="0.25">
      <c r="A428" s="4">
        <v>745</v>
      </c>
      <c r="B428" s="9" t="s">
        <v>714</v>
      </c>
      <c r="C428" s="8" t="s">
        <v>49</v>
      </c>
      <c r="D428" s="6" t="s">
        <v>73</v>
      </c>
      <c r="E428" s="10">
        <v>6</v>
      </c>
      <c r="F428">
        <v>14.2918049747175</v>
      </c>
      <c r="G428">
        <v>6.7042216790456104</v>
      </c>
      <c r="H428" t="s">
        <v>221</v>
      </c>
      <c r="I428" t="s">
        <v>24</v>
      </c>
      <c r="J428" t="s">
        <v>185</v>
      </c>
      <c r="K428" s="25" t="s">
        <v>1449</v>
      </c>
      <c r="L428">
        <v>303</v>
      </c>
      <c r="M428" t="s">
        <v>1798</v>
      </c>
      <c r="N428">
        <v>300</v>
      </c>
      <c r="O428" t="s">
        <v>223</v>
      </c>
      <c r="P428" s="1" t="s">
        <v>1052</v>
      </c>
      <c r="Q428" s="25">
        <v>-27.288145</v>
      </c>
      <c r="R428" s="26">
        <v>-49.796455000000002</v>
      </c>
      <c r="S428">
        <v>-51.956000000000003</v>
      </c>
      <c r="T428">
        <v>-37.027700000000003</v>
      </c>
      <c r="U428">
        <v>51.956000000000003</v>
      </c>
      <c r="V428" t="s">
        <v>1539</v>
      </c>
      <c r="W428" s="1" t="s">
        <v>13</v>
      </c>
      <c r="X428" t="s">
        <v>16</v>
      </c>
      <c r="Y428" s="1" t="s">
        <v>947</v>
      </c>
    </row>
    <row r="429" spans="1:25" x14ac:dyDescent="0.25">
      <c r="A429" s="4">
        <v>747</v>
      </c>
      <c r="B429" s="9" t="s">
        <v>146</v>
      </c>
      <c r="C429" s="8" t="s">
        <v>49</v>
      </c>
      <c r="D429" s="6" t="s">
        <v>60</v>
      </c>
      <c r="E429" s="10">
        <v>5</v>
      </c>
      <c r="F429">
        <v>1.77339013168176</v>
      </c>
      <c r="G429">
        <v>0.306966216436108</v>
      </c>
      <c r="H429" t="s">
        <v>221</v>
      </c>
      <c r="I429" t="s">
        <v>24</v>
      </c>
      <c r="J429" t="s">
        <v>185</v>
      </c>
      <c r="K429" s="25" t="s">
        <v>1449</v>
      </c>
      <c r="L429">
        <v>303</v>
      </c>
      <c r="M429" t="s">
        <v>1798</v>
      </c>
      <c r="N429">
        <v>300</v>
      </c>
      <c r="O429" t="s">
        <v>223</v>
      </c>
      <c r="P429" s="1" t="s">
        <v>1052</v>
      </c>
      <c r="Q429" s="25">
        <v>-27.288145</v>
      </c>
      <c r="R429" s="26">
        <v>-49.796455000000002</v>
      </c>
      <c r="S429">
        <v>-51.956000000000003</v>
      </c>
      <c r="T429">
        <v>-37.027700000000003</v>
      </c>
      <c r="U429">
        <v>51.956000000000003</v>
      </c>
      <c r="V429" t="s">
        <v>1539</v>
      </c>
      <c r="W429" s="1" t="s">
        <v>13</v>
      </c>
      <c r="X429" t="s">
        <v>16</v>
      </c>
      <c r="Y429" s="1" t="s">
        <v>950</v>
      </c>
    </row>
    <row r="430" spans="1:25" x14ac:dyDescent="0.25">
      <c r="A430" s="4">
        <v>748</v>
      </c>
      <c r="B430" s="9" t="s">
        <v>147</v>
      </c>
      <c r="C430" s="8" t="s">
        <v>49</v>
      </c>
      <c r="D430" s="6" t="s">
        <v>60</v>
      </c>
      <c r="E430" s="10">
        <v>5</v>
      </c>
      <c r="F430">
        <v>2.0138750770586298</v>
      </c>
      <c r="G430">
        <v>0.30438938646646901</v>
      </c>
      <c r="H430" t="s">
        <v>221</v>
      </c>
      <c r="I430" t="s">
        <v>24</v>
      </c>
      <c r="J430" t="s">
        <v>185</v>
      </c>
      <c r="K430" s="25" t="s">
        <v>1449</v>
      </c>
      <c r="L430">
        <v>303</v>
      </c>
      <c r="M430" t="s">
        <v>1798</v>
      </c>
      <c r="N430">
        <v>300</v>
      </c>
      <c r="O430" t="s">
        <v>223</v>
      </c>
      <c r="P430" s="1" t="s">
        <v>1052</v>
      </c>
      <c r="Q430" s="25">
        <v>-27.288145</v>
      </c>
      <c r="R430" s="26">
        <v>-49.796455000000002</v>
      </c>
      <c r="S430">
        <v>-51.956000000000003</v>
      </c>
      <c r="T430">
        <v>-37.027700000000003</v>
      </c>
      <c r="U430">
        <v>51.956000000000003</v>
      </c>
      <c r="V430" t="s">
        <v>1539</v>
      </c>
      <c r="W430" s="1" t="s">
        <v>13</v>
      </c>
      <c r="X430" t="s">
        <v>16</v>
      </c>
      <c r="Y430" s="1" t="s">
        <v>950</v>
      </c>
    </row>
    <row r="431" spans="1:25" x14ac:dyDescent="0.25">
      <c r="A431" s="4">
        <v>750</v>
      </c>
      <c r="B431" s="9" t="s">
        <v>147</v>
      </c>
      <c r="C431" s="8" t="s">
        <v>49</v>
      </c>
      <c r="D431" s="6" t="s">
        <v>28</v>
      </c>
      <c r="E431" s="10">
        <v>6</v>
      </c>
      <c r="F431">
        <v>1.30642739340745</v>
      </c>
      <c r="G431">
        <v>0.59780241128627698</v>
      </c>
      <c r="H431" t="s">
        <v>221</v>
      </c>
      <c r="I431" t="s">
        <v>24</v>
      </c>
      <c r="J431" t="s">
        <v>185</v>
      </c>
      <c r="K431" s="25" t="s">
        <v>1449</v>
      </c>
      <c r="L431">
        <v>303</v>
      </c>
      <c r="M431" t="s">
        <v>1798</v>
      </c>
      <c r="N431">
        <v>300</v>
      </c>
      <c r="O431" t="s">
        <v>223</v>
      </c>
      <c r="P431" s="1" t="s">
        <v>1052</v>
      </c>
      <c r="Q431" s="25">
        <v>-27.288145</v>
      </c>
      <c r="R431" s="26">
        <v>-49.796455000000002</v>
      </c>
      <c r="S431">
        <v>-51.956000000000003</v>
      </c>
      <c r="T431">
        <v>-37.027700000000003</v>
      </c>
      <c r="U431">
        <v>51.956000000000003</v>
      </c>
      <c r="V431" t="s">
        <v>1539</v>
      </c>
      <c r="W431" s="1" t="s">
        <v>13</v>
      </c>
      <c r="X431" t="s">
        <v>16</v>
      </c>
      <c r="Y431" s="1" t="s">
        <v>950</v>
      </c>
    </row>
    <row r="432" spans="1:25" x14ac:dyDescent="0.25">
      <c r="A432" s="4">
        <v>752</v>
      </c>
      <c r="B432" s="9" t="s">
        <v>147</v>
      </c>
      <c r="C432" s="8" t="s">
        <v>49</v>
      </c>
      <c r="D432" s="6" t="s">
        <v>59</v>
      </c>
      <c r="E432" s="10">
        <v>5</v>
      </c>
      <c r="F432">
        <v>2.21632716558016</v>
      </c>
      <c r="G432">
        <v>1.0459279584917001</v>
      </c>
      <c r="H432" t="s">
        <v>221</v>
      </c>
      <c r="I432" t="s">
        <v>24</v>
      </c>
      <c r="J432" t="s">
        <v>185</v>
      </c>
      <c r="K432" s="25" t="s">
        <v>1449</v>
      </c>
      <c r="L432">
        <v>303</v>
      </c>
      <c r="M432" t="s">
        <v>1798</v>
      </c>
      <c r="N432">
        <v>300</v>
      </c>
      <c r="O432" t="s">
        <v>223</v>
      </c>
      <c r="P432" s="1" t="s">
        <v>1052</v>
      </c>
      <c r="Q432" s="25">
        <v>-27.288145</v>
      </c>
      <c r="R432" s="26">
        <v>-49.796455000000002</v>
      </c>
      <c r="S432">
        <v>-51.956000000000003</v>
      </c>
      <c r="T432">
        <v>-37.027700000000003</v>
      </c>
      <c r="U432">
        <v>51.956000000000003</v>
      </c>
      <c r="V432" t="s">
        <v>1539</v>
      </c>
      <c r="W432" s="1" t="s">
        <v>13</v>
      </c>
      <c r="X432" t="s">
        <v>16</v>
      </c>
      <c r="Y432" s="1" t="s">
        <v>950</v>
      </c>
    </row>
    <row r="433" spans="1:25" x14ac:dyDescent="0.25">
      <c r="A433" s="4">
        <v>753</v>
      </c>
      <c r="B433" s="9" t="s">
        <v>1419</v>
      </c>
      <c r="C433" s="18" t="s">
        <v>1372</v>
      </c>
      <c r="D433" s="6" t="s">
        <v>28</v>
      </c>
      <c r="E433" s="10">
        <v>6</v>
      </c>
      <c r="F433">
        <v>9.4624398257765296</v>
      </c>
      <c r="G433">
        <v>3.7962012695235798</v>
      </c>
      <c r="H433" t="s">
        <v>221</v>
      </c>
      <c r="I433" t="s">
        <v>24</v>
      </c>
      <c r="J433" t="s">
        <v>185</v>
      </c>
      <c r="K433" s="25" t="s">
        <v>1449</v>
      </c>
      <c r="L433">
        <v>303</v>
      </c>
      <c r="M433" t="s">
        <v>1798</v>
      </c>
      <c r="N433">
        <v>300</v>
      </c>
      <c r="O433" t="s">
        <v>223</v>
      </c>
      <c r="P433" s="1" t="s">
        <v>1052</v>
      </c>
      <c r="Q433" s="25">
        <v>-27.288145</v>
      </c>
      <c r="R433" s="26">
        <v>-49.796455000000002</v>
      </c>
      <c r="S433">
        <v>-51.956000000000003</v>
      </c>
      <c r="T433">
        <v>-37.027700000000003</v>
      </c>
      <c r="U433">
        <v>51.956000000000003</v>
      </c>
      <c r="V433" t="s">
        <v>1539</v>
      </c>
      <c r="W433" s="1" t="s">
        <v>13</v>
      </c>
      <c r="X433" t="s">
        <v>16</v>
      </c>
      <c r="Y433" s="1" t="s">
        <v>952</v>
      </c>
    </row>
    <row r="434" spans="1:25" x14ac:dyDescent="0.25">
      <c r="A434" s="4">
        <v>755</v>
      </c>
      <c r="B434" s="9" t="s">
        <v>1420</v>
      </c>
      <c r="C434" s="18" t="s">
        <v>1372</v>
      </c>
      <c r="D434" s="6" t="s">
        <v>161</v>
      </c>
      <c r="E434" s="10">
        <v>7</v>
      </c>
      <c r="F434">
        <v>18.1876855692127</v>
      </c>
      <c r="G434">
        <v>6.8489178102052</v>
      </c>
      <c r="H434" t="s">
        <v>221</v>
      </c>
      <c r="I434" t="s">
        <v>24</v>
      </c>
      <c r="J434" t="s">
        <v>185</v>
      </c>
      <c r="K434" s="25" t="s">
        <v>1449</v>
      </c>
      <c r="L434">
        <v>303</v>
      </c>
      <c r="M434" t="s">
        <v>1798</v>
      </c>
      <c r="N434">
        <v>300</v>
      </c>
      <c r="O434" t="s">
        <v>223</v>
      </c>
      <c r="P434" s="1" t="s">
        <v>1052</v>
      </c>
      <c r="Q434" s="25">
        <v>-27.288145</v>
      </c>
      <c r="R434" s="26">
        <v>-49.796455000000002</v>
      </c>
      <c r="S434">
        <v>-51.956000000000003</v>
      </c>
      <c r="T434">
        <v>-37.027700000000003</v>
      </c>
      <c r="U434">
        <v>51.956000000000003</v>
      </c>
      <c r="V434" t="s">
        <v>1539</v>
      </c>
      <c r="W434" s="1" t="s">
        <v>13</v>
      </c>
      <c r="X434" t="s">
        <v>16</v>
      </c>
      <c r="Y434" s="1" t="s">
        <v>952</v>
      </c>
    </row>
    <row r="435" spans="1:25" x14ac:dyDescent="0.25">
      <c r="A435" s="4">
        <v>757</v>
      </c>
      <c r="B435" s="9" t="s">
        <v>1419</v>
      </c>
      <c r="C435" s="18" t="s">
        <v>1372</v>
      </c>
      <c r="D435" s="6" t="s">
        <v>59</v>
      </c>
      <c r="E435" s="10">
        <v>5</v>
      </c>
      <c r="F435">
        <v>4.9750682414099101</v>
      </c>
      <c r="G435">
        <v>2.2897534132941599</v>
      </c>
      <c r="H435" t="s">
        <v>221</v>
      </c>
      <c r="I435" t="s">
        <v>24</v>
      </c>
      <c r="J435" t="s">
        <v>185</v>
      </c>
      <c r="K435" s="25" t="s">
        <v>1449</v>
      </c>
      <c r="L435">
        <v>303</v>
      </c>
      <c r="M435" t="s">
        <v>1798</v>
      </c>
      <c r="N435">
        <v>300</v>
      </c>
      <c r="O435" t="s">
        <v>223</v>
      </c>
      <c r="P435" s="1" t="s">
        <v>1052</v>
      </c>
      <c r="Q435" s="25">
        <v>-27.288145</v>
      </c>
      <c r="R435" s="26">
        <v>-49.796455000000002</v>
      </c>
      <c r="S435">
        <v>-51.956000000000003</v>
      </c>
      <c r="T435">
        <v>-37.027700000000003</v>
      </c>
      <c r="U435">
        <v>51.956000000000003</v>
      </c>
      <c r="V435" t="s">
        <v>1539</v>
      </c>
      <c r="W435" s="1" t="s">
        <v>13</v>
      </c>
      <c r="X435" t="s">
        <v>16</v>
      </c>
      <c r="Y435" s="1" t="s">
        <v>952</v>
      </c>
    </row>
    <row r="436" spans="1:25" x14ac:dyDescent="0.25">
      <c r="A436" s="4">
        <v>759</v>
      </c>
      <c r="B436" s="9" t="s">
        <v>1420</v>
      </c>
      <c r="C436" s="18" t="s">
        <v>1372</v>
      </c>
      <c r="D436" s="6" t="s">
        <v>161</v>
      </c>
      <c r="E436" s="10">
        <v>7</v>
      </c>
      <c r="F436">
        <v>14.810951494347901</v>
      </c>
      <c r="G436">
        <v>3.2975166942930199</v>
      </c>
      <c r="H436" t="s">
        <v>221</v>
      </c>
      <c r="I436" t="s">
        <v>24</v>
      </c>
      <c r="J436" t="s">
        <v>185</v>
      </c>
      <c r="K436" s="25" t="s">
        <v>1449</v>
      </c>
      <c r="L436">
        <v>303</v>
      </c>
      <c r="M436" t="s">
        <v>1798</v>
      </c>
      <c r="N436">
        <v>300</v>
      </c>
      <c r="O436" t="s">
        <v>223</v>
      </c>
      <c r="P436" s="1" t="s">
        <v>1052</v>
      </c>
      <c r="Q436" s="25">
        <v>-27.288145</v>
      </c>
      <c r="R436" s="26">
        <v>-49.796455000000002</v>
      </c>
      <c r="S436">
        <v>-51.956000000000003</v>
      </c>
      <c r="T436">
        <v>-37.027700000000003</v>
      </c>
      <c r="U436">
        <v>51.956000000000003</v>
      </c>
      <c r="V436" t="s">
        <v>1539</v>
      </c>
      <c r="W436" s="1" t="s">
        <v>13</v>
      </c>
      <c r="X436" t="s">
        <v>16</v>
      </c>
      <c r="Y436" s="1" t="s">
        <v>952</v>
      </c>
    </row>
    <row r="437" spans="1:25" x14ac:dyDescent="0.25">
      <c r="A437" s="4">
        <v>760</v>
      </c>
      <c r="B437" s="9" t="s">
        <v>1419</v>
      </c>
      <c r="C437" s="18" t="s">
        <v>1372</v>
      </c>
      <c r="D437" s="6" t="s">
        <v>67</v>
      </c>
      <c r="E437" s="10">
        <v>6</v>
      </c>
      <c r="F437">
        <v>12.6333256640077</v>
      </c>
      <c r="G437">
        <v>8.4182009942451295</v>
      </c>
      <c r="H437" t="s">
        <v>221</v>
      </c>
      <c r="I437" t="s">
        <v>24</v>
      </c>
      <c r="J437" t="s">
        <v>185</v>
      </c>
      <c r="K437" s="25" t="s">
        <v>1449</v>
      </c>
      <c r="L437">
        <v>303</v>
      </c>
      <c r="M437" t="s">
        <v>1798</v>
      </c>
      <c r="N437">
        <v>300</v>
      </c>
      <c r="O437" t="s">
        <v>223</v>
      </c>
      <c r="P437" s="1" t="s">
        <v>1052</v>
      </c>
      <c r="Q437" s="25">
        <v>-27.288145</v>
      </c>
      <c r="R437" s="26">
        <v>-49.796455000000002</v>
      </c>
      <c r="S437">
        <v>-51.956000000000003</v>
      </c>
      <c r="T437">
        <v>-37.027700000000003</v>
      </c>
      <c r="U437">
        <v>51.956000000000003</v>
      </c>
      <c r="V437" t="s">
        <v>1539</v>
      </c>
      <c r="W437" s="1" t="s">
        <v>13</v>
      </c>
      <c r="X437" t="s">
        <v>16</v>
      </c>
      <c r="Y437" s="1" t="s">
        <v>952</v>
      </c>
    </row>
    <row r="438" spans="1:25" x14ac:dyDescent="0.25">
      <c r="A438" s="4">
        <v>761</v>
      </c>
      <c r="B438" s="9" t="s">
        <v>1421</v>
      </c>
      <c r="C438" s="18" t="s">
        <v>1372</v>
      </c>
      <c r="D438" s="6" t="s">
        <v>67</v>
      </c>
      <c r="E438" s="10">
        <v>6</v>
      </c>
      <c r="F438">
        <v>12.6386340587998</v>
      </c>
      <c r="G438">
        <v>6.8231842873272797</v>
      </c>
      <c r="H438" t="s">
        <v>221</v>
      </c>
      <c r="I438" t="s">
        <v>24</v>
      </c>
      <c r="J438" t="s">
        <v>185</v>
      </c>
      <c r="K438" s="25" t="s">
        <v>1449</v>
      </c>
      <c r="L438">
        <v>303</v>
      </c>
      <c r="M438" t="s">
        <v>1798</v>
      </c>
      <c r="N438">
        <v>300</v>
      </c>
      <c r="O438" t="s">
        <v>223</v>
      </c>
      <c r="P438" s="1" t="s">
        <v>1052</v>
      </c>
      <c r="Q438" s="25">
        <v>-27.288145</v>
      </c>
      <c r="R438" s="26">
        <v>-49.796455000000002</v>
      </c>
      <c r="S438">
        <v>-51.956000000000003</v>
      </c>
      <c r="T438">
        <v>-37.027700000000003</v>
      </c>
      <c r="U438">
        <v>51.956000000000003</v>
      </c>
      <c r="V438" t="s">
        <v>1539</v>
      </c>
      <c r="W438" s="1" t="s">
        <v>13</v>
      </c>
      <c r="X438" t="s">
        <v>16</v>
      </c>
      <c r="Y438" s="1" t="s">
        <v>952</v>
      </c>
    </row>
    <row r="439" spans="1:25" x14ac:dyDescent="0.25">
      <c r="A439" s="4">
        <v>762</v>
      </c>
      <c r="B439" s="9" t="s">
        <v>1419</v>
      </c>
      <c r="C439" s="18" t="s">
        <v>1372</v>
      </c>
      <c r="D439" s="6" t="s">
        <v>73</v>
      </c>
      <c r="E439" s="10">
        <v>6</v>
      </c>
      <c r="F439">
        <v>25.929918717983501</v>
      </c>
      <c r="G439">
        <v>11.404942222055601</v>
      </c>
      <c r="H439" t="s">
        <v>221</v>
      </c>
      <c r="I439" t="s">
        <v>24</v>
      </c>
      <c r="J439" t="s">
        <v>185</v>
      </c>
      <c r="K439" s="25" t="s">
        <v>1449</v>
      </c>
      <c r="L439">
        <v>303</v>
      </c>
      <c r="M439" t="s">
        <v>1798</v>
      </c>
      <c r="N439">
        <v>300</v>
      </c>
      <c r="O439" t="s">
        <v>223</v>
      </c>
      <c r="P439" s="1" t="s">
        <v>1052</v>
      </c>
      <c r="Q439" s="25">
        <v>-27.288145</v>
      </c>
      <c r="R439" s="26">
        <v>-49.796455000000002</v>
      </c>
      <c r="S439">
        <v>-51.956000000000003</v>
      </c>
      <c r="T439">
        <v>-37.027700000000003</v>
      </c>
      <c r="U439">
        <v>51.956000000000003</v>
      </c>
      <c r="V439" t="s">
        <v>1539</v>
      </c>
      <c r="W439" s="1" t="s">
        <v>13</v>
      </c>
      <c r="X439" t="s">
        <v>16</v>
      </c>
      <c r="Y439" s="1" t="s">
        <v>952</v>
      </c>
    </row>
    <row r="440" spans="1:25" x14ac:dyDescent="0.25">
      <c r="A440" s="4">
        <v>763</v>
      </c>
      <c r="B440" s="9" t="s">
        <v>1419</v>
      </c>
      <c r="C440" s="18" t="s">
        <v>1372</v>
      </c>
      <c r="D440" s="6" t="s">
        <v>67</v>
      </c>
      <c r="E440" s="10">
        <v>6</v>
      </c>
      <c r="F440">
        <v>24.585052060660601</v>
      </c>
      <c r="G440">
        <v>15.863959302724799</v>
      </c>
      <c r="H440" t="s">
        <v>221</v>
      </c>
      <c r="I440" t="s">
        <v>24</v>
      </c>
      <c r="J440" t="s">
        <v>185</v>
      </c>
      <c r="K440" s="25" t="s">
        <v>1449</v>
      </c>
      <c r="L440">
        <v>303</v>
      </c>
      <c r="M440" t="s">
        <v>1798</v>
      </c>
      <c r="N440">
        <v>300</v>
      </c>
      <c r="O440" t="s">
        <v>223</v>
      </c>
      <c r="P440" s="1" t="s">
        <v>1052</v>
      </c>
      <c r="Q440" s="25">
        <v>-27.288145</v>
      </c>
      <c r="R440" s="26">
        <v>-49.796455000000002</v>
      </c>
      <c r="S440">
        <v>-51.956000000000003</v>
      </c>
      <c r="T440">
        <v>-37.027700000000003</v>
      </c>
      <c r="U440">
        <v>51.956000000000003</v>
      </c>
      <c r="V440" t="s">
        <v>1539</v>
      </c>
      <c r="W440" s="1" t="s">
        <v>13</v>
      </c>
      <c r="X440" t="s">
        <v>16</v>
      </c>
      <c r="Y440" s="1" t="s">
        <v>952</v>
      </c>
    </row>
    <row r="441" spans="1:25" x14ac:dyDescent="0.25">
      <c r="A441" s="4">
        <v>765</v>
      </c>
      <c r="B441" s="9" t="s">
        <v>1382</v>
      </c>
      <c r="C441" s="18" t="s">
        <v>1372</v>
      </c>
      <c r="D441" s="6" t="s">
        <v>28</v>
      </c>
      <c r="E441" s="10">
        <v>6</v>
      </c>
      <c r="F441">
        <v>10</v>
      </c>
      <c r="G441">
        <v>5</v>
      </c>
      <c r="H441" t="s">
        <v>221</v>
      </c>
      <c r="I441" t="s">
        <v>24</v>
      </c>
      <c r="J441" t="s">
        <v>185</v>
      </c>
      <c r="K441" s="25" t="s">
        <v>1449</v>
      </c>
      <c r="L441">
        <v>303</v>
      </c>
      <c r="M441" t="s">
        <v>1798</v>
      </c>
      <c r="N441">
        <v>300</v>
      </c>
      <c r="O441" s="1" t="s">
        <v>223</v>
      </c>
      <c r="P441" s="1" t="s">
        <v>1052</v>
      </c>
      <c r="Q441" s="25">
        <v>-27.288084000000001</v>
      </c>
      <c r="R441" s="25">
        <v>-49.796143000000001</v>
      </c>
      <c r="S441">
        <v>-51.956099999999999</v>
      </c>
      <c r="T441">
        <v>-37.027299999999997</v>
      </c>
      <c r="U441">
        <v>51.956099999999999</v>
      </c>
      <c r="V441" t="s">
        <v>1539</v>
      </c>
      <c r="W441" t="s">
        <v>15</v>
      </c>
      <c r="X441" t="s">
        <v>17</v>
      </c>
      <c r="Y441" s="1" t="s">
        <v>953</v>
      </c>
    </row>
    <row r="442" spans="1:25" x14ac:dyDescent="0.25">
      <c r="A442" s="4">
        <v>767</v>
      </c>
      <c r="B442" s="9" t="s">
        <v>957</v>
      </c>
      <c r="C442" s="8" t="s">
        <v>955</v>
      </c>
      <c r="D442" s="6" t="s">
        <v>28</v>
      </c>
      <c r="E442" s="10">
        <v>6</v>
      </c>
      <c r="F442">
        <v>15.7069007135653</v>
      </c>
      <c r="G442">
        <v>6.9726146623646796</v>
      </c>
      <c r="H442" t="s">
        <v>221</v>
      </c>
      <c r="I442" t="s">
        <v>24</v>
      </c>
      <c r="J442" t="s">
        <v>185</v>
      </c>
      <c r="K442" s="25" t="s">
        <v>1449</v>
      </c>
      <c r="L442">
        <v>303</v>
      </c>
      <c r="M442" t="s">
        <v>1798</v>
      </c>
      <c r="N442">
        <v>300</v>
      </c>
      <c r="O442" s="1" t="s">
        <v>223</v>
      </c>
      <c r="P442" s="1" t="s">
        <v>1052</v>
      </c>
      <c r="Q442" s="25">
        <v>-27.288084000000001</v>
      </c>
      <c r="R442" s="25">
        <v>-49.796143000000001</v>
      </c>
      <c r="S442">
        <v>-51.956099999999999</v>
      </c>
      <c r="T442">
        <v>-37.027299999999997</v>
      </c>
      <c r="U442">
        <v>51.956099999999999</v>
      </c>
      <c r="V442" t="s">
        <v>1539</v>
      </c>
      <c r="W442" t="s">
        <v>15</v>
      </c>
      <c r="X442" t="s">
        <v>17</v>
      </c>
      <c r="Y442" s="1" t="s">
        <v>953</v>
      </c>
    </row>
    <row r="443" spans="1:25" x14ac:dyDescent="0.25">
      <c r="A443" s="4">
        <v>769</v>
      </c>
      <c r="B443" s="9" t="s">
        <v>1383</v>
      </c>
      <c r="C443" s="18" t="s">
        <v>1372</v>
      </c>
      <c r="D443" s="6" t="s">
        <v>28</v>
      </c>
      <c r="E443" s="10">
        <v>6</v>
      </c>
      <c r="F443">
        <v>4</v>
      </c>
      <c r="G443">
        <v>2</v>
      </c>
      <c r="H443" t="s">
        <v>221</v>
      </c>
      <c r="I443" t="s">
        <v>24</v>
      </c>
      <c r="J443" t="s">
        <v>185</v>
      </c>
      <c r="K443" s="25" t="s">
        <v>1449</v>
      </c>
      <c r="L443">
        <v>303</v>
      </c>
      <c r="M443" t="s">
        <v>1798</v>
      </c>
      <c r="N443">
        <v>300</v>
      </c>
      <c r="O443" s="1" t="s">
        <v>223</v>
      </c>
      <c r="P443" s="1" t="s">
        <v>1052</v>
      </c>
      <c r="Q443" s="25">
        <v>-27.288084000000001</v>
      </c>
      <c r="R443" s="25">
        <v>-49.796143000000001</v>
      </c>
      <c r="S443">
        <v>-51.956099999999999</v>
      </c>
      <c r="T443">
        <v>-37.027299999999997</v>
      </c>
      <c r="U443">
        <v>51.956099999999999</v>
      </c>
      <c r="V443" t="s">
        <v>1539</v>
      </c>
      <c r="W443" t="s">
        <v>15</v>
      </c>
      <c r="X443" t="s">
        <v>17</v>
      </c>
      <c r="Y443" s="1" t="s">
        <v>960</v>
      </c>
    </row>
    <row r="444" spans="1:25" x14ac:dyDescent="0.25">
      <c r="A444" s="4">
        <v>770</v>
      </c>
      <c r="B444" s="9" t="s">
        <v>1384</v>
      </c>
      <c r="C444" s="18" t="s">
        <v>1372</v>
      </c>
      <c r="D444" s="6" t="s">
        <v>28</v>
      </c>
      <c r="E444" s="10">
        <v>6</v>
      </c>
      <c r="F444">
        <v>7</v>
      </c>
      <c r="G444">
        <v>3</v>
      </c>
      <c r="H444" t="s">
        <v>221</v>
      </c>
      <c r="I444" t="s">
        <v>24</v>
      </c>
      <c r="J444" t="s">
        <v>185</v>
      </c>
      <c r="K444" s="25" t="s">
        <v>1449</v>
      </c>
      <c r="L444">
        <v>303</v>
      </c>
      <c r="M444" t="s">
        <v>1798</v>
      </c>
      <c r="N444">
        <v>300</v>
      </c>
      <c r="O444" s="1" t="s">
        <v>223</v>
      </c>
      <c r="P444" s="1" t="s">
        <v>1052</v>
      </c>
      <c r="Q444" s="25">
        <v>-27.288084000000001</v>
      </c>
      <c r="R444" s="25">
        <v>-49.796143000000001</v>
      </c>
      <c r="S444">
        <v>-51.956099999999999</v>
      </c>
      <c r="T444">
        <v>-37.027299999999997</v>
      </c>
      <c r="U444">
        <v>51.956099999999999</v>
      </c>
      <c r="V444" t="s">
        <v>1539</v>
      </c>
      <c r="W444" t="s">
        <v>15</v>
      </c>
      <c r="X444" t="s">
        <v>17</v>
      </c>
      <c r="Y444" s="1" t="s">
        <v>960</v>
      </c>
    </row>
    <row r="445" spans="1:25" x14ac:dyDescent="0.25">
      <c r="A445" s="4">
        <v>771</v>
      </c>
      <c r="B445" s="9" t="s">
        <v>1385</v>
      </c>
      <c r="C445" s="18" t="s">
        <v>1372</v>
      </c>
      <c r="D445" s="6" t="s">
        <v>28</v>
      </c>
      <c r="E445" s="10">
        <v>6</v>
      </c>
      <c r="F445">
        <v>6</v>
      </c>
      <c r="G445">
        <v>3</v>
      </c>
      <c r="H445" t="s">
        <v>221</v>
      </c>
      <c r="I445" t="s">
        <v>24</v>
      </c>
      <c r="J445" t="s">
        <v>185</v>
      </c>
      <c r="K445" s="25" t="s">
        <v>1449</v>
      </c>
      <c r="L445">
        <v>303</v>
      </c>
      <c r="M445" t="s">
        <v>1798</v>
      </c>
      <c r="N445">
        <v>300</v>
      </c>
      <c r="O445" s="1" t="s">
        <v>223</v>
      </c>
      <c r="P445" s="1" t="s">
        <v>1052</v>
      </c>
      <c r="Q445" s="25">
        <v>-27.288084000000001</v>
      </c>
      <c r="R445" s="25">
        <v>-49.796143000000001</v>
      </c>
      <c r="S445">
        <v>-51.956099999999999</v>
      </c>
      <c r="T445">
        <v>-37.027299999999997</v>
      </c>
      <c r="U445">
        <v>51.956099999999999</v>
      </c>
      <c r="V445" t="s">
        <v>1539</v>
      </c>
      <c r="W445" t="s">
        <v>15</v>
      </c>
      <c r="X445" t="s">
        <v>17</v>
      </c>
      <c r="Y445" s="1" t="s">
        <v>960</v>
      </c>
    </row>
    <row r="446" spans="1:25" x14ac:dyDescent="0.25">
      <c r="A446" s="4">
        <v>772</v>
      </c>
      <c r="B446" s="9" t="s">
        <v>1386</v>
      </c>
      <c r="C446" s="18" t="s">
        <v>1372</v>
      </c>
      <c r="D446" s="6" t="s">
        <v>28</v>
      </c>
      <c r="E446" s="10">
        <v>6</v>
      </c>
      <c r="F446">
        <v>16</v>
      </c>
      <c r="G446">
        <v>6</v>
      </c>
      <c r="H446" t="s">
        <v>221</v>
      </c>
      <c r="I446" t="s">
        <v>24</v>
      </c>
      <c r="J446" t="s">
        <v>185</v>
      </c>
      <c r="K446" s="25" t="s">
        <v>1449</v>
      </c>
      <c r="L446">
        <v>303</v>
      </c>
      <c r="M446" t="s">
        <v>1798</v>
      </c>
      <c r="N446">
        <v>300</v>
      </c>
      <c r="O446" s="1" t="s">
        <v>223</v>
      </c>
      <c r="P446" s="1" t="s">
        <v>1052</v>
      </c>
      <c r="Q446" s="25">
        <v>-27.288084000000001</v>
      </c>
      <c r="R446" s="25">
        <v>-49.796143000000001</v>
      </c>
      <c r="S446">
        <v>-51.956099999999999</v>
      </c>
      <c r="T446">
        <v>-37.027299999999997</v>
      </c>
      <c r="U446">
        <v>51.956099999999999</v>
      </c>
      <c r="V446" t="s">
        <v>1539</v>
      </c>
      <c r="W446" t="s">
        <v>15</v>
      </c>
      <c r="X446" t="s">
        <v>17</v>
      </c>
      <c r="Y446" s="1" t="s">
        <v>960</v>
      </c>
    </row>
    <row r="447" spans="1:25" x14ac:dyDescent="0.25">
      <c r="A447" s="4">
        <v>773</v>
      </c>
      <c r="B447" s="9" t="s">
        <v>1387</v>
      </c>
      <c r="C447" s="18" t="s">
        <v>1372</v>
      </c>
      <c r="D447" s="6" t="s">
        <v>28</v>
      </c>
      <c r="E447" s="10">
        <v>6</v>
      </c>
      <c r="F447">
        <v>5</v>
      </c>
      <c r="G447">
        <v>3</v>
      </c>
      <c r="H447" t="s">
        <v>221</v>
      </c>
      <c r="I447" t="s">
        <v>24</v>
      </c>
      <c r="J447" t="s">
        <v>185</v>
      </c>
      <c r="K447" s="25" t="s">
        <v>1449</v>
      </c>
      <c r="L447">
        <v>303</v>
      </c>
      <c r="M447" t="s">
        <v>1798</v>
      </c>
      <c r="N447">
        <v>300</v>
      </c>
      <c r="O447" s="1" t="s">
        <v>223</v>
      </c>
      <c r="P447" s="1" t="s">
        <v>1052</v>
      </c>
      <c r="Q447" s="25">
        <v>-27.288084000000001</v>
      </c>
      <c r="R447" s="25">
        <v>-49.796143000000001</v>
      </c>
      <c r="S447">
        <v>-51.956099999999999</v>
      </c>
      <c r="T447">
        <v>-37.027299999999997</v>
      </c>
      <c r="U447">
        <v>51.956099999999999</v>
      </c>
      <c r="V447" t="s">
        <v>1539</v>
      </c>
      <c r="W447" t="s">
        <v>15</v>
      </c>
      <c r="X447" t="s">
        <v>17</v>
      </c>
      <c r="Y447" s="1" t="s">
        <v>960</v>
      </c>
    </row>
    <row r="448" spans="1:25" x14ac:dyDescent="0.25">
      <c r="A448" s="4">
        <v>775</v>
      </c>
      <c r="B448" s="9" t="s">
        <v>1388</v>
      </c>
      <c r="C448" s="18" t="s">
        <v>1372</v>
      </c>
      <c r="D448" s="6" t="s">
        <v>28</v>
      </c>
      <c r="E448" s="10">
        <v>6</v>
      </c>
      <c r="F448">
        <v>14</v>
      </c>
      <c r="G448">
        <v>7.6</v>
      </c>
      <c r="H448" t="s">
        <v>221</v>
      </c>
      <c r="I448" t="s">
        <v>24</v>
      </c>
      <c r="J448" t="s">
        <v>185</v>
      </c>
      <c r="K448" s="25" t="s">
        <v>1449</v>
      </c>
      <c r="L448">
        <v>303</v>
      </c>
      <c r="M448" t="s">
        <v>1798</v>
      </c>
      <c r="N448">
        <v>300</v>
      </c>
      <c r="O448" s="1" t="s">
        <v>223</v>
      </c>
      <c r="P448" s="1" t="s">
        <v>1052</v>
      </c>
      <c r="Q448" s="25">
        <v>-27.288084000000001</v>
      </c>
      <c r="R448" s="25">
        <v>-49.796143000000001</v>
      </c>
      <c r="S448">
        <v>-51.956099999999999</v>
      </c>
      <c r="T448">
        <v>-37.027299999999997</v>
      </c>
      <c r="U448">
        <v>51.956099999999999</v>
      </c>
      <c r="V448" t="s">
        <v>1539</v>
      </c>
      <c r="W448" t="s">
        <v>15</v>
      </c>
      <c r="X448" t="s">
        <v>17</v>
      </c>
      <c r="Y448" s="1" t="s">
        <v>960</v>
      </c>
    </row>
    <row r="449" spans="1:25" x14ac:dyDescent="0.25">
      <c r="A449" s="4">
        <v>776</v>
      </c>
      <c r="B449" s="9" t="s">
        <v>1389</v>
      </c>
      <c r="C449" s="18" t="s">
        <v>1372</v>
      </c>
      <c r="D449" s="6" t="s">
        <v>28</v>
      </c>
      <c r="E449" s="10">
        <v>6</v>
      </c>
      <c r="F449">
        <v>7</v>
      </c>
      <c r="G449">
        <v>4.5999999999999996</v>
      </c>
      <c r="H449" t="s">
        <v>221</v>
      </c>
      <c r="I449" t="s">
        <v>24</v>
      </c>
      <c r="J449" t="s">
        <v>185</v>
      </c>
      <c r="K449" s="25" t="s">
        <v>1449</v>
      </c>
      <c r="L449">
        <v>303</v>
      </c>
      <c r="M449" t="s">
        <v>1798</v>
      </c>
      <c r="N449">
        <v>300</v>
      </c>
      <c r="O449" s="1" t="s">
        <v>223</v>
      </c>
      <c r="P449" s="1" t="s">
        <v>1052</v>
      </c>
      <c r="Q449" s="25">
        <v>-27.288084000000001</v>
      </c>
      <c r="R449" s="25">
        <v>-49.796143000000001</v>
      </c>
      <c r="S449">
        <v>-51.956099999999999</v>
      </c>
      <c r="T449">
        <v>-37.027299999999997</v>
      </c>
      <c r="U449">
        <v>51.956099999999999</v>
      </c>
      <c r="V449" t="s">
        <v>1539</v>
      </c>
      <c r="W449" t="s">
        <v>15</v>
      </c>
      <c r="X449" t="s">
        <v>17</v>
      </c>
      <c r="Y449" s="1" t="s">
        <v>960</v>
      </c>
    </row>
    <row r="450" spans="1:25" x14ac:dyDescent="0.25">
      <c r="A450" s="4">
        <v>777</v>
      </c>
      <c r="B450" s="9" t="s">
        <v>1390</v>
      </c>
      <c r="C450" s="18" t="s">
        <v>1372</v>
      </c>
      <c r="D450" s="6" t="s">
        <v>28</v>
      </c>
      <c r="E450" s="10">
        <v>6</v>
      </c>
      <c r="F450">
        <v>5</v>
      </c>
      <c r="G450">
        <v>3</v>
      </c>
      <c r="H450" t="s">
        <v>221</v>
      </c>
      <c r="I450" t="s">
        <v>24</v>
      </c>
      <c r="J450" t="s">
        <v>185</v>
      </c>
      <c r="K450" s="25" t="s">
        <v>1449</v>
      </c>
      <c r="L450">
        <v>303</v>
      </c>
      <c r="M450" t="s">
        <v>1798</v>
      </c>
      <c r="N450">
        <v>300</v>
      </c>
      <c r="O450" s="1" t="s">
        <v>223</v>
      </c>
      <c r="P450" s="1" t="s">
        <v>1052</v>
      </c>
      <c r="Q450" s="25">
        <v>-27.288084000000001</v>
      </c>
      <c r="R450" s="25">
        <v>-49.796143000000001</v>
      </c>
      <c r="S450">
        <v>-51.956099999999999</v>
      </c>
      <c r="T450">
        <v>-37.027299999999997</v>
      </c>
      <c r="U450">
        <v>51.956099999999999</v>
      </c>
      <c r="V450" t="s">
        <v>1539</v>
      </c>
      <c r="W450" t="s">
        <v>15</v>
      </c>
      <c r="X450" t="s">
        <v>17</v>
      </c>
      <c r="Y450" s="1" t="s">
        <v>960</v>
      </c>
    </row>
    <row r="451" spans="1:25" x14ac:dyDescent="0.25">
      <c r="A451" s="4">
        <v>778</v>
      </c>
      <c r="B451" s="9" t="s">
        <v>1391</v>
      </c>
      <c r="C451" s="18" t="s">
        <v>1372</v>
      </c>
      <c r="D451" s="6" t="s">
        <v>28</v>
      </c>
      <c r="E451" s="10">
        <v>6</v>
      </c>
      <c r="F451">
        <v>10</v>
      </c>
      <c r="G451">
        <v>3.1</v>
      </c>
      <c r="H451" t="s">
        <v>221</v>
      </c>
      <c r="I451" t="s">
        <v>24</v>
      </c>
      <c r="J451" t="s">
        <v>185</v>
      </c>
      <c r="K451" s="25" t="s">
        <v>1449</v>
      </c>
      <c r="L451">
        <v>303</v>
      </c>
      <c r="M451" t="s">
        <v>1798</v>
      </c>
      <c r="N451">
        <v>300</v>
      </c>
      <c r="O451" s="1" t="s">
        <v>223</v>
      </c>
      <c r="P451" s="1" t="s">
        <v>1052</v>
      </c>
      <c r="Q451" s="25">
        <v>-27.288084000000001</v>
      </c>
      <c r="R451" s="25">
        <v>-49.796143000000001</v>
      </c>
      <c r="S451">
        <v>-51.956099999999999</v>
      </c>
      <c r="T451">
        <v>-37.027299999999997</v>
      </c>
      <c r="U451">
        <v>51.956099999999999</v>
      </c>
      <c r="V451" t="s">
        <v>1539</v>
      </c>
      <c r="W451" t="s">
        <v>15</v>
      </c>
      <c r="X451" t="s">
        <v>17</v>
      </c>
      <c r="Y451" s="1" t="s">
        <v>960</v>
      </c>
    </row>
    <row r="452" spans="1:25" x14ac:dyDescent="0.25">
      <c r="A452" s="4">
        <v>779</v>
      </c>
      <c r="B452" s="9" t="s">
        <v>1392</v>
      </c>
      <c r="C452" s="18" t="s">
        <v>1372</v>
      </c>
      <c r="D452" s="6" t="s">
        <v>28</v>
      </c>
      <c r="E452" s="10">
        <v>6</v>
      </c>
      <c r="F452">
        <v>4</v>
      </c>
      <c r="G452">
        <v>2</v>
      </c>
      <c r="H452" t="s">
        <v>221</v>
      </c>
      <c r="I452" t="s">
        <v>24</v>
      </c>
      <c r="J452" t="s">
        <v>185</v>
      </c>
      <c r="K452" s="25" t="s">
        <v>1449</v>
      </c>
      <c r="L452">
        <v>303</v>
      </c>
      <c r="M452" t="s">
        <v>1798</v>
      </c>
      <c r="N452">
        <v>300</v>
      </c>
      <c r="O452" s="1" t="s">
        <v>223</v>
      </c>
      <c r="P452" s="1" t="s">
        <v>1052</v>
      </c>
      <c r="Q452" s="25">
        <v>-27.288084000000001</v>
      </c>
      <c r="R452" s="25">
        <v>-49.796143000000001</v>
      </c>
      <c r="S452">
        <v>-51.956099999999999</v>
      </c>
      <c r="T452">
        <v>-37.027299999999997</v>
      </c>
      <c r="U452">
        <v>51.956099999999999</v>
      </c>
      <c r="V452" t="s">
        <v>1539</v>
      </c>
      <c r="W452" t="s">
        <v>15</v>
      </c>
      <c r="X452" t="s">
        <v>17</v>
      </c>
      <c r="Y452" s="1" t="s">
        <v>960</v>
      </c>
    </row>
    <row r="453" spans="1:25" x14ac:dyDescent="0.25">
      <c r="A453" s="4">
        <v>780</v>
      </c>
      <c r="B453" s="9" t="s">
        <v>1393</v>
      </c>
      <c r="C453" s="18" t="s">
        <v>1372</v>
      </c>
      <c r="D453" s="6" t="s">
        <v>28</v>
      </c>
      <c r="E453" s="10">
        <v>6</v>
      </c>
      <c r="F453">
        <v>6</v>
      </c>
      <c r="G453">
        <v>3.2</v>
      </c>
      <c r="H453" t="s">
        <v>221</v>
      </c>
      <c r="I453" t="s">
        <v>24</v>
      </c>
      <c r="J453" t="s">
        <v>185</v>
      </c>
      <c r="K453" s="25" t="s">
        <v>1449</v>
      </c>
      <c r="L453">
        <v>303</v>
      </c>
      <c r="M453" t="s">
        <v>1798</v>
      </c>
      <c r="N453">
        <v>300</v>
      </c>
      <c r="O453" s="1" t="s">
        <v>223</v>
      </c>
      <c r="P453" s="1" t="s">
        <v>1052</v>
      </c>
      <c r="Q453" s="25">
        <v>-27.288084000000001</v>
      </c>
      <c r="R453" s="25">
        <v>-49.796143000000001</v>
      </c>
      <c r="S453">
        <v>-51.956099999999999</v>
      </c>
      <c r="T453">
        <v>-37.027299999999997</v>
      </c>
      <c r="U453">
        <v>51.956099999999999</v>
      </c>
      <c r="V453" t="s">
        <v>1539</v>
      </c>
      <c r="W453" t="s">
        <v>15</v>
      </c>
      <c r="X453" t="s">
        <v>17</v>
      </c>
      <c r="Y453" s="1" t="s">
        <v>960</v>
      </c>
    </row>
    <row r="454" spans="1:25" x14ac:dyDescent="0.25">
      <c r="A454" s="4">
        <v>781</v>
      </c>
      <c r="B454" s="9" t="s">
        <v>1394</v>
      </c>
      <c r="C454" s="18" t="s">
        <v>1372</v>
      </c>
      <c r="D454" s="6" t="s">
        <v>28</v>
      </c>
      <c r="E454" s="10">
        <v>6</v>
      </c>
      <c r="F454">
        <v>5</v>
      </c>
      <c r="G454">
        <v>1</v>
      </c>
      <c r="H454" t="s">
        <v>221</v>
      </c>
      <c r="I454" t="s">
        <v>24</v>
      </c>
      <c r="J454" t="s">
        <v>185</v>
      </c>
      <c r="K454" s="25" t="s">
        <v>1449</v>
      </c>
      <c r="L454">
        <v>303</v>
      </c>
      <c r="M454" t="s">
        <v>1798</v>
      </c>
      <c r="N454">
        <v>300</v>
      </c>
      <c r="O454" s="1" t="s">
        <v>223</v>
      </c>
      <c r="P454" s="1" t="s">
        <v>1052</v>
      </c>
      <c r="Q454" s="25">
        <v>-27.288084000000001</v>
      </c>
      <c r="R454" s="25">
        <v>-49.796143000000001</v>
      </c>
      <c r="S454">
        <v>-51.956099999999999</v>
      </c>
      <c r="T454">
        <v>-37.027299999999997</v>
      </c>
      <c r="U454">
        <v>51.956099999999999</v>
      </c>
      <c r="V454" t="s">
        <v>1539</v>
      </c>
      <c r="W454" t="s">
        <v>15</v>
      </c>
      <c r="X454" t="s">
        <v>17</v>
      </c>
      <c r="Y454" s="1" t="s">
        <v>960</v>
      </c>
    </row>
    <row r="455" spans="1:25" x14ac:dyDescent="0.25">
      <c r="A455" s="4">
        <v>782</v>
      </c>
      <c r="B455" s="9" t="s">
        <v>1395</v>
      </c>
      <c r="C455" s="18" t="s">
        <v>1372</v>
      </c>
      <c r="D455" s="6" t="s">
        <v>28</v>
      </c>
      <c r="E455" s="10">
        <v>6</v>
      </c>
      <c r="F455">
        <v>4</v>
      </c>
      <c r="G455">
        <v>2</v>
      </c>
      <c r="H455" t="s">
        <v>221</v>
      </c>
      <c r="I455" t="s">
        <v>24</v>
      </c>
      <c r="J455" t="s">
        <v>185</v>
      </c>
      <c r="K455" s="25" t="s">
        <v>1449</v>
      </c>
      <c r="L455">
        <v>303</v>
      </c>
      <c r="M455" t="s">
        <v>1798</v>
      </c>
      <c r="N455">
        <v>300</v>
      </c>
      <c r="O455" s="1" t="s">
        <v>223</v>
      </c>
      <c r="P455" s="1" t="s">
        <v>1052</v>
      </c>
      <c r="Q455" s="25">
        <v>-27.288084000000001</v>
      </c>
      <c r="R455" s="25">
        <v>-49.796143000000001</v>
      </c>
      <c r="S455">
        <v>-51.956099999999999</v>
      </c>
      <c r="T455">
        <v>-37.027299999999997</v>
      </c>
      <c r="U455">
        <v>51.956099999999999</v>
      </c>
      <c r="V455" t="s">
        <v>1539</v>
      </c>
      <c r="W455" t="s">
        <v>15</v>
      </c>
      <c r="X455" t="s">
        <v>17</v>
      </c>
      <c r="Y455" s="1" t="s">
        <v>960</v>
      </c>
    </row>
    <row r="456" spans="1:25" x14ac:dyDescent="0.25">
      <c r="A456" s="4">
        <v>783</v>
      </c>
      <c r="B456" s="9" t="s">
        <v>1396</v>
      </c>
      <c r="C456" s="18" t="s">
        <v>1372</v>
      </c>
      <c r="D456" s="6" t="s">
        <v>28</v>
      </c>
      <c r="E456" s="10">
        <v>6</v>
      </c>
      <c r="F456">
        <v>2</v>
      </c>
      <c r="G456">
        <v>1</v>
      </c>
      <c r="H456" t="s">
        <v>221</v>
      </c>
      <c r="I456" t="s">
        <v>24</v>
      </c>
      <c r="J456" t="s">
        <v>185</v>
      </c>
      <c r="K456" s="25" t="s">
        <v>1449</v>
      </c>
      <c r="L456">
        <v>303</v>
      </c>
      <c r="M456" t="s">
        <v>1798</v>
      </c>
      <c r="N456">
        <v>300</v>
      </c>
      <c r="O456" s="1" t="s">
        <v>223</v>
      </c>
      <c r="P456" s="1" t="s">
        <v>1052</v>
      </c>
      <c r="Q456" s="25">
        <v>-27.288084000000001</v>
      </c>
      <c r="R456" s="25">
        <v>-49.796143000000001</v>
      </c>
      <c r="S456">
        <v>-51.956099999999999</v>
      </c>
      <c r="T456">
        <v>-37.027299999999997</v>
      </c>
      <c r="U456">
        <v>51.956099999999999</v>
      </c>
      <c r="V456" t="s">
        <v>1539</v>
      </c>
      <c r="W456" t="s">
        <v>15</v>
      </c>
      <c r="X456" t="s">
        <v>17</v>
      </c>
      <c r="Y456" s="1" t="s">
        <v>960</v>
      </c>
    </row>
    <row r="457" spans="1:25" x14ac:dyDescent="0.25">
      <c r="A457" s="4">
        <v>784</v>
      </c>
      <c r="B457" s="9" t="s">
        <v>1397</v>
      </c>
      <c r="C457" s="18" t="s">
        <v>1372</v>
      </c>
      <c r="D457" s="6" t="s">
        <v>28</v>
      </c>
      <c r="E457" s="10">
        <v>6</v>
      </c>
      <c r="F457">
        <v>14</v>
      </c>
      <c r="G457">
        <v>6</v>
      </c>
      <c r="H457" t="s">
        <v>221</v>
      </c>
      <c r="I457" t="s">
        <v>24</v>
      </c>
      <c r="J457" t="s">
        <v>185</v>
      </c>
      <c r="K457" s="25" t="s">
        <v>1449</v>
      </c>
      <c r="L457">
        <v>303</v>
      </c>
      <c r="M457" t="s">
        <v>1798</v>
      </c>
      <c r="N457">
        <v>300</v>
      </c>
      <c r="O457" s="1" t="s">
        <v>223</v>
      </c>
      <c r="P457" s="1" t="s">
        <v>1052</v>
      </c>
      <c r="Q457" s="25">
        <v>-27.288084000000001</v>
      </c>
      <c r="R457" s="25">
        <v>-49.796143000000001</v>
      </c>
      <c r="S457">
        <v>-51.956099999999999</v>
      </c>
      <c r="T457">
        <v>-37.027299999999997</v>
      </c>
      <c r="U457">
        <v>51.956099999999999</v>
      </c>
      <c r="V457" t="s">
        <v>1539</v>
      </c>
      <c r="W457" t="s">
        <v>15</v>
      </c>
      <c r="X457" t="s">
        <v>17</v>
      </c>
      <c r="Y457" s="1" t="s">
        <v>960</v>
      </c>
    </row>
    <row r="458" spans="1:25" x14ac:dyDescent="0.25">
      <c r="A458" s="4">
        <v>785</v>
      </c>
      <c r="B458" s="9" t="s">
        <v>1398</v>
      </c>
      <c r="C458" s="18" t="s">
        <v>1372</v>
      </c>
      <c r="D458" s="6" t="s">
        <v>28</v>
      </c>
      <c r="E458" s="10">
        <v>6</v>
      </c>
      <c r="F458">
        <v>15</v>
      </c>
      <c r="G458">
        <v>7</v>
      </c>
      <c r="H458" t="s">
        <v>221</v>
      </c>
      <c r="I458" t="s">
        <v>24</v>
      </c>
      <c r="J458" t="s">
        <v>185</v>
      </c>
      <c r="K458" s="25" t="s">
        <v>1449</v>
      </c>
      <c r="L458">
        <v>303</v>
      </c>
      <c r="M458" t="s">
        <v>1798</v>
      </c>
      <c r="N458">
        <v>300</v>
      </c>
      <c r="O458" s="1" t="s">
        <v>223</v>
      </c>
      <c r="P458" s="1" t="s">
        <v>1052</v>
      </c>
      <c r="Q458" s="25">
        <v>-27.288084000000001</v>
      </c>
      <c r="R458" s="25">
        <v>-49.796143000000001</v>
      </c>
      <c r="S458">
        <v>-51.956099999999999</v>
      </c>
      <c r="T458">
        <v>-37.027299999999997</v>
      </c>
      <c r="U458">
        <v>51.956099999999999</v>
      </c>
      <c r="V458" t="s">
        <v>1539</v>
      </c>
      <c r="W458" t="s">
        <v>15</v>
      </c>
      <c r="X458" t="s">
        <v>17</v>
      </c>
      <c r="Y458" s="1" t="s">
        <v>960</v>
      </c>
    </row>
    <row r="459" spans="1:25" x14ac:dyDescent="0.25">
      <c r="A459" s="4">
        <v>786</v>
      </c>
      <c r="B459" s="9" t="s">
        <v>1399</v>
      </c>
      <c r="C459" s="18" t="s">
        <v>1372</v>
      </c>
      <c r="D459" s="6" t="s">
        <v>28</v>
      </c>
      <c r="E459" s="10">
        <v>6</v>
      </c>
      <c r="F459">
        <v>8.3000000000000007</v>
      </c>
      <c r="G459">
        <v>4</v>
      </c>
      <c r="H459" t="s">
        <v>221</v>
      </c>
      <c r="I459" t="s">
        <v>24</v>
      </c>
      <c r="J459" t="s">
        <v>185</v>
      </c>
      <c r="K459" s="25" t="s">
        <v>1449</v>
      </c>
      <c r="L459">
        <v>303</v>
      </c>
      <c r="M459" t="s">
        <v>1798</v>
      </c>
      <c r="N459">
        <v>300</v>
      </c>
      <c r="O459" s="1" t="s">
        <v>223</v>
      </c>
      <c r="P459" s="1" t="s">
        <v>1052</v>
      </c>
      <c r="Q459" s="25">
        <v>-27.288084000000001</v>
      </c>
      <c r="R459" s="25">
        <v>-49.796143000000001</v>
      </c>
      <c r="S459">
        <v>-51.956099999999999</v>
      </c>
      <c r="T459">
        <v>-37.027299999999997</v>
      </c>
      <c r="U459">
        <v>51.956099999999999</v>
      </c>
      <c r="V459" t="s">
        <v>1539</v>
      </c>
      <c r="W459" t="s">
        <v>15</v>
      </c>
      <c r="X459" t="s">
        <v>17</v>
      </c>
      <c r="Y459" s="1" t="s">
        <v>960</v>
      </c>
    </row>
    <row r="460" spans="1:25" x14ac:dyDescent="0.25">
      <c r="A460" s="4">
        <v>787</v>
      </c>
      <c r="B460" s="9" t="s">
        <v>1400</v>
      </c>
      <c r="C460" s="18" t="s">
        <v>1372</v>
      </c>
      <c r="D460" s="6" t="s">
        <v>28</v>
      </c>
      <c r="E460" s="10">
        <v>6</v>
      </c>
      <c r="F460">
        <v>7</v>
      </c>
      <c r="G460">
        <v>3.2</v>
      </c>
      <c r="H460" t="s">
        <v>221</v>
      </c>
      <c r="I460" t="s">
        <v>24</v>
      </c>
      <c r="J460" t="s">
        <v>185</v>
      </c>
      <c r="K460" s="25" t="s">
        <v>1449</v>
      </c>
      <c r="L460">
        <v>303</v>
      </c>
      <c r="M460" t="s">
        <v>1798</v>
      </c>
      <c r="N460">
        <v>300</v>
      </c>
      <c r="O460" s="1" t="s">
        <v>223</v>
      </c>
      <c r="P460" s="1" t="s">
        <v>1052</v>
      </c>
      <c r="Q460" s="25">
        <v>-27.288084000000001</v>
      </c>
      <c r="R460" s="25">
        <v>-49.796143000000001</v>
      </c>
      <c r="S460">
        <v>-51.956099999999999</v>
      </c>
      <c r="T460">
        <v>-37.027299999999997</v>
      </c>
      <c r="U460">
        <v>51.956099999999999</v>
      </c>
      <c r="V460" t="s">
        <v>1539</v>
      </c>
      <c r="W460" t="s">
        <v>15</v>
      </c>
      <c r="X460" t="s">
        <v>17</v>
      </c>
      <c r="Y460" s="1" t="s">
        <v>960</v>
      </c>
    </row>
    <row r="461" spans="1:25" x14ac:dyDescent="0.25">
      <c r="A461" s="4">
        <v>788</v>
      </c>
      <c r="B461" s="9" t="s">
        <v>1385</v>
      </c>
      <c r="C461" s="18" t="s">
        <v>1372</v>
      </c>
      <c r="D461" s="6" t="s">
        <v>28</v>
      </c>
      <c r="E461" s="10">
        <v>6</v>
      </c>
      <c r="F461">
        <v>9.6999999999999993</v>
      </c>
      <c r="G461">
        <v>6</v>
      </c>
      <c r="H461" t="s">
        <v>221</v>
      </c>
      <c r="I461" t="s">
        <v>24</v>
      </c>
      <c r="J461" t="s">
        <v>185</v>
      </c>
      <c r="K461" s="25" t="s">
        <v>1449</v>
      </c>
      <c r="L461">
        <v>303</v>
      </c>
      <c r="M461" t="s">
        <v>1798</v>
      </c>
      <c r="N461">
        <v>300</v>
      </c>
      <c r="O461" s="1" t="s">
        <v>223</v>
      </c>
      <c r="P461" s="1" t="s">
        <v>1052</v>
      </c>
      <c r="Q461" s="25">
        <v>-27.288084000000001</v>
      </c>
      <c r="R461" s="25">
        <v>-49.796143000000001</v>
      </c>
      <c r="S461">
        <v>-51.956099999999999</v>
      </c>
      <c r="T461">
        <v>-37.027299999999997</v>
      </c>
      <c r="U461">
        <v>51.956099999999999</v>
      </c>
      <c r="V461" t="s">
        <v>1539</v>
      </c>
      <c r="W461" t="s">
        <v>15</v>
      </c>
      <c r="X461" t="s">
        <v>17</v>
      </c>
      <c r="Y461" s="1" t="s">
        <v>960</v>
      </c>
    </row>
    <row r="462" spans="1:25" x14ac:dyDescent="0.25">
      <c r="A462" s="4">
        <v>789</v>
      </c>
      <c r="B462" s="9" t="s">
        <v>1401</v>
      </c>
      <c r="C462" s="18" t="s">
        <v>1372</v>
      </c>
      <c r="D462" s="6" t="s">
        <v>28</v>
      </c>
      <c r="E462" s="10">
        <v>6</v>
      </c>
      <c r="F462">
        <v>9</v>
      </c>
      <c r="G462">
        <v>5.4</v>
      </c>
      <c r="H462" t="s">
        <v>221</v>
      </c>
      <c r="I462" t="s">
        <v>24</v>
      </c>
      <c r="J462" t="s">
        <v>185</v>
      </c>
      <c r="K462" s="25" t="s">
        <v>1449</v>
      </c>
      <c r="L462">
        <v>303</v>
      </c>
      <c r="M462" t="s">
        <v>1798</v>
      </c>
      <c r="N462">
        <v>300</v>
      </c>
      <c r="O462" s="1" t="s">
        <v>223</v>
      </c>
      <c r="P462" s="1" t="s">
        <v>1052</v>
      </c>
      <c r="Q462" s="25">
        <v>-27.288084000000001</v>
      </c>
      <c r="R462" s="25">
        <v>-49.796143000000001</v>
      </c>
      <c r="S462">
        <v>-51.956099999999999</v>
      </c>
      <c r="T462">
        <v>-37.027299999999997</v>
      </c>
      <c r="U462">
        <v>51.956099999999999</v>
      </c>
      <c r="V462" t="s">
        <v>1539</v>
      </c>
      <c r="W462" t="s">
        <v>15</v>
      </c>
      <c r="X462" t="s">
        <v>17</v>
      </c>
      <c r="Y462" s="1" t="s">
        <v>960</v>
      </c>
    </row>
    <row r="463" spans="1:25" x14ac:dyDescent="0.25">
      <c r="A463" s="4">
        <v>790</v>
      </c>
      <c r="B463" s="9" t="s">
        <v>1402</v>
      </c>
      <c r="C463" s="18" t="s">
        <v>1372</v>
      </c>
      <c r="D463" s="6" t="s">
        <v>28</v>
      </c>
      <c r="E463" s="10">
        <v>6</v>
      </c>
      <c r="F463">
        <v>6</v>
      </c>
      <c r="G463">
        <v>3.1</v>
      </c>
      <c r="H463" t="s">
        <v>221</v>
      </c>
      <c r="I463" t="s">
        <v>24</v>
      </c>
      <c r="J463" t="s">
        <v>185</v>
      </c>
      <c r="K463" s="25" t="s">
        <v>1449</v>
      </c>
      <c r="L463">
        <v>303</v>
      </c>
      <c r="M463" t="s">
        <v>1798</v>
      </c>
      <c r="N463">
        <v>300</v>
      </c>
      <c r="O463" s="1" t="s">
        <v>223</v>
      </c>
      <c r="P463" s="1" t="s">
        <v>1052</v>
      </c>
      <c r="Q463" s="25">
        <v>-27.288084000000001</v>
      </c>
      <c r="R463" s="25">
        <v>-49.796143000000001</v>
      </c>
      <c r="S463">
        <v>-51.956099999999999</v>
      </c>
      <c r="T463">
        <v>-37.027299999999997</v>
      </c>
      <c r="U463">
        <v>51.956099999999999</v>
      </c>
      <c r="V463" t="s">
        <v>1539</v>
      </c>
      <c r="W463" t="s">
        <v>15</v>
      </c>
      <c r="X463" t="s">
        <v>17</v>
      </c>
      <c r="Y463" s="1" t="s">
        <v>960</v>
      </c>
    </row>
    <row r="464" spans="1:25" x14ac:dyDescent="0.25">
      <c r="A464" s="4">
        <v>791</v>
      </c>
      <c r="B464" s="9" t="s">
        <v>1403</v>
      </c>
      <c r="C464" s="18" t="s">
        <v>1372</v>
      </c>
      <c r="D464" s="6" t="s">
        <v>28</v>
      </c>
      <c r="E464" s="10">
        <v>6</v>
      </c>
      <c r="F464">
        <v>18</v>
      </c>
      <c r="G464">
        <v>9</v>
      </c>
      <c r="H464" t="s">
        <v>221</v>
      </c>
      <c r="I464" t="s">
        <v>24</v>
      </c>
      <c r="J464" t="s">
        <v>185</v>
      </c>
      <c r="K464" s="25" t="s">
        <v>1449</v>
      </c>
      <c r="L464">
        <v>303</v>
      </c>
      <c r="M464" t="s">
        <v>1798</v>
      </c>
      <c r="N464">
        <v>300</v>
      </c>
      <c r="O464" s="1" t="s">
        <v>223</v>
      </c>
      <c r="P464" s="1" t="s">
        <v>1052</v>
      </c>
      <c r="Q464" s="25">
        <v>-27.288084000000001</v>
      </c>
      <c r="R464" s="25">
        <v>-49.796143000000001</v>
      </c>
      <c r="S464">
        <v>-51.956099999999999</v>
      </c>
      <c r="T464">
        <v>-37.027299999999997</v>
      </c>
      <c r="U464">
        <v>51.956099999999999</v>
      </c>
      <c r="V464" t="s">
        <v>1539</v>
      </c>
      <c r="W464" t="s">
        <v>15</v>
      </c>
      <c r="X464" t="s">
        <v>17</v>
      </c>
      <c r="Y464" s="1" t="s">
        <v>960</v>
      </c>
    </row>
    <row r="465" spans="1:25" x14ac:dyDescent="0.25">
      <c r="A465" s="4">
        <v>792</v>
      </c>
      <c r="B465" s="9" t="s">
        <v>1404</v>
      </c>
      <c r="C465" s="18" t="s">
        <v>1372</v>
      </c>
      <c r="D465" s="6" t="s">
        <v>28</v>
      </c>
      <c r="E465" s="10">
        <v>6</v>
      </c>
      <c r="F465">
        <v>26</v>
      </c>
      <c r="G465">
        <v>8.3000000000000007</v>
      </c>
      <c r="H465" t="s">
        <v>221</v>
      </c>
      <c r="I465" t="s">
        <v>24</v>
      </c>
      <c r="J465" t="s">
        <v>185</v>
      </c>
      <c r="K465" s="25" t="s">
        <v>1449</v>
      </c>
      <c r="L465">
        <v>303</v>
      </c>
      <c r="M465" t="s">
        <v>1798</v>
      </c>
      <c r="N465">
        <v>300</v>
      </c>
      <c r="O465" s="1" t="s">
        <v>223</v>
      </c>
      <c r="P465" s="1" t="s">
        <v>1052</v>
      </c>
      <c r="Q465" s="25">
        <v>-27.288084000000001</v>
      </c>
      <c r="R465" s="25">
        <v>-49.796143000000001</v>
      </c>
      <c r="S465">
        <v>-51.956099999999999</v>
      </c>
      <c r="T465">
        <v>-37.027299999999997</v>
      </c>
      <c r="U465">
        <v>51.956099999999999</v>
      </c>
      <c r="V465" t="s">
        <v>1539</v>
      </c>
      <c r="W465" t="s">
        <v>15</v>
      </c>
      <c r="X465" t="s">
        <v>17</v>
      </c>
      <c r="Y465" s="1" t="s">
        <v>960</v>
      </c>
    </row>
    <row r="466" spans="1:25" x14ac:dyDescent="0.25">
      <c r="A466" s="4">
        <v>793</v>
      </c>
      <c r="B466" s="9" t="s">
        <v>1405</v>
      </c>
      <c r="C466" s="18" t="s">
        <v>1372</v>
      </c>
      <c r="D466" s="6" t="s">
        <v>28</v>
      </c>
      <c r="E466" s="10">
        <v>6</v>
      </c>
      <c r="F466">
        <v>6</v>
      </c>
      <c r="G466">
        <v>3</v>
      </c>
      <c r="H466" t="s">
        <v>221</v>
      </c>
      <c r="I466" t="s">
        <v>24</v>
      </c>
      <c r="J466" t="s">
        <v>185</v>
      </c>
      <c r="K466" s="25" t="s">
        <v>1449</v>
      </c>
      <c r="L466">
        <v>303</v>
      </c>
      <c r="M466" t="s">
        <v>1798</v>
      </c>
      <c r="N466">
        <v>300</v>
      </c>
      <c r="O466" s="1" t="s">
        <v>223</v>
      </c>
      <c r="P466" s="1" t="s">
        <v>1052</v>
      </c>
      <c r="Q466" s="25">
        <v>-27.288084000000001</v>
      </c>
      <c r="R466" s="25">
        <v>-49.796143000000001</v>
      </c>
      <c r="S466">
        <v>-51.956099999999999</v>
      </c>
      <c r="T466">
        <v>-37.027299999999997</v>
      </c>
      <c r="U466">
        <v>51.956099999999999</v>
      </c>
      <c r="V466" t="s">
        <v>1539</v>
      </c>
      <c r="W466" t="s">
        <v>15</v>
      </c>
      <c r="X466" t="s">
        <v>17</v>
      </c>
      <c r="Y466" s="1" t="s">
        <v>960</v>
      </c>
    </row>
    <row r="467" spans="1:25" x14ac:dyDescent="0.25">
      <c r="A467" s="4">
        <v>794</v>
      </c>
      <c r="B467" s="9" t="s">
        <v>1406</v>
      </c>
      <c r="C467" s="18" t="s">
        <v>1372</v>
      </c>
      <c r="D467" s="6" t="s">
        <v>28</v>
      </c>
      <c r="E467" s="10">
        <v>6</v>
      </c>
      <c r="F467">
        <v>10</v>
      </c>
      <c r="G467">
        <v>5</v>
      </c>
      <c r="H467" t="s">
        <v>221</v>
      </c>
      <c r="I467" t="s">
        <v>24</v>
      </c>
      <c r="J467" t="s">
        <v>185</v>
      </c>
      <c r="K467" s="25" t="s">
        <v>1449</v>
      </c>
      <c r="L467">
        <v>303</v>
      </c>
      <c r="M467" t="s">
        <v>1798</v>
      </c>
      <c r="N467">
        <v>300</v>
      </c>
      <c r="O467" s="1" t="s">
        <v>223</v>
      </c>
      <c r="P467" s="1" t="s">
        <v>1052</v>
      </c>
      <c r="Q467" s="25">
        <v>-27.288084000000001</v>
      </c>
      <c r="R467" s="25">
        <v>-49.796143000000001</v>
      </c>
      <c r="S467">
        <v>-51.956099999999999</v>
      </c>
      <c r="T467">
        <v>-37.027299999999997</v>
      </c>
      <c r="U467">
        <v>51.956099999999999</v>
      </c>
      <c r="V467" t="s">
        <v>1539</v>
      </c>
      <c r="W467" t="s">
        <v>15</v>
      </c>
      <c r="X467" t="s">
        <v>17</v>
      </c>
      <c r="Y467" s="1" t="s">
        <v>960</v>
      </c>
    </row>
    <row r="468" spans="1:25" x14ac:dyDescent="0.25">
      <c r="A468" s="4">
        <v>795</v>
      </c>
      <c r="B468" s="9" t="s">
        <v>1407</v>
      </c>
      <c r="C468" s="18" t="s">
        <v>1372</v>
      </c>
      <c r="D468" s="6" t="s">
        <v>28</v>
      </c>
      <c r="E468" s="10">
        <v>6</v>
      </c>
      <c r="F468">
        <v>8</v>
      </c>
      <c r="G468">
        <v>4</v>
      </c>
      <c r="H468" t="s">
        <v>221</v>
      </c>
      <c r="I468" t="s">
        <v>24</v>
      </c>
      <c r="J468" t="s">
        <v>185</v>
      </c>
      <c r="K468" s="25" t="s">
        <v>1449</v>
      </c>
      <c r="L468">
        <v>303</v>
      </c>
      <c r="M468" t="s">
        <v>1798</v>
      </c>
      <c r="N468">
        <v>300</v>
      </c>
      <c r="O468" s="1" t="s">
        <v>223</v>
      </c>
      <c r="P468" s="1" t="s">
        <v>1052</v>
      </c>
      <c r="Q468" s="25">
        <v>-27.288084000000001</v>
      </c>
      <c r="R468" s="25">
        <v>-49.796143000000001</v>
      </c>
      <c r="S468">
        <v>-51.956099999999999</v>
      </c>
      <c r="T468">
        <v>-37.027299999999997</v>
      </c>
      <c r="U468">
        <v>51.956099999999999</v>
      </c>
      <c r="V468" t="s">
        <v>1539</v>
      </c>
      <c r="W468" t="s">
        <v>15</v>
      </c>
      <c r="X468" t="s">
        <v>17</v>
      </c>
      <c r="Y468" s="1" t="s">
        <v>960</v>
      </c>
    </row>
    <row r="469" spans="1:25" x14ac:dyDescent="0.25">
      <c r="A469" s="4">
        <v>796</v>
      </c>
      <c r="B469" s="9" t="s">
        <v>1408</v>
      </c>
      <c r="C469" s="18" t="s">
        <v>1372</v>
      </c>
      <c r="D469" s="6" t="s">
        <v>28</v>
      </c>
      <c r="E469" s="10">
        <v>6</v>
      </c>
      <c r="F469">
        <v>9</v>
      </c>
      <c r="G469">
        <v>5</v>
      </c>
      <c r="H469" t="s">
        <v>221</v>
      </c>
      <c r="I469" t="s">
        <v>24</v>
      </c>
      <c r="J469" t="s">
        <v>185</v>
      </c>
      <c r="K469" s="25" t="s">
        <v>1449</v>
      </c>
      <c r="L469">
        <v>303</v>
      </c>
      <c r="M469" t="s">
        <v>1798</v>
      </c>
      <c r="N469">
        <v>300</v>
      </c>
      <c r="O469" s="1" t="s">
        <v>223</v>
      </c>
      <c r="P469" s="1" t="s">
        <v>1052</v>
      </c>
      <c r="Q469" s="25">
        <v>-27.288084000000001</v>
      </c>
      <c r="R469" s="25">
        <v>-49.796143000000001</v>
      </c>
      <c r="S469">
        <v>-51.956099999999999</v>
      </c>
      <c r="T469">
        <v>-37.027299999999997</v>
      </c>
      <c r="U469">
        <v>51.956099999999999</v>
      </c>
      <c r="V469" t="s">
        <v>1539</v>
      </c>
      <c r="W469" t="s">
        <v>15</v>
      </c>
      <c r="X469" t="s">
        <v>17</v>
      </c>
      <c r="Y469" s="1" t="s">
        <v>960</v>
      </c>
    </row>
    <row r="470" spans="1:25" x14ac:dyDescent="0.25">
      <c r="A470" s="4">
        <v>797</v>
      </c>
      <c r="B470" s="9" t="s">
        <v>1409</v>
      </c>
      <c r="C470" s="18" t="s">
        <v>1372</v>
      </c>
      <c r="D470" s="6" t="s">
        <v>28</v>
      </c>
      <c r="E470" s="10">
        <v>6</v>
      </c>
      <c r="F470">
        <v>9</v>
      </c>
      <c r="G470">
        <v>5</v>
      </c>
      <c r="H470" t="s">
        <v>221</v>
      </c>
      <c r="I470" t="s">
        <v>24</v>
      </c>
      <c r="J470" t="s">
        <v>185</v>
      </c>
      <c r="K470" s="25" t="s">
        <v>1449</v>
      </c>
      <c r="L470">
        <v>303</v>
      </c>
      <c r="M470" t="s">
        <v>1798</v>
      </c>
      <c r="N470">
        <v>300</v>
      </c>
      <c r="O470" s="1" t="s">
        <v>223</v>
      </c>
      <c r="P470" s="1" t="s">
        <v>1052</v>
      </c>
      <c r="Q470" s="25">
        <v>-27.288084000000001</v>
      </c>
      <c r="R470" s="25">
        <v>-49.796143000000001</v>
      </c>
      <c r="S470">
        <v>-51.956099999999999</v>
      </c>
      <c r="T470">
        <v>-37.027299999999997</v>
      </c>
      <c r="U470">
        <v>51.956099999999999</v>
      </c>
      <c r="V470" t="s">
        <v>1539</v>
      </c>
      <c r="W470" t="s">
        <v>15</v>
      </c>
      <c r="X470" t="s">
        <v>17</v>
      </c>
      <c r="Y470" s="1" t="s">
        <v>960</v>
      </c>
    </row>
    <row r="471" spans="1:25" x14ac:dyDescent="0.25">
      <c r="A471" s="4">
        <v>799</v>
      </c>
      <c r="B471" s="9" t="s">
        <v>1410</v>
      </c>
      <c r="C471" s="18" t="s">
        <v>1372</v>
      </c>
      <c r="D471" s="6" t="s">
        <v>28</v>
      </c>
      <c r="E471" s="10">
        <v>6</v>
      </c>
      <c r="F471">
        <v>4</v>
      </c>
      <c r="G471">
        <v>2</v>
      </c>
      <c r="H471" t="s">
        <v>221</v>
      </c>
      <c r="I471" t="s">
        <v>24</v>
      </c>
      <c r="J471" t="s">
        <v>185</v>
      </c>
      <c r="K471" s="25" t="s">
        <v>1449</v>
      </c>
      <c r="L471">
        <v>303</v>
      </c>
      <c r="M471" t="s">
        <v>1798</v>
      </c>
      <c r="N471">
        <v>300</v>
      </c>
      <c r="O471" s="1" t="s">
        <v>223</v>
      </c>
      <c r="P471" s="1" t="s">
        <v>1052</v>
      </c>
      <c r="Q471" s="25">
        <v>-27.288084000000001</v>
      </c>
      <c r="R471" s="25">
        <v>-49.796143000000001</v>
      </c>
      <c r="S471">
        <v>-51.956099999999999</v>
      </c>
      <c r="T471">
        <v>-37.027299999999997</v>
      </c>
      <c r="U471">
        <v>51.956099999999999</v>
      </c>
      <c r="V471" t="s">
        <v>1539</v>
      </c>
      <c r="W471" t="s">
        <v>15</v>
      </c>
      <c r="X471" t="s">
        <v>17</v>
      </c>
      <c r="Y471" s="1" t="s">
        <v>960</v>
      </c>
    </row>
    <row r="472" spans="1:25" x14ac:dyDescent="0.25">
      <c r="A472" s="4">
        <v>800</v>
      </c>
      <c r="B472" s="9" t="s">
        <v>1411</v>
      </c>
      <c r="C472" s="18" t="s">
        <v>1372</v>
      </c>
      <c r="D472" s="6" t="s">
        <v>28</v>
      </c>
      <c r="E472" s="10">
        <v>6</v>
      </c>
      <c r="F472">
        <v>8</v>
      </c>
      <c r="G472">
        <v>4.5999999999999996</v>
      </c>
      <c r="H472" t="s">
        <v>221</v>
      </c>
      <c r="I472" t="s">
        <v>24</v>
      </c>
      <c r="J472" t="s">
        <v>185</v>
      </c>
      <c r="K472" s="25" t="s">
        <v>1449</v>
      </c>
      <c r="L472">
        <v>303</v>
      </c>
      <c r="M472" t="s">
        <v>1798</v>
      </c>
      <c r="N472">
        <v>300</v>
      </c>
      <c r="O472" s="1" t="s">
        <v>223</v>
      </c>
      <c r="P472" s="1" t="s">
        <v>1052</v>
      </c>
      <c r="Q472" s="25">
        <v>-27.288084000000001</v>
      </c>
      <c r="R472" s="25">
        <v>-49.796143000000001</v>
      </c>
      <c r="S472">
        <v>-51.956099999999999</v>
      </c>
      <c r="T472">
        <v>-37.027299999999997</v>
      </c>
      <c r="U472">
        <v>51.956099999999999</v>
      </c>
      <c r="V472" t="s">
        <v>1539</v>
      </c>
      <c r="W472" t="s">
        <v>15</v>
      </c>
      <c r="X472" t="s">
        <v>17</v>
      </c>
      <c r="Y472" s="1" t="s">
        <v>960</v>
      </c>
    </row>
    <row r="473" spans="1:25" x14ac:dyDescent="0.25">
      <c r="A473" s="4">
        <v>801</v>
      </c>
      <c r="B473" s="9" t="s">
        <v>1412</v>
      </c>
      <c r="C473" s="18" t="s">
        <v>1372</v>
      </c>
      <c r="D473" s="6" t="s">
        <v>28</v>
      </c>
      <c r="E473" s="10">
        <v>6</v>
      </c>
      <c r="F473">
        <v>4</v>
      </c>
      <c r="G473">
        <v>2</v>
      </c>
      <c r="H473" t="s">
        <v>221</v>
      </c>
      <c r="I473" t="s">
        <v>24</v>
      </c>
      <c r="J473" t="s">
        <v>185</v>
      </c>
      <c r="K473" s="25" t="s">
        <v>1449</v>
      </c>
      <c r="L473">
        <v>303</v>
      </c>
      <c r="M473" t="s">
        <v>1798</v>
      </c>
      <c r="N473">
        <v>300</v>
      </c>
      <c r="O473" s="1" t="s">
        <v>223</v>
      </c>
      <c r="P473" s="1" t="s">
        <v>1052</v>
      </c>
      <c r="Q473" s="25">
        <v>-27.288084000000001</v>
      </c>
      <c r="R473" s="25">
        <v>-49.796143000000001</v>
      </c>
      <c r="S473">
        <v>-51.956099999999999</v>
      </c>
      <c r="T473">
        <v>-37.027299999999997</v>
      </c>
      <c r="U473">
        <v>51.956099999999999</v>
      </c>
      <c r="V473" t="s">
        <v>1539</v>
      </c>
      <c r="W473" t="s">
        <v>15</v>
      </c>
      <c r="X473" t="s">
        <v>17</v>
      </c>
      <c r="Y473" s="1" t="s">
        <v>960</v>
      </c>
    </row>
    <row r="474" spans="1:25" x14ac:dyDescent="0.25">
      <c r="A474" s="4">
        <v>802</v>
      </c>
      <c r="B474" s="9" t="s">
        <v>1384</v>
      </c>
      <c r="C474" s="18" t="s">
        <v>1372</v>
      </c>
      <c r="D474" s="6" t="s">
        <v>28</v>
      </c>
      <c r="E474" s="10">
        <v>6</v>
      </c>
      <c r="F474">
        <v>15</v>
      </c>
      <c r="G474">
        <v>7</v>
      </c>
      <c r="H474" t="s">
        <v>221</v>
      </c>
      <c r="I474" t="s">
        <v>24</v>
      </c>
      <c r="J474" t="s">
        <v>185</v>
      </c>
      <c r="K474" s="25" t="s">
        <v>1449</v>
      </c>
      <c r="L474">
        <v>303</v>
      </c>
      <c r="M474" t="s">
        <v>1798</v>
      </c>
      <c r="N474">
        <v>300</v>
      </c>
      <c r="O474" s="1" t="s">
        <v>223</v>
      </c>
      <c r="P474" s="1" t="s">
        <v>1052</v>
      </c>
      <c r="Q474" s="25">
        <v>-27.288084000000001</v>
      </c>
      <c r="R474" s="25">
        <v>-49.796143000000001</v>
      </c>
      <c r="S474">
        <v>-51.956099999999999</v>
      </c>
      <c r="T474">
        <v>-37.027299999999997</v>
      </c>
      <c r="U474">
        <v>51.956099999999999</v>
      </c>
      <c r="V474" t="s">
        <v>1539</v>
      </c>
      <c r="W474" t="s">
        <v>15</v>
      </c>
      <c r="X474" t="s">
        <v>17</v>
      </c>
      <c r="Y474" s="1" t="s">
        <v>960</v>
      </c>
    </row>
    <row r="475" spans="1:25" x14ac:dyDescent="0.25">
      <c r="A475" s="4">
        <v>803</v>
      </c>
      <c r="B475" s="9" t="s">
        <v>1413</v>
      </c>
      <c r="C475" s="18" t="s">
        <v>1372</v>
      </c>
      <c r="D475" s="6" t="s">
        <v>28</v>
      </c>
      <c r="E475" s="10">
        <v>6</v>
      </c>
      <c r="F475">
        <v>7</v>
      </c>
      <c r="G475">
        <v>4</v>
      </c>
      <c r="H475" t="s">
        <v>221</v>
      </c>
      <c r="I475" t="s">
        <v>24</v>
      </c>
      <c r="J475" t="s">
        <v>185</v>
      </c>
      <c r="K475" s="25" t="s">
        <v>1449</v>
      </c>
      <c r="L475">
        <v>303</v>
      </c>
      <c r="M475" t="s">
        <v>1798</v>
      </c>
      <c r="N475">
        <v>300</v>
      </c>
      <c r="O475" s="1" t="s">
        <v>223</v>
      </c>
      <c r="P475" s="1" t="s">
        <v>1052</v>
      </c>
      <c r="Q475" s="25">
        <v>-27.288084000000001</v>
      </c>
      <c r="R475" s="25">
        <v>-49.796143000000001</v>
      </c>
      <c r="S475">
        <v>-51.956099999999999</v>
      </c>
      <c r="T475">
        <v>-37.027299999999997</v>
      </c>
      <c r="U475">
        <v>51.956099999999999</v>
      </c>
      <c r="V475" t="s">
        <v>1539</v>
      </c>
      <c r="W475" t="s">
        <v>15</v>
      </c>
      <c r="X475" t="s">
        <v>17</v>
      </c>
      <c r="Y475" s="1" t="s">
        <v>960</v>
      </c>
    </row>
    <row r="476" spans="1:25" x14ac:dyDescent="0.25">
      <c r="A476" s="4">
        <v>804</v>
      </c>
      <c r="B476" s="9" t="s">
        <v>1414</v>
      </c>
      <c r="C476" s="18" t="s">
        <v>1372</v>
      </c>
      <c r="D476" s="6" t="s">
        <v>28</v>
      </c>
      <c r="E476" s="10">
        <v>6</v>
      </c>
      <c r="F476">
        <v>10</v>
      </c>
      <c r="G476">
        <v>5.4</v>
      </c>
      <c r="H476" t="s">
        <v>221</v>
      </c>
      <c r="I476" t="s">
        <v>24</v>
      </c>
      <c r="J476" t="s">
        <v>185</v>
      </c>
      <c r="K476" s="25" t="s">
        <v>1449</v>
      </c>
      <c r="L476">
        <v>303</v>
      </c>
      <c r="M476" t="s">
        <v>1798</v>
      </c>
      <c r="N476">
        <v>300</v>
      </c>
      <c r="O476" s="1" t="s">
        <v>223</v>
      </c>
      <c r="P476" s="1" t="s">
        <v>1052</v>
      </c>
      <c r="Q476" s="25">
        <v>-27.288084000000001</v>
      </c>
      <c r="R476" s="25">
        <v>-49.796143000000001</v>
      </c>
      <c r="S476">
        <v>-51.956099999999999</v>
      </c>
      <c r="T476">
        <v>-37.027299999999997</v>
      </c>
      <c r="U476">
        <v>51.956099999999999</v>
      </c>
      <c r="V476" t="s">
        <v>1539</v>
      </c>
      <c r="W476" t="s">
        <v>15</v>
      </c>
      <c r="X476" t="s">
        <v>17</v>
      </c>
      <c r="Y476" s="1" t="s">
        <v>960</v>
      </c>
    </row>
    <row r="477" spans="1:25" x14ac:dyDescent="0.25">
      <c r="A477" s="4">
        <v>806</v>
      </c>
      <c r="B477" s="9" t="s">
        <v>1407</v>
      </c>
      <c r="C477" s="18" t="s">
        <v>1372</v>
      </c>
      <c r="D477" s="6" t="s">
        <v>1058</v>
      </c>
      <c r="E477" s="10">
        <v>5</v>
      </c>
      <c r="F477">
        <v>2.8745977160596001</v>
      </c>
      <c r="G477">
        <v>0.30708815184010901</v>
      </c>
      <c r="H477" t="s">
        <v>221</v>
      </c>
      <c r="I477" t="s">
        <v>24</v>
      </c>
      <c r="J477" t="s">
        <v>185</v>
      </c>
      <c r="K477" s="25" t="s">
        <v>1449</v>
      </c>
      <c r="L477">
        <v>303</v>
      </c>
      <c r="M477" t="s">
        <v>1798</v>
      </c>
      <c r="N477">
        <v>300</v>
      </c>
      <c r="O477" s="1" t="s">
        <v>223</v>
      </c>
      <c r="P477" s="1" t="s">
        <v>1052</v>
      </c>
      <c r="Q477" s="25">
        <v>-27.288084000000001</v>
      </c>
      <c r="R477" s="25">
        <v>-49.796143000000001</v>
      </c>
      <c r="S477">
        <v>-51.956099999999999</v>
      </c>
      <c r="T477">
        <v>-37.027299999999997</v>
      </c>
      <c r="U477">
        <v>51.956099999999999</v>
      </c>
      <c r="V477" t="s">
        <v>1539</v>
      </c>
      <c r="W477" t="s">
        <v>15</v>
      </c>
      <c r="X477" t="s">
        <v>17</v>
      </c>
      <c r="Y477" s="1" t="s">
        <v>960</v>
      </c>
    </row>
    <row r="478" spans="1:25" x14ac:dyDescent="0.25">
      <c r="A478" s="4">
        <v>807</v>
      </c>
      <c r="B478" s="9" t="s">
        <v>1415</v>
      </c>
      <c r="C478" s="18" t="s">
        <v>1372</v>
      </c>
      <c r="D478" s="6" t="s">
        <v>1058</v>
      </c>
      <c r="E478" s="10">
        <v>5</v>
      </c>
      <c r="F478">
        <v>2.20498829410008</v>
      </c>
      <c r="G478">
        <v>0.378357814175942</v>
      </c>
      <c r="H478" t="s">
        <v>221</v>
      </c>
      <c r="I478" t="s">
        <v>24</v>
      </c>
      <c r="J478" t="s">
        <v>185</v>
      </c>
      <c r="K478" s="25" t="s">
        <v>1449</v>
      </c>
      <c r="L478">
        <v>303</v>
      </c>
      <c r="M478" t="s">
        <v>1798</v>
      </c>
      <c r="N478">
        <v>300</v>
      </c>
      <c r="O478" s="1" t="s">
        <v>223</v>
      </c>
      <c r="P478" s="1" t="s">
        <v>1052</v>
      </c>
      <c r="Q478" s="25">
        <v>-27.288084000000001</v>
      </c>
      <c r="R478" s="25">
        <v>-49.796143000000001</v>
      </c>
      <c r="S478">
        <v>-51.956099999999999</v>
      </c>
      <c r="T478">
        <v>-37.027299999999997</v>
      </c>
      <c r="U478">
        <v>51.956099999999999</v>
      </c>
      <c r="V478" t="s">
        <v>1539</v>
      </c>
      <c r="W478" t="s">
        <v>15</v>
      </c>
      <c r="X478" t="s">
        <v>17</v>
      </c>
      <c r="Y478" s="1" t="s">
        <v>960</v>
      </c>
    </row>
    <row r="479" spans="1:25" x14ac:dyDescent="0.25">
      <c r="A479" s="4">
        <v>809</v>
      </c>
      <c r="B479" s="9" t="s">
        <v>1416</v>
      </c>
      <c r="C479" s="18" t="s">
        <v>1372</v>
      </c>
      <c r="D479" s="6" t="s">
        <v>1058</v>
      </c>
      <c r="E479" s="10">
        <v>5</v>
      </c>
      <c r="F479">
        <v>3.23570924011196</v>
      </c>
      <c r="G479">
        <v>0.46411670916900899</v>
      </c>
      <c r="H479" t="s">
        <v>221</v>
      </c>
      <c r="I479" t="s">
        <v>24</v>
      </c>
      <c r="J479" t="s">
        <v>185</v>
      </c>
      <c r="K479" s="25" t="s">
        <v>1449</v>
      </c>
      <c r="L479">
        <v>303</v>
      </c>
      <c r="M479" t="s">
        <v>1798</v>
      </c>
      <c r="N479">
        <v>300</v>
      </c>
      <c r="O479" s="1" t="s">
        <v>223</v>
      </c>
      <c r="P479" s="1" t="s">
        <v>1052</v>
      </c>
      <c r="Q479" s="25">
        <v>-27.288084000000001</v>
      </c>
      <c r="R479" s="25">
        <v>-49.796143000000001</v>
      </c>
      <c r="S479">
        <v>-51.956099999999999</v>
      </c>
      <c r="T479">
        <v>-37.027299999999997</v>
      </c>
      <c r="U479">
        <v>51.956099999999999</v>
      </c>
      <c r="V479" t="s">
        <v>1539</v>
      </c>
      <c r="W479" t="s">
        <v>15</v>
      </c>
      <c r="X479" t="s">
        <v>17</v>
      </c>
      <c r="Y479" s="1" t="s">
        <v>960</v>
      </c>
    </row>
    <row r="480" spans="1:25" x14ac:dyDescent="0.25">
      <c r="A480" s="4">
        <v>810</v>
      </c>
      <c r="B480" s="9" t="s">
        <v>1416</v>
      </c>
      <c r="C480" s="18" t="s">
        <v>1372</v>
      </c>
      <c r="D480" s="6" t="s">
        <v>60</v>
      </c>
      <c r="E480" s="10">
        <v>5</v>
      </c>
      <c r="F480">
        <v>3.1760881061689101</v>
      </c>
      <c r="G480">
        <v>0.68463114136898395</v>
      </c>
      <c r="H480" t="s">
        <v>221</v>
      </c>
      <c r="I480" t="s">
        <v>24</v>
      </c>
      <c r="J480" t="s">
        <v>185</v>
      </c>
      <c r="K480" s="25" t="s">
        <v>1449</v>
      </c>
      <c r="L480">
        <v>303</v>
      </c>
      <c r="M480" t="s">
        <v>1798</v>
      </c>
      <c r="N480">
        <v>300</v>
      </c>
      <c r="O480" s="1" t="s">
        <v>223</v>
      </c>
      <c r="P480" s="1" t="s">
        <v>1052</v>
      </c>
      <c r="Q480" s="25">
        <v>-27.288084000000001</v>
      </c>
      <c r="R480" s="25">
        <v>-49.796143000000001</v>
      </c>
      <c r="S480">
        <v>-51.956099999999999</v>
      </c>
      <c r="T480">
        <v>-37.027299999999997</v>
      </c>
      <c r="U480">
        <v>51.956099999999999</v>
      </c>
      <c r="V480" t="s">
        <v>1539</v>
      </c>
      <c r="W480" t="s">
        <v>15</v>
      </c>
      <c r="X480" t="s">
        <v>17</v>
      </c>
      <c r="Y480" s="1" t="s">
        <v>960</v>
      </c>
    </row>
    <row r="481" spans="1:25" x14ac:dyDescent="0.25">
      <c r="A481" s="4">
        <v>811</v>
      </c>
      <c r="B481" s="9" t="s">
        <v>1408</v>
      </c>
      <c r="C481" s="18" t="s">
        <v>1372</v>
      </c>
      <c r="D481" s="6" t="s">
        <v>1058</v>
      </c>
      <c r="E481" s="10">
        <v>5</v>
      </c>
      <c r="F481">
        <v>3.0071964789555699</v>
      </c>
      <c r="G481">
        <v>1.0043621034969901</v>
      </c>
      <c r="H481" t="s">
        <v>221</v>
      </c>
      <c r="I481" t="s">
        <v>24</v>
      </c>
      <c r="J481" t="s">
        <v>185</v>
      </c>
      <c r="K481" s="25" t="s">
        <v>1449</v>
      </c>
      <c r="L481">
        <v>303</v>
      </c>
      <c r="M481" t="s">
        <v>1798</v>
      </c>
      <c r="N481">
        <v>300</v>
      </c>
      <c r="O481" s="1" t="s">
        <v>223</v>
      </c>
      <c r="P481" s="1" t="s">
        <v>1052</v>
      </c>
      <c r="Q481" s="25">
        <v>-27.288084000000001</v>
      </c>
      <c r="R481" s="25">
        <v>-49.796143000000001</v>
      </c>
      <c r="S481">
        <v>-51.956099999999999</v>
      </c>
      <c r="T481">
        <v>-37.027299999999997</v>
      </c>
      <c r="U481">
        <v>51.956099999999999</v>
      </c>
      <c r="V481" t="s">
        <v>1539</v>
      </c>
      <c r="W481" t="s">
        <v>15</v>
      </c>
      <c r="X481" t="s">
        <v>17</v>
      </c>
      <c r="Y481" s="1" t="s">
        <v>960</v>
      </c>
    </row>
    <row r="482" spans="1:25" x14ac:dyDescent="0.25">
      <c r="A482" s="4">
        <v>812</v>
      </c>
      <c r="B482" s="9" t="s">
        <v>1417</v>
      </c>
      <c r="C482" s="18" t="s">
        <v>1372</v>
      </c>
      <c r="D482" s="6" t="s">
        <v>1058</v>
      </c>
      <c r="E482" s="10">
        <v>5</v>
      </c>
      <c r="F482">
        <v>1.79295094735122</v>
      </c>
      <c r="G482">
        <v>0.33487851120015699</v>
      </c>
      <c r="H482" t="s">
        <v>221</v>
      </c>
      <c r="I482" t="s">
        <v>24</v>
      </c>
      <c r="J482" t="s">
        <v>185</v>
      </c>
      <c r="K482" s="25" t="s">
        <v>1449</v>
      </c>
      <c r="L482">
        <v>303</v>
      </c>
      <c r="M482" t="s">
        <v>1798</v>
      </c>
      <c r="N482">
        <v>300</v>
      </c>
      <c r="O482" s="1" t="s">
        <v>223</v>
      </c>
      <c r="P482" s="1" t="s">
        <v>1052</v>
      </c>
      <c r="Q482" s="25">
        <v>-27.288084000000001</v>
      </c>
      <c r="R482" s="25">
        <v>-49.796143000000001</v>
      </c>
      <c r="S482">
        <v>-51.956099999999999</v>
      </c>
      <c r="T482">
        <v>-37.027299999999997</v>
      </c>
      <c r="U482">
        <v>51.956099999999999</v>
      </c>
      <c r="V482" t="s">
        <v>1539</v>
      </c>
      <c r="W482" t="s">
        <v>15</v>
      </c>
      <c r="X482" t="s">
        <v>17</v>
      </c>
      <c r="Y482" s="1" t="s">
        <v>960</v>
      </c>
    </row>
    <row r="483" spans="1:25" x14ac:dyDescent="0.25">
      <c r="A483" s="4">
        <v>813</v>
      </c>
      <c r="B483" s="9" t="s">
        <v>1417</v>
      </c>
      <c r="C483" s="18" t="s">
        <v>1372</v>
      </c>
      <c r="D483" s="6" t="s">
        <v>60</v>
      </c>
      <c r="E483" s="10">
        <v>5</v>
      </c>
      <c r="F483">
        <v>1.2625232865954601</v>
      </c>
      <c r="G483">
        <v>0.22962795961507201</v>
      </c>
      <c r="H483" t="s">
        <v>221</v>
      </c>
      <c r="I483" t="s">
        <v>24</v>
      </c>
      <c r="J483" t="s">
        <v>185</v>
      </c>
      <c r="K483" s="25" t="s">
        <v>1449</v>
      </c>
      <c r="L483">
        <v>303</v>
      </c>
      <c r="M483" t="s">
        <v>1798</v>
      </c>
      <c r="N483">
        <v>300</v>
      </c>
      <c r="O483" s="1" t="s">
        <v>223</v>
      </c>
      <c r="P483" s="1" t="s">
        <v>1052</v>
      </c>
      <c r="Q483" s="25">
        <v>-27.288084000000001</v>
      </c>
      <c r="R483" s="25">
        <v>-49.796143000000001</v>
      </c>
      <c r="S483">
        <v>-51.956099999999999</v>
      </c>
      <c r="T483">
        <v>-37.027299999999997</v>
      </c>
      <c r="U483">
        <v>51.956099999999999</v>
      </c>
      <c r="V483" t="s">
        <v>1539</v>
      </c>
      <c r="W483" t="s">
        <v>15</v>
      </c>
      <c r="X483" t="s">
        <v>17</v>
      </c>
      <c r="Y483" s="1" t="s">
        <v>960</v>
      </c>
    </row>
    <row r="484" spans="1:25" x14ac:dyDescent="0.25">
      <c r="A484" s="4">
        <v>815</v>
      </c>
      <c r="B484" s="9" t="s">
        <v>1418</v>
      </c>
      <c r="C484" s="18" t="s">
        <v>1372</v>
      </c>
      <c r="D484" s="6" t="s">
        <v>1058</v>
      </c>
      <c r="E484" s="10">
        <v>5</v>
      </c>
      <c r="F484">
        <v>0.95919659325775597</v>
      </c>
      <c r="G484">
        <v>0.17373793934474899</v>
      </c>
      <c r="H484" t="s">
        <v>221</v>
      </c>
      <c r="I484" t="s">
        <v>24</v>
      </c>
      <c r="J484" t="s">
        <v>185</v>
      </c>
      <c r="K484" s="25" t="s">
        <v>1449</v>
      </c>
      <c r="L484">
        <v>303</v>
      </c>
      <c r="M484" t="s">
        <v>1798</v>
      </c>
      <c r="N484">
        <v>300</v>
      </c>
      <c r="O484" s="1" t="s">
        <v>223</v>
      </c>
      <c r="P484" s="1" t="s">
        <v>1052</v>
      </c>
      <c r="Q484" s="25">
        <v>-27.288084000000001</v>
      </c>
      <c r="R484" s="25">
        <v>-49.796143000000001</v>
      </c>
      <c r="S484">
        <v>-51.956099999999999</v>
      </c>
      <c r="T484">
        <v>-37.027299999999997</v>
      </c>
      <c r="U484">
        <v>51.956099999999999</v>
      </c>
      <c r="V484" t="s">
        <v>1539</v>
      </c>
      <c r="W484" t="s">
        <v>15</v>
      </c>
      <c r="X484" t="s">
        <v>17</v>
      </c>
      <c r="Y484" s="1" t="s">
        <v>960</v>
      </c>
    </row>
    <row r="485" spans="1:25" x14ac:dyDescent="0.25">
      <c r="A485" s="4">
        <v>818</v>
      </c>
      <c r="B485" s="9" t="s">
        <v>1422</v>
      </c>
      <c r="C485" s="18" t="s">
        <v>1372</v>
      </c>
      <c r="D485" s="6" t="s">
        <v>28</v>
      </c>
      <c r="E485" s="10">
        <v>6</v>
      </c>
      <c r="F485">
        <v>9</v>
      </c>
      <c r="G485">
        <v>5</v>
      </c>
      <c r="H485" t="s">
        <v>221</v>
      </c>
      <c r="I485" t="s">
        <v>24</v>
      </c>
      <c r="J485" t="s">
        <v>185</v>
      </c>
      <c r="K485" s="25" t="s">
        <v>1449</v>
      </c>
      <c r="L485">
        <v>303</v>
      </c>
      <c r="M485" t="s">
        <v>1798</v>
      </c>
      <c r="N485">
        <v>300</v>
      </c>
      <c r="O485" s="1" t="s">
        <v>223</v>
      </c>
      <c r="P485" s="1" t="s">
        <v>1052</v>
      </c>
      <c r="Q485" s="25">
        <v>-27.288084000000001</v>
      </c>
      <c r="R485" s="25">
        <v>-49.796143000000001</v>
      </c>
      <c r="S485">
        <v>-51.956099999999999</v>
      </c>
      <c r="T485">
        <v>-37.027299999999997</v>
      </c>
      <c r="U485">
        <v>51.956099999999999</v>
      </c>
      <c r="V485" t="s">
        <v>1539</v>
      </c>
      <c r="W485" t="s">
        <v>15</v>
      </c>
      <c r="X485" t="s">
        <v>17</v>
      </c>
      <c r="Y485" s="1" t="s">
        <v>960</v>
      </c>
    </row>
    <row r="486" spans="1:25" x14ac:dyDescent="0.25">
      <c r="A486" s="4">
        <v>819</v>
      </c>
      <c r="B486" s="9" t="s">
        <v>1423</v>
      </c>
      <c r="C486" s="18" t="s">
        <v>1372</v>
      </c>
      <c r="D486" s="6" t="s">
        <v>28</v>
      </c>
      <c r="E486" s="10">
        <v>6</v>
      </c>
      <c r="F486">
        <v>18</v>
      </c>
      <c r="G486">
        <v>12</v>
      </c>
      <c r="H486" t="s">
        <v>221</v>
      </c>
      <c r="I486" t="s">
        <v>24</v>
      </c>
      <c r="J486" t="s">
        <v>185</v>
      </c>
      <c r="K486" s="25" t="s">
        <v>1449</v>
      </c>
      <c r="L486">
        <v>303</v>
      </c>
      <c r="M486" t="s">
        <v>1798</v>
      </c>
      <c r="N486">
        <v>300</v>
      </c>
      <c r="O486" s="1" t="s">
        <v>223</v>
      </c>
      <c r="P486" s="1" t="s">
        <v>1052</v>
      </c>
      <c r="Q486" s="25">
        <v>-27.288084000000001</v>
      </c>
      <c r="R486" s="25">
        <v>-49.796143000000001</v>
      </c>
      <c r="S486">
        <v>-51.956099999999999</v>
      </c>
      <c r="T486">
        <v>-37.027299999999997</v>
      </c>
      <c r="U486">
        <v>51.956099999999999</v>
      </c>
      <c r="V486" t="s">
        <v>1539</v>
      </c>
      <c r="W486" t="s">
        <v>15</v>
      </c>
      <c r="X486" t="s">
        <v>17</v>
      </c>
      <c r="Y486" s="1" t="s">
        <v>960</v>
      </c>
    </row>
    <row r="487" spans="1:25" x14ac:dyDescent="0.25">
      <c r="A487" s="4">
        <v>820</v>
      </c>
      <c r="B487" s="9" t="s">
        <v>1424</v>
      </c>
      <c r="C487" s="18" t="s">
        <v>1372</v>
      </c>
      <c r="D487" s="6" t="s">
        <v>28</v>
      </c>
      <c r="E487" s="10">
        <v>6</v>
      </c>
      <c r="F487">
        <v>9</v>
      </c>
      <c r="G487">
        <v>4.7</v>
      </c>
      <c r="H487" t="s">
        <v>221</v>
      </c>
      <c r="I487" t="s">
        <v>24</v>
      </c>
      <c r="J487" t="s">
        <v>185</v>
      </c>
      <c r="K487" s="25" t="s">
        <v>1449</v>
      </c>
      <c r="L487">
        <v>303</v>
      </c>
      <c r="M487" t="s">
        <v>1798</v>
      </c>
      <c r="N487">
        <v>300</v>
      </c>
      <c r="O487" s="1" t="s">
        <v>223</v>
      </c>
      <c r="P487" s="1" t="s">
        <v>1052</v>
      </c>
      <c r="Q487" s="25">
        <v>-27.288084000000001</v>
      </c>
      <c r="R487" s="25">
        <v>-49.796143000000001</v>
      </c>
      <c r="S487">
        <v>-51.956099999999999</v>
      </c>
      <c r="T487">
        <v>-37.027299999999997</v>
      </c>
      <c r="U487">
        <v>51.956099999999999</v>
      </c>
      <c r="V487" t="s">
        <v>1539</v>
      </c>
      <c r="W487" t="s">
        <v>15</v>
      </c>
      <c r="X487" t="s">
        <v>17</v>
      </c>
      <c r="Y487" s="1" t="s">
        <v>960</v>
      </c>
    </row>
    <row r="488" spans="1:25" x14ac:dyDescent="0.25">
      <c r="A488" s="4">
        <v>821</v>
      </c>
      <c r="B488" s="9" t="s">
        <v>1425</v>
      </c>
      <c r="C488" s="18" t="s">
        <v>1372</v>
      </c>
      <c r="D488" s="6" t="s">
        <v>28</v>
      </c>
      <c r="E488" s="10">
        <v>6</v>
      </c>
      <c r="F488">
        <v>12</v>
      </c>
      <c r="G488">
        <v>6</v>
      </c>
      <c r="H488" t="s">
        <v>221</v>
      </c>
      <c r="I488" t="s">
        <v>24</v>
      </c>
      <c r="J488" t="s">
        <v>185</v>
      </c>
      <c r="K488" s="25" t="s">
        <v>1449</v>
      </c>
      <c r="L488">
        <v>303</v>
      </c>
      <c r="M488" t="s">
        <v>1798</v>
      </c>
      <c r="N488">
        <v>300</v>
      </c>
      <c r="O488" s="1" t="s">
        <v>223</v>
      </c>
      <c r="P488" s="1" t="s">
        <v>1052</v>
      </c>
      <c r="Q488" s="25">
        <v>-27.288084000000001</v>
      </c>
      <c r="R488" s="25">
        <v>-49.796143000000001</v>
      </c>
      <c r="S488">
        <v>-51.956099999999999</v>
      </c>
      <c r="T488">
        <v>-37.027299999999997</v>
      </c>
      <c r="U488">
        <v>51.956099999999999</v>
      </c>
      <c r="V488" t="s">
        <v>1539</v>
      </c>
      <c r="W488" t="s">
        <v>15</v>
      </c>
      <c r="X488" t="s">
        <v>17</v>
      </c>
      <c r="Y488" s="1" t="s">
        <v>960</v>
      </c>
    </row>
    <row r="489" spans="1:25" x14ac:dyDescent="0.25">
      <c r="A489" s="4">
        <v>822</v>
      </c>
      <c r="B489" s="9" t="s">
        <v>1426</v>
      </c>
      <c r="C489" s="18" t="s">
        <v>1372</v>
      </c>
      <c r="D489" s="6" t="s">
        <v>28</v>
      </c>
      <c r="E489" s="10">
        <v>6</v>
      </c>
      <c r="F489">
        <v>17</v>
      </c>
      <c r="G489">
        <v>8.4</v>
      </c>
      <c r="H489" t="s">
        <v>221</v>
      </c>
      <c r="I489" t="s">
        <v>24</v>
      </c>
      <c r="J489" t="s">
        <v>185</v>
      </c>
      <c r="K489" s="25" t="s">
        <v>1449</v>
      </c>
      <c r="L489">
        <v>303</v>
      </c>
      <c r="M489" t="s">
        <v>1798</v>
      </c>
      <c r="N489">
        <v>300</v>
      </c>
      <c r="O489" s="1" t="s">
        <v>223</v>
      </c>
      <c r="P489" s="1" t="s">
        <v>1052</v>
      </c>
      <c r="Q489" s="25">
        <v>-27.288084000000001</v>
      </c>
      <c r="R489" s="25">
        <v>-49.796143000000001</v>
      </c>
      <c r="S489">
        <v>-51.956099999999999</v>
      </c>
      <c r="T489">
        <v>-37.027299999999997</v>
      </c>
      <c r="U489">
        <v>51.956099999999999</v>
      </c>
      <c r="V489" t="s">
        <v>1539</v>
      </c>
      <c r="W489" t="s">
        <v>15</v>
      </c>
      <c r="X489" t="s">
        <v>17</v>
      </c>
      <c r="Y489" s="1" t="s">
        <v>960</v>
      </c>
    </row>
    <row r="490" spans="1:25" x14ac:dyDescent="0.25">
      <c r="A490" s="4">
        <v>823</v>
      </c>
      <c r="B490" s="9" t="s">
        <v>1427</v>
      </c>
      <c r="C490" s="18" t="s">
        <v>1372</v>
      </c>
      <c r="D490" s="6" t="s">
        <v>28</v>
      </c>
      <c r="E490" s="10">
        <v>6</v>
      </c>
      <c r="F490">
        <v>12</v>
      </c>
      <c r="G490">
        <v>6</v>
      </c>
      <c r="H490" t="s">
        <v>221</v>
      </c>
      <c r="I490" t="s">
        <v>24</v>
      </c>
      <c r="J490" t="s">
        <v>185</v>
      </c>
      <c r="K490" s="25" t="s">
        <v>1449</v>
      </c>
      <c r="L490">
        <v>303</v>
      </c>
      <c r="M490" t="s">
        <v>1798</v>
      </c>
      <c r="N490">
        <v>300</v>
      </c>
      <c r="O490" s="1" t="s">
        <v>223</v>
      </c>
      <c r="P490" s="1" t="s">
        <v>1052</v>
      </c>
      <c r="Q490" s="25">
        <v>-27.288084000000001</v>
      </c>
      <c r="R490" s="25">
        <v>-49.796143000000001</v>
      </c>
      <c r="S490">
        <v>-51.956099999999999</v>
      </c>
      <c r="T490">
        <v>-37.027299999999997</v>
      </c>
      <c r="U490">
        <v>51.956099999999999</v>
      </c>
      <c r="V490" t="s">
        <v>1539</v>
      </c>
      <c r="W490" t="s">
        <v>15</v>
      </c>
      <c r="X490" t="s">
        <v>17</v>
      </c>
      <c r="Y490" s="1" t="s">
        <v>960</v>
      </c>
    </row>
    <row r="491" spans="1:25" x14ac:dyDescent="0.25">
      <c r="A491" s="4">
        <v>825</v>
      </c>
      <c r="B491" s="9" t="s">
        <v>1428</v>
      </c>
      <c r="C491" s="18" t="s">
        <v>1372</v>
      </c>
      <c r="D491" s="6" t="s">
        <v>28</v>
      </c>
      <c r="E491" s="10">
        <v>6</v>
      </c>
      <c r="F491">
        <v>8</v>
      </c>
      <c r="G491">
        <v>4.8</v>
      </c>
      <c r="H491" t="s">
        <v>221</v>
      </c>
      <c r="I491" t="s">
        <v>24</v>
      </c>
      <c r="J491" t="s">
        <v>185</v>
      </c>
      <c r="K491" s="25" t="s">
        <v>1449</v>
      </c>
      <c r="L491">
        <v>303</v>
      </c>
      <c r="M491" t="s">
        <v>1798</v>
      </c>
      <c r="N491">
        <v>300</v>
      </c>
      <c r="O491" s="1" t="s">
        <v>223</v>
      </c>
      <c r="P491" s="1" t="s">
        <v>1052</v>
      </c>
      <c r="Q491" s="25">
        <v>-27.288084000000001</v>
      </c>
      <c r="R491" s="25">
        <v>-49.796143000000001</v>
      </c>
      <c r="S491">
        <v>-51.956099999999999</v>
      </c>
      <c r="T491">
        <v>-37.027299999999997</v>
      </c>
      <c r="U491">
        <v>51.956099999999999</v>
      </c>
      <c r="V491" t="s">
        <v>1539</v>
      </c>
      <c r="W491" t="s">
        <v>15</v>
      </c>
      <c r="X491" t="s">
        <v>17</v>
      </c>
      <c r="Y491" s="1" t="s">
        <v>960</v>
      </c>
    </row>
    <row r="492" spans="1:25" x14ac:dyDescent="0.25">
      <c r="A492" s="4">
        <v>826</v>
      </c>
      <c r="B492" s="9" t="s">
        <v>1429</v>
      </c>
      <c r="C492" s="18" t="s">
        <v>1372</v>
      </c>
      <c r="D492" s="6" t="s">
        <v>28</v>
      </c>
      <c r="E492" s="10">
        <v>6</v>
      </c>
      <c r="F492">
        <v>10</v>
      </c>
      <c r="G492">
        <v>6</v>
      </c>
      <c r="H492" t="s">
        <v>221</v>
      </c>
      <c r="I492" t="s">
        <v>24</v>
      </c>
      <c r="J492" t="s">
        <v>185</v>
      </c>
      <c r="K492" s="25" t="s">
        <v>1449</v>
      </c>
      <c r="L492">
        <v>303</v>
      </c>
      <c r="M492" t="s">
        <v>1798</v>
      </c>
      <c r="N492">
        <v>300</v>
      </c>
      <c r="O492" s="1" t="s">
        <v>223</v>
      </c>
      <c r="P492" s="1" t="s">
        <v>1052</v>
      </c>
      <c r="Q492" s="25">
        <v>-27.288084000000001</v>
      </c>
      <c r="R492" s="25">
        <v>-49.796143000000001</v>
      </c>
      <c r="S492">
        <v>-51.956099999999999</v>
      </c>
      <c r="T492">
        <v>-37.027299999999997</v>
      </c>
      <c r="U492">
        <v>51.956099999999999</v>
      </c>
      <c r="V492" t="s">
        <v>1539</v>
      </c>
      <c r="W492" t="s">
        <v>15</v>
      </c>
      <c r="X492" t="s">
        <v>17</v>
      </c>
      <c r="Y492" s="1" t="s">
        <v>960</v>
      </c>
    </row>
    <row r="493" spans="1:25" x14ac:dyDescent="0.25">
      <c r="A493" s="4">
        <v>827</v>
      </c>
      <c r="B493" s="9" t="s">
        <v>1430</v>
      </c>
      <c r="C493" s="18" t="s">
        <v>1372</v>
      </c>
      <c r="D493" s="6" t="s">
        <v>28</v>
      </c>
      <c r="E493" s="10">
        <v>6</v>
      </c>
      <c r="F493">
        <v>12</v>
      </c>
      <c r="G493">
        <v>7</v>
      </c>
      <c r="H493" t="s">
        <v>221</v>
      </c>
      <c r="I493" t="s">
        <v>24</v>
      </c>
      <c r="J493" t="s">
        <v>185</v>
      </c>
      <c r="K493" s="25" t="s">
        <v>1449</v>
      </c>
      <c r="L493">
        <v>303</v>
      </c>
      <c r="M493" t="s">
        <v>1798</v>
      </c>
      <c r="N493">
        <v>300</v>
      </c>
      <c r="O493" s="1" t="s">
        <v>223</v>
      </c>
      <c r="P493" s="1" t="s">
        <v>1052</v>
      </c>
      <c r="Q493" s="25">
        <v>-27.288084000000001</v>
      </c>
      <c r="R493" s="25">
        <v>-49.796143000000001</v>
      </c>
      <c r="S493">
        <v>-51.956099999999999</v>
      </c>
      <c r="T493">
        <v>-37.027299999999997</v>
      </c>
      <c r="U493">
        <v>51.956099999999999</v>
      </c>
      <c r="V493" t="s">
        <v>1539</v>
      </c>
      <c r="W493" t="s">
        <v>15</v>
      </c>
      <c r="X493" t="s">
        <v>17</v>
      </c>
      <c r="Y493" s="1" t="s">
        <v>960</v>
      </c>
    </row>
    <row r="494" spans="1:25" x14ac:dyDescent="0.25">
      <c r="A494" s="4">
        <v>828</v>
      </c>
      <c r="B494" s="9" t="s">
        <v>1431</v>
      </c>
      <c r="C494" s="18" t="s">
        <v>1372</v>
      </c>
      <c r="D494" s="6" t="s">
        <v>28</v>
      </c>
      <c r="E494" s="10">
        <v>6</v>
      </c>
      <c r="F494">
        <v>5</v>
      </c>
      <c r="G494">
        <v>2.5</v>
      </c>
      <c r="H494" t="s">
        <v>221</v>
      </c>
      <c r="I494" t="s">
        <v>24</v>
      </c>
      <c r="J494" t="s">
        <v>185</v>
      </c>
      <c r="K494" s="25" t="s">
        <v>1449</v>
      </c>
      <c r="L494">
        <v>303</v>
      </c>
      <c r="M494" t="s">
        <v>1798</v>
      </c>
      <c r="N494">
        <v>300</v>
      </c>
      <c r="O494" s="1" t="s">
        <v>223</v>
      </c>
      <c r="P494" s="1" t="s">
        <v>1052</v>
      </c>
      <c r="Q494" s="25">
        <v>-27.288084000000001</v>
      </c>
      <c r="R494" s="25">
        <v>-49.796143000000001</v>
      </c>
      <c r="S494">
        <v>-51.956099999999999</v>
      </c>
      <c r="T494">
        <v>-37.027299999999997</v>
      </c>
      <c r="U494">
        <v>51.956099999999999</v>
      </c>
      <c r="V494" t="s">
        <v>1539</v>
      </c>
      <c r="W494" t="s">
        <v>15</v>
      </c>
      <c r="X494" t="s">
        <v>17</v>
      </c>
      <c r="Y494" s="1" t="s">
        <v>960</v>
      </c>
    </row>
    <row r="495" spans="1:25" x14ac:dyDescent="0.25">
      <c r="A495" s="4">
        <v>829</v>
      </c>
      <c r="B495" s="9" t="s">
        <v>971</v>
      </c>
      <c r="C495" s="8" t="s">
        <v>970</v>
      </c>
      <c r="D495" s="6" t="s">
        <v>60</v>
      </c>
      <c r="E495" s="10">
        <v>5</v>
      </c>
      <c r="F495">
        <v>5.82</v>
      </c>
      <c r="G495">
        <v>0.65</v>
      </c>
      <c r="H495" t="s">
        <v>221</v>
      </c>
      <c r="I495" t="s">
        <v>24</v>
      </c>
      <c r="J495" t="s">
        <v>185</v>
      </c>
      <c r="L495">
        <v>310</v>
      </c>
      <c r="M495" t="s">
        <v>1798</v>
      </c>
      <c r="N495">
        <v>300</v>
      </c>
      <c r="O495" t="s">
        <v>223</v>
      </c>
      <c r="P495" s="1" t="s">
        <v>968</v>
      </c>
      <c r="Q495" s="25">
        <v>-19.239272</v>
      </c>
      <c r="R495" s="25">
        <v>-54.783203999999998</v>
      </c>
      <c r="S495">
        <v>-42.697899999999997</v>
      </c>
      <c r="T495">
        <v>-36.929099999999998</v>
      </c>
      <c r="U495">
        <v>42.697899999999997</v>
      </c>
      <c r="V495" t="s">
        <v>1537</v>
      </c>
      <c r="W495" t="s">
        <v>13</v>
      </c>
      <c r="X495" t="s">
        <v>17</v>
      </c>
      <c r="Y495" s="1" t="s">
        <v>963</v>
      </c>
    </row>
    <row r="496" spans="1:25" x14ac:dyDescent="0.25">
      <c r="A496" s="4">
        <v>830</v>
      </c>
      <c r="B496" s="9" t="s">
        <v>972</v>
      </c>
      <c r="C496" s="8" t="s">
        <v>970</v>
      </c>
      <c r="D496" s="6" t="s">
        <v>60</v>
      </c>
      <c r="E496" s="10">
        <v>5</v>
      </c>
      <c r="F496">
        <v>6.64</v>
      </c>
      <c r="G496">
        <v>2.0299999999999998</v>
      </c>
      <c r="H496" t="s">
        <v>221</v>
      </c>
      <c r="I496" t="s">
        <v>24</v>
      </c>
      <c r="J496" t="s">
        <v>185</v>
      </c>
      <c r="L496">
        <v>310</v>
      </c>
      <c r="M496" t="s">
        <v>1798</v>
      </c>
      <c r="N496">
        <v>300</v>
      </c>
      <c r="O496" t="s">
        <v>223</v>
      </c>
      <c r="P496" s="1" t="s">
        <v>968</v>
      </c>
      <c r="Q496" s="25">
        <v>-19.239272</v>
      </c>
      <c r="R496" s="25">
        <v>-54.783203999999998</v>
      </c>
      <c r="S496">
        <v>-42.697899999999997</v>
      </c>
      <c r="T496">
        <v>-36.929099999999998</v>
      </c>
      <c r="U496">
        <v>42.697899999999997</v>
      </c>
      <c r="V496" t="s">
        <v>1537</v>
      </c>
      <c r="W496" t="s">
        <v>13</v>
      </c>
      <c r="X496" t="s">
        <v>17</v>
      </c>
      <c r="Y496" s="1" t="s">
        <v>963</v>
      </c>
    </row>
    <row r="497" spans="1:25" x14ac:dyDescent="0.25">
      <c r="A497" s="4">
        <v>831</v>
      </c>
      <c r="B497" s="9" t="s">
        <v>973</v>
      </c>
      <c r="C497" s="8" t="s">
        <v>970</v>
      </c>
      <c r="D497" s="6" t="s">
        <v>60</v>
      </c>
      <c r="E497" s="10">
        <v>5</v>
      </c>
      <c r="F497">
        <v>6.31</v>
      </c>
      <c r="G497">
        <v>1.75</v>
      </c>
      <c r="H497" t="s">
        <v>221</v>
      </c>
      <c r="I497" t="s">
        <v>24</v>
      </c>
      <c r="J497" t="s">
        <v>185</v>
      </c>
      <c r="L497">
        <v>310</v>
      </c>
      <c r="M497" t="s">
        <v>1798</v>
      </c>
      <c r="N497">
        <v>300</v>
      </c>
      <c r="O497" t="s">
        <v>223</v>
      </c>
      <c r="P497" s="1" t="s">
        <v>968</v>
      </c>
      <c r="Q497" s="25">
        <v>-19.239272</v>
      </c>
      <c r="R497" s="25">
        <v>-54.783203999999998</v>
      </c>
      <c r="S497">
        <v>-42.697899999999997</v>
      </c>
      <c r="T497">
        <v>-36.929099999999998</v>
      </c>
      <c r="U497">
        <v>42.697899999999997</v>
      </c>
      <c r="V497" t="s">
        <v>1537</v>
      </c>
      <c r="W497" t="s">
        <v>13</v>
      </c>
      <c r="X497" t="s">
        <v>17</v>
      </c>
      <c r="Y497" s="1" t="s">
        <v>963</v>
      </c>
    </row>
    <row r="498" spans="1:25" x14ac:dyDescent="0.25">
      <c r="A498" s="4">
        <v>832</v>
      </c>
      <c r="B498" s="9" t="s">
        <v>974</v>
      </c>
      <c r="C498" s="8" t="s">
        <v>970</v>
      </c>
      <c r="D498" s="6" t="s">
        <v>60</v>
      </c>
      <c r="E498" s="10">
        <v>5</v>
      </c>
      <c r="F498">
        <v>5.91</v>
      </c>
      <c r="G498">
        <v>1.04</v>
      </c>
      <c r="H498" t="s">
        <v>221</v>
      </c>
      <c r="I498" t="s">
        <v>24</v>
      </c>
      <c r="J498" t="s">
        <v>185</v>
      </c>
      <c r="L498">
        <v>310</v>
      </c>
      <c r="M498" t="s">
        <v>1798</v>
      </c>
      <c r="N498">
        <v>300</v>
      </c>
      <c r="O498" t="s">
        <v>223</v>
      </c>
      <c r="P498" s="1" t="s">
        <v>968</v>
      </c>
      <c r="Q498" s="25">
        <v>-19.239272</v>
      </c>
      <c r="R498" s="25">
        <v>-54.783203999999998</v>
      </c>
      <c r="S498">
        <v>-42.697899999999997</v>
      </c>
      <c r="T498">
        <v>-36.929099999999998</v>
      </c>
      <c r="U498">
        <v>42.697899999999997</v>
      </c>
      <c r="V498" t="s">
        <v>1537</v>
      </c>
      <c r="W498" t="s">
        <v>13</v>
      </c>
      <c r="X498" t="s">
        <v>17</v>
      </c>
      <c r="Y498" s="1" t="s">
        <v>963</v>
      </c>
    </row>
    <row r="499" spans="1:25" x14ac:dyDescent="0.25">
      <c r="A499" s="4">
        <v>833</v>
      </c>
      <c r="B499" s="9" t="s">
        <v>975</v>
      </c>
      <c r="C499" s="8" t="s">
        <v>970</v>
      </c>
      <c r="D499" s="6" t="s">
        <v>60</v>
      </c>
      <c r="E499" s="10">
        <v>5</v>
      </c>
      <c r="F499">
        <v>7.44</v>
      </c>
      <c r="G499">
        <v>1.53</v>
      </c>
      <c r="H499" t="s">
        <v>221</v>
      </c>
      <c r="I499" t="s">
        <v>24</v>
      </c>
      <c r="J499" t="s">
        <v>185</v>
      </c>
      <c r="L499">
        <v>310</v>
      </c>
      <c r="M499" t="s">
        <v>1798</v>
      </c>
      <c r="N499">
        <v>300</v>
      </c>
      <c r="O499" t="s">
        <v>223</v>
      </c>
      <c r="P499" s="1" t="s">
        <v>968</v>
      </c>
      <c r="Q499" s="25">
        <v>-19.239272</v>
      </c>
      <c r="R499" s="25">
        <v>-54.783203999999998</v>
      </c>
      <c r="S499">
        <v>-42.697899999999997</v>
      </c>
      <c r="T499">
        <v>-36.929099999999998</v>
      </c>
      <c r="U499">
        <v>42.697899999999997</v>
      </c>
      <c r="V499" t="s">
        <v>1537</v>
      </c>
      <c r="W499" t="s">
        <v>13</v>
      </c>
      <c r="X499" t="s">
        <v>17</v>
      </c>
      <c r="Y499" s="1" t="s">
        <v>963</v>
      </c>
    </row>
    <row r="500" spans="1:25" x14ac:dyDescent="0.25">
      <c r="A500" s="4">
        <v>834</v>
      </c>
      <c r="B500" s="9" t="s">
        <v>976</v>
      </c>
      <c r="C500" s="8" t="s">
        <v>970</v>
      </c>
      <c r="D500" s="6" t="s">
        <v>60</v>
      </c>
      <c r="E500" s="10">
        <v>5</v>
      </c>
      <c r="F500">
        <v>5.65</v>
      </c>
      <c r="G500">
        <v>1.88</v>
      </c>
      <c r="H500" t="s">
        <v>221</v>
      </c>
      <c r="I500" t="s">
        <v>24</v>
      </c>
      <c r="J500" t="s">
        <v>185</v>
      </c>
      <c r="L500">
        <v>310</v>
      </c>
      <c r="M500" t="s">
        <v>1798</v>
      </c>
      <c r="N500">
        <v>300</v>
      </c>
      <c r="O500" t="s">
        <v>223</v>
      </c>
      <c r="P500" s="1" t="s">
        <v>968</v>
      </c>
      <c r="Q500" s="25">
        <v>-19.239272</v>
      </c>
      <c r="R500" s="25">
        <v>-54.783203999999998</v>
      </c>
      <c r="S500">
        <v>-42.697899999999997</v>
      </c>
      <c r="T500">
        <v>-36.929099999999998</v>
      </c>
      <c r="U500">
        <v>42.697899999999997</v>
      </c>
      <c r="V500" t="s">
        <v>1537</v>
      </c>
      <c r="W500" t="s">
        <v>13</v>
      </c>
      <c r="X500" t="s">
        <v>17</v>
      </c>
      <c r="Y500" s="1" t="s">
        <v>963</v>
      </c>
    </row>
    <row r="501" spans="1:25" x14ac:dyDescent="0.25">
      <c r="A501" s="4">
        <v>835</v>
      </c>
      <c r="B501" s="9" t="s">
        <v>977</v>
      </c>
      <c r="C501" s="8" t="s">
        <v>970</v>
      </c>
      <c r="D501" s="6" t="s">
        <v>60</v>
      </c>
      <c r="E501" s="10">
        <v>5</v>
      </c>
      <c r="F501">
        <v>6.48</v>
      </c>
      <c r="G501">
        <v>1.87</v>
      </c>
      <c r="H501" t="s">
        <v>221</v>
      </c>
      <c r="I501" t="s">
        <v>24</v>
      </c>
      <c r="J501" t="s">
        <v>185</v>
      </c>
      <c r="L501">
        <v>310</v>
      </c>
      <c r="M501" t="s">
        <v>1798</v>
      </c>
      <c r="N501">
        <v>300</v>
      </c>
      <c r="O501" t="s">
        <v>223</v>
      </c>
      <c r="P501" s="1" t="s">
        <v>968</v>
      </c>
      <c r="Q501" s="25">
        <v>-19.239272</v>
      </c>
      <c r="R501" s="25">
        <v>-54.783203999999998</v>
      </c>
      <c r="S501">
        <v>-42.697899999999997</v>
      </c>
      <c r="T501">
        <v>-36.929099999999998</v>
      </c>
      <c r="U501">
        <v>42.697899999999997</v>
      </c>
      <c r="V501" t="s">
        <v>1537</v>
      </c>
      <c r="W501" t="s">
        <v>13</v>
      </c>
      <c r="X501" t="s">
        <v>17</v>
      </c>
      <c r="Y501" s="1" t="s">
        <v>963</v>
      </c>
    </row>
    <row r="502" spans="1:25" x14ac:dyDescent="0.25">
      <c r="A502" s="4">
        <v>836</v>
      </c>
      <c r="B502" s="9" t="s">
        <v>978</v>
      </c>
      <c r="C502" s="8" t="s">
        <v>970</v>
      </c>
      <c r="D502" s="6" t="s">
        <v>60</v>
      </c>
      <c r="E502" s="10">
        <v>5</v>
      </c>
      <c r="F502">
        <v>0.72</v>
      </c>
      <c r="G502">
        <v>0.19</v>
      </c>
      <c r="H502" t="s">
        <v>221</v>
      </c>
      <c r="I502" t="s">
        <v>24</v>
      </c>
      <c r="J502" t="s">
        <v>185</v>
      </c>
      <c r="L502">
        <v>310</v>
      </c>
      <c r="M502" t="s">
        <v>1798</v>
      </c>
      <c r="N502">
        <v>300</v>
      </c>
      <c r="O502" t="s">
        <v>223</v>
      </c>
      <c r="P502" s="1" t="s">
        <v>968</v>
      </c>
      <c r="Q502" s="25">
        <v>-19.239272</v>
      </c>
      <c r="R502" s="25">
        <v>-54.783203999999998</v>
      </c>
      <c r="S502">
        <v>-42.697899999999997</v>
      </c>
      <c r="T502">
        <v>-36.929099999999998</v>
      </c>
      <c r="U502">
        <v>42.697899999999997</v>
      </c>
      <c r="V502" t="s">
        <v>1537</v>
      </c>
      <c r="W502" t="s">
        <v>13</v>
      </c>
      <c r="X502" t="s">
        <v>17</v>
      </c>
      <c r="Y502" s="1" t="s">
        <v>963</v>
      </c>
    </row>
    <row r="503" spans="1:25" x14ac:dyDescent="0.25">
      <c r="A503" s="4">
        <v>837</v>
      </c>
      <c r="B503" s="9" t="s">
        <v>979</v>
      </c>
      <c r="C503" s="8" t="s">
        <v>970</v>
      </c>
      <c r="D503" s="6" t="s">
        <v>60</v>
      </c>
      <c r="E503" s="10">
        <v>5</v>
      </c>
      <c r="F503">
        <v>1.01</v>
      </c>
      <c r="G503">
        <v>0.19</v>
      </c>
      <c r="H503" t="s">
        <v>221</v>
      </c>
      <c r="I503" t="s">
        <v>24</v>
      </c>
      <c r="J503" t="s">
        <v>185</v>
      </c>
      <c r="L503">
        <v>310</v>
      </c>
      <c r="M503" t="s">
        <v>1798</v>
      </c>
      <c r="N503">
        <v>300</v>
      </c>
      <c r="O503" t="s">
        <v>223</v>
      </c>
      <c r="P503" s="1" t="s">
        <v>968</v>
      </c>
      <c r="Q503" s="25">
        <v>-19.239272</v>
      </c>
      <c r="R503" s="25">
        <v>-54.783203999999998</v>
      </c>
      <c r="S503">
        <v>-42.697899999999997</v>
      </c>
      <c r="T503">
        <v>-36.929099999999998</v>
      </c>
      <c r="U503">
        <v>42.697899999999997</v>
      </c>
      <c r="V503" t="s">
        <v>1537</v>
      </c>
      <c r="W503" t="s">
        <v>13</v>
      </c>
      <c r="X503" t="s">
        <v>17</v>
      </c>
      <c r="Y503" s="1" t="s">
        <v>963</v>
      </c>
    </row>
    <row r="504" spans="1:25" x14ac:dyDescent="0.25">
      <c r="A504" s="4">
        <v>838</v>
      </c>
      <c r="B504" s="9" t="s">
        <v>980</v>
      </c>
      <c r="C504" s="8" t="s">
        <v>970</v>
      </c>
      <c r="D504" s="6" t="s">
        <v>60</v>
      </c>
      <c r="E504" s="10">
        <v>5</v>
      </c>
      <c r="F504">
        <v>3.11</v>
      </c>
      <c r="G504">
        <v>0.42</v>
      </c>
      <c r="H504" t="s">
        <v>221</v>
      </c>
      <c r="I504" t="s">
        <v>24</v>
      </c>
      <c r="J504" t="s">
        <v>185</v>
      </c>
      <c r="L504">
        <v>310</v>
      </c>
      <c r="M504" t="s">
        <v>1798</v>
      </c>
      <c r="N504">
        <v>300</v>
      </c>
      <c r="O504" t="s">
        <v>223</v>
      </c>
      <c r="P504" s="1" t="s">
        <v>968</v>
      </c>
      <c r="Q504" s="25">
        <v>-19.239272</v>
      </c>
      <c r="R504" s="25">
        <v>-54.783203999999998</v>
      </c>
      <c r="S504">
        <v>-42.697899999999997</v>
      </c>
      <c r="T504">
        <v>-36.929099999999998</v>
      </c>
      <c r="U504">
        <v>42.697899999999997</v>
      </c>
      <c r="V504" t="s">
        <v>1537</v>
      </c>
      <c r="W504" t="s">
        <v>13</v>
      </c>
      <c r="X504" t="s">
        <v>17</v>
      </c>
      <c r="Y504" s="1" t="s">
        <v>963</v>
      </c>
    </row>
    <row r="505" spans="1:25" x14ac:dyDescent="0.25">
      <c r="A505" s="4">
        <v>840</v>
      </c>
      <c r="B505" s="9" t="s">
        <v>981</v>
      </c>
      <c r="C505" s="8" t="s">
        <v>970</v>
      </c>
      <c r="D505" s="6" t="s">
        <v>60</v>
      </c>
      <c r="E505" s="10">
        <v>5</v>
      </c>
      <c r="F505">
        <v>3.08</v>
      </c>
      <c r="G505">
        <v>1.05</v>
      </c>
      <c r="H505" t="s">
        <v>221</v>
      </c>
      <c r="I505" t="s">
        <v>24</v>
      </c>
      <c r="J505" t="s">
        <v>185</v>
      </c>
      <c r="L505">
        <v>310</v>
      </c>
      <c r="M505" t="s">
        <v>1798</v>
      </c>
      <c r="N505">
        <v>300</v>
      </c>
      <c r="O505" t="s">
        <v>223</v>
      </c>
      <c r="P505" s="1" t="s">
        <v>968</v>
      </c>
      <c r="Q505" s="25">
        <v>-19.239272</v>
      </c>
      <c r="R505" s="25">
        <v>-54.783203999999998</v>
      </c>
      <c r="S505">
        <v>-42.697899999999997</v>
      </c>
      <c r="T505">
        <v>-36.929099999999998</v>
      </c>
      <c r="U505">
        <v>42.697899999999997</v>
      </c>
      <c r="V505" t="s">
        <v>1537</v>
      </c>
      <c r="W505" t="s">
        <v>13</v>
      </c>
      <c r="X505" t="s">
        <v>17</v>
      </c>
      <c r="Y505" s="1" t="s">
        <v>963</v>
      </c>
    </row>
    <row r="506" spans="1:25" x14ac:dyDescent="0.25">
      <c r="A506" s="4">
        <v>841</v>
      </c>
      <c r="B506" s="9" t="s">
        <v>982</v>
      </c>
      <c r="C506" s="8" t="s">
        <v>970</v>
      </c>
      <c r="D506" s="6" t="s">
        <v>60</v>
      </c>
      <c r="E506" s="10">
        <v>5</v>
      </c>
      <c r="F506">
        <v>7.14</v>
      </c>
      <c r="G506">
        <v>1.96</v>
      </c>
      <c r="H506" t="s">
        <v>221</v>
      </c>
      <c r="I506" t="s">
        <v>24</v>
      </c>
      <c r="J506" t="s">
        <v>185</v>
      </c>
      <c r="L506">
        <v>310</v>
      </c>
      <c r="M506" t="s">
        <v>1798</v>
      </c>
      <c r="N506">
        <v>300</v>
      </c>
      <c r="O506" t="s">
        <v>223</v>
      </c>
      <c r="P506" s="1" t="s">
        <v>968</v>
      </c>
      <c r="Q506" s="25">
        <v>-19.239272</v>
      </c>
      <c r="R506" s="25">
        <v>-54.783203999999998</v>
      </c>
      <c r="S506">
        <v>-42.697899999999997</v>
      </c>
      <c r="T506">
        <v>-36.929099999999998</v>
      </c>
      <c r="U506">
        <v>42.697899999999997</v>
      </c>
      <c r="V506" t="s">
        <v>1537</v>
      </c>
      <c r="W506" t="s">
        <v>13</v>
      </c>
      <c r="X506" t="s">
        <v>17</v>
      </c>
      <c r="Y506" s="1" t="s">
        <v>963</v>
      </c>
    </row>
    <row r="507" spans="1:25" x14ac:dyDescent="0.25">
      <c r="A507" s="4">
        <v>842</v>
      </c>
      <c r="B507" s="9" t="s">
        <v>983</v>
      </c>
      <c r="C507" s="8" t="s">
        <v>970</v>
      </c>
      <c r="D507" s="6" t="s">
        <v>59</v>
      </c>
      <c r="E507" s="10">
        <v>5</v>
      </c>
      <c r="F507">
        <v>7.75</v>
      </c>
      <c r="G507">
        <v>4.42</v>
      </c>
      <c r="H507" t="s">
        <v>221</v>
      </c>
      <c r="I507" t="s">
        <v>24</v>
      </c>
      <c r="J507" t="s">
        <v>185</v>
      </c>
      <c r="L507">
        <v>310</v>
      </c>
      <c r="M507" t="s">
        <v>1798</v>
      </c>
      <c r="N507">
        <v>300</v>
      </c>
      <c r="O507" t="s">
        <v>223</v>
      </c>
      <c r="P507" s="1" t="s">
        <v>968</v>
      </c>
      <c r="Q507" s="25">
        <v>-19.239272</v>
      </c>
      <c r="R507" s="25">
        <v>-54.783203999999998</v>
      </c>
      <c r="S507">
        <v>-42.697899999999997</v>
      </c>
      <c r="T507">
        <v>-36.929099999999998</v>
      </c>
      <c r="U507">
        <v>42.697899999999997</v>
      </c>
      <c r="V507" t="s">
        <v>1537</v>
      </c>
      <c r="W507" t="s">
        <v>13</v>
      </c>
      <c r="X507" t="s">
        <v>17</v>
      </c>
      <c r="Y507" s="1" t="s">
        <v>963</v>
      </c>
    </row>
    <row r="508" spans="1:25" x14ac:dyDescent="0.25">
      <c r="A508" s="4">
        <v>843</v>
      </c>
      <c r="B508" s="9" t="s">
        <v>984</v>
      </c>
      <c r="C508" s="8" t="s">
        <v>970</v>
      </c>
      <c r="D508" s="6" t="s">
        <v>59</v>
      </c>
      <c r="E508" s="10">
        <v>5</v>
      </c>
      <c r="F508">
        <v>4.32</v>
      </c>
      <c r="G508">
        <v>2.06</v>
      </c>
      <c r="H508" t="s">
        <v>221</v>
      </c>
      <c r="I508" t="s">
        <v>24</v>
      </c>
      <c r="J508" t="s">
        <v>185</v>
      </c>
      <c r="L508">
        <v>310</v>
      </c>
      <c r="M508" t="s">
        <v>1798</v>
      </c>
      <c r="N508">
        <v>300</v>
      </c>
      <c r="O508" t="s">
        <v>223</v>
      </c>
      <c r="P508" s="1" t="s">
        <v>968</v>
      </c>
      <c r="Q508" s="25">
        <v>-19.239272</v>
      </c>
      <c r="R508" s="25">
        <v>-54.783203999999998</v>
      </c>
      <c r="S508">
        <v>-42.697899999999997</v>
      </c>
      <c r="T508">
        <v>-36.929099999999998</v>
      </c>
      <c r="U508">
        <v>42.697899999999997</v>
      </c>
      <c r="V508" t="s">
        <v>1537</v>
      </c>
      <c r="W508" t="s">
        <v>13</v>
      </c>
      <c r="X508" t="s">
        <v>17</v>
      </c>
      <c r="Y508" s="1" t="s">
        <v>963</v>
      </c>
    </row>
    <row r="509" spans="1:25" x14ac:dyDescent="0.25">
      <c r="A509" s="4">
        <v>844</v>
      </c>
      <c r="B509" s="9" t="s">
        <v>985</v>
      </c>
      <c r="C509" s="8" t="s">
        <v>970</v>
      </c>
      <c r="D509" s="6" t="s">
        <v>59</v>
      </c>
      <c r="E509" s="10">
        <v>5</v>
      </c>
      <c r="F509">
        <v>4.4000000000000004</v>
      </c>
      <c r="G509">
        <v>1.92</v>
      </c>
      <c r="H509" t="s">
        <v>221</v>
      </c>
      <c r="I509" t="s">
        <v>24</v>
      </c>
      <c r="J509" t="s">
        <v>185</v>
      </c>
      <c r="L509">
        <v>310</v>
      </c>
      <c r="M509" t="s">
        <v>1798</v>
      </c>
      <c r="N509">
        <v>300</v>
      </c>
      <c r="O509" t="s">
        <v>223</v>
      </c>
      <c r="P509" s="1" t="s">
        <v>968</v>
      </c>
      <c r="Q509" s="25">
        <v>-19.239272</v>
      </c>
      <c r="R509" s="25">
        <v>-54.783203999999998</v>
      </c>
      <c r="S509">
        <v>-42.697899999999997</v>
      </c>
      <c r="T509">
        <v>-36.929099999999998</v>
      </c>
      <c r="U509">
        <v>42.697899999999997</v>
      </c>
      <c r="V509" t="s">
        <v>1537</v>
      </c>
      <c r="W509" t="s">
        <v>13</v>
      </c>
      <c r="X509" t="s">
        <v>17</v>
      </c>
      <c r="Y509" s="1" t="s">
        <v>963</v>
      </c>
    </row>
    <row r="510" spans="1:25" x14ac:dyDescent="0.25">
      <c r="A510" s="4">
        <v>847</v>
      </c>
      <c r="B510" s="9" t="s">
        <v>986</v>
      </c>
      <c r="C510" s="8" t="s">
        <v>970</v>
      </c>
      <c r="D510" s="6" t="s">
        <v>59</v>
      </c>
      <c r="E510" s="10">
        <v>5</v>
      </c>
      <c r="F510">
        <v>6</v>
      </c>
      <c r="G510">
        <v>2.2200000000000002</v>
      </c>
      <c r="H510" t="s">
        <v>221</v>
      </c>
      <c r="I510" t="s">
        <v>24</v>
      </c>
      <c r="J510" t="s">
        <v>185</v>
      </c>
      <c r="L510">
        <v>310</v>
      </c>
      <c r="M510" t="s">
        <v>1798</v>
      </c>
      <c r="N510">
        <v>300</v>
      </c>
      <c r="O510" t="s">
        <v>223</v>
      </c>
      <c r="P510" s="1" t="s">
        <v>968</v>
      </c>
      <c r="Q510" s="25">
        <v>-19.239272</v>
      </c>
      <c r="R510" s="25">
        <v>-54.783203999999998</v>
      </c>
      <c r="S510">
        <v>-42.697899999999997</v>
      </c>
      <c r="T510">
        <v>-36.929099999999998</v>
      </c>
      <c r="U510">
        <v>42.697899999999997</v>
      </c>
      <c r="V510" t="s">
        <v>1537</v>
      </c>
      <c r="W510" t="s">
        <v>13</v>
      </c>
      <c r="X510" t="s">
        <v>17</v>
      </c>
      <c r="Y510" s="1" t="s">
        <v>963</v>
      </c>
    </row>
    <row r="511" spans="1:25" x14ac:dyDescent="0.25">
      <c r="A511" s="4">
        <v>850</v>
      </c>
      <c r="B511" s="9" t="s">
        <v>987</v>
      </c>
      <c r="C511" s="8" t="s">
        <v>970</v>
      </c>
      <c r="D511" s="6" t="s">
        <v>59</v>
      </c>
      <c r="E511" s="10">
        <v>5</v>
      </c>
      <c r="F511">
        <v>5.4</v>
      </c>
      <c r="G511">
        <v>3.1</v>
      </c>
      <c r="H511" t="s">
        <v>221</v>
      </c>
      <c r="I511" t="s">
        <v>24</v>
      </c>
      <c r="J511" t="s">
        <v>185</v>
      </c>
      <c r="L511">
        <v>310</v>
      </c>
      <c r="M511" t="s">
        <v>1798</v>
      </c>
      <c r="N511">
        <v>300</v>
      </c>
      <c r="O511" t="s">
        <v>223</v>
      </c>
      <c r="P511" s="1" t="s">
        <v>968</v>
      </c>
      <c r="Q511" s="25">
        <v>-19.239272</v>
      </c>
      <c r="R511" s="25">
        <v>-54.783203999999998</v>
      </c>
      <c r="S511">
        <v>-42.697899999999997</v>
      </c>
      <c r="T511">
        <v>-36.929099999999998</v>
      </c>
      <c r="U511">
        <v>42.697899999999997</v>
      </c>
      <c r="V511" t="s">
        <v>1537</v>
      </c>
      <c r="W511" t="s">
        <v>13</v>
      </c>
      <c r="X511" t="s">
        <v>17</v>
      </c>
      <c r="Y511" s="1" t="s">
        <v>963</v>
      </c>
    </row>
    <row r="512" spans="1:25" x14ac:dyDescent="0.25">
      <c r="A512" s="4">
        <v>852</v>
      </c>
      <c r="B512" s="9" t="s">
        <v>988</v>
      </c>
      <c r="C512" s="8" t="s">
        <v>970</v>
      </c>
      <c r="D512" s="6" t="s">
        <v>59</v>
      </c>
      <c r="E512" s="10">
        <v>5</v>
      </c>
      <c r="F512">
        <v>7.98</v>
      </c>
      <c r="G512">
        <v>2.77</v>
      </c>
      <c r="H512" t="s">
        <v>221</v>
      </c>
      <c r="I512" t="s">
        <v>24</v>
      </c>
      <c r="J512" t="s">
        <v>185</v>
      </c>
      <c r="L512">
        <v>310</v>
      </c>
      <c r="M512" t="s">
        <v>1798</v>
      </c>
      <c r="N512">
        <v>300</v>
      </c>
      <c r="O512" t="s">
        <v>223</v>
      </c>
      <c r="P512" s="1" t="s">
        <v>968</v>
      </c>
      <c r="Q512" s="25">
        <v>-19.239272</v>
      </c>
      <c r="R512" s="25">
        <v>-54.783203999999998</v>
      </c>
      <c r="S512">
        <v>-42.697899999999997</v>
      </c>
      <c r="T512">
        <v>-36.929099999999998</v>
      </c>
      <c r="U512">
        <v>42.697899999999997</v>
      </c>
      <c r="V512" t="s">
        <v>1537</v>
      </c>
      <c r="W512" t="s">
        <v>13</v>
      </c>
      <c r="X512" t="s">
        <v>17</v>
      </c>
      <c r="Y512" s="1" t="s">
        <v>963</v>
      </c>
    </row>
    <row r="513" spans="1:25" x14ac:dyDescent="0.25">
      <c r="A513" s="4">
        <v>853</v>
      </c>
      <c r="B513" s="9" t="s">
        <v>989</v>
      </c>
      <c r="C513" s="8" t="s">
        <v>970</v>
      </c>
      <c r="D513" s="6" t="s">
        <v>59</v>
      </c>
      <c r="E513" s="10">
        <v>5</v>
      </c>
      <c r="F513">
        <v>5.03</v>
      </c>
      <c r="G513">
        <v>2.87</v>
      </c>
      <c r="H513" t="s">
        <v>221</v>
      </c>
      <c r="I513" t="s">
        <v>24</v>
      </c>
      <c r="J513" t="s">
        <v>185</v>
      </c>
      <c r="L513">
        <v>310</v>
      </c>
      <c r="M513" t="s">
        <v>1798</v>
      </c>
      <c r="N513">
        <v>300</v>
      </c>
      <c r="O513" t="s">
        <v>223</v>
      </c>
      <c r="P513" s="1" t="s">
        <v>968</v>
      </c>
      <c r="Q513" s="25">
        <v>-19.239272</v>
      </c>
      <c r="R513" s="25">
        <v>-54.783203999999998</v>
      </c>
      <c r="S513">
        <v>-42.697899999999997</v>
      </c>
      <c r="T513">
        <v>-36.929099999999998</v>
      </c>
      <c r="U513">
        <v>42.697899999999997</v>
      </c>
      <c r="V513" t="s">
        <v>1537</v>
      </c>
      <c r="W513" t="s">
        <v>13</v>
      </c>
      <c r="X513" t="s">
        <v>17</v>
      </c>
      <c r="Y513" s="1" t="s">
        <v>963</v>
      </c>
    </row>
    <row r="514" spans="1:25" x14ac:dyDescent="0.25">
      <c r="A514" s="4">
        <v>854</v>
      </c>
      <c r="B514" s="9" t="s">
        <v>990</v>
      </c>
      <c r="C514" s="8" t="s">
        <v>970</v>
      </c>
      <c r="D514" s="6" t="s">
        <v>59</v>
      </c>
      <c r="E514" s="10">
        <v>5</v>
      </c>
      <c r="F514">
        <v>5.36</v>
      </c>
      <c r="G514">
        <v>3.26</v>
      </c>
      <c r="H514" t="s">
        <v>221</v>
      </c>
      <c r="I514" t="s">
        <v>24</v>
      </c>
      <c r="J514" t="s">
        <v>185</v>
      </c>
      <c r="L514">
        <v>310</v>
      </c>
      <c r="M514" t="s">
        <v>1798</v>
      </c>
      <c r="N514">
        <v>300</v>
      </c>
      <c r="O514" t="s">
        <v>223</v>
      </c>
      <c r="P514" s="1" t="s">
        <v>968</v>
      </c>
      <c r="Q514" s="25">
        <v>-19.239272</v>
      </c>
      <c r="R514" s="25">
        <v>-54.783203999999998</v>
      </c>
      <c r="S514">
        <v>-42.697899999999997</v>
      </c>
      <c r="T514">
        <v>-36.929099999999998</v>
      </c>
      <c r="U514">
        <v>42.697899999999997</v>
      </c>
      <c r="V514" t="s">
        <v>1537</v>
      </c>
      <c r="W514" t="s">
        <v>13</v>
      </c>
      <c r="X514" t="s">
        <v>17</v>
      </c>
      <c r="Y514" s="1" t="s">
        <v>963</v>
      </c>
    </row>
    <row r="515" spans="1:25" x14ac:dyDescent="0.25">
      <c r="A515" s="4">
        <v>855</v>
      </c>
      <c r="B515" s="9" t="s">
        <v>991</v>
      </c>
      <c r="C515" s="8" t="s">
        <v>970</v>
      </c>
      <c r="D515" s="6" t="s">
        <v>59</v>
      </c>
      <c r="E515" s="10">
        <v>5</v>
      </c>
      <c r="F515">
        <v>7.87</v>
      </c>
      <c r="G515">
        <v>3.64</v>
      </c>
      <c r="H515" t="s">
        <v>221</v>
      </c>
      <c r="I515" t="s">
        <v>24</v>
      </c>
      <c r="J515" t="s">
        <v>185</v>
      </c>
      <c r="L515">
        <v>310</v>
      </c>
      <c r="M515" t="s">
        <v>1798</v>
      </c>
      <c r="N515">
        <v>300</v>
      </c>
      <c r="O515" t="s">
        <v>223</v>
      </c>
      <c r="P515" s="1" t="s">
        <v>968</v>
      </c>
      <c r="Q515" s="25">
        <v>-19.239272</v>
      </c>
      <c r="R515" s="25">
        <v>-54.783203999999998</v>
      </c>
      <c r="S515">
        <v>-42.697899999999997</v>
      </c>
      <c r="T515">
        <v>-36.929099999999998</v>
      </c>
      <c r="U515">
        <v>42.697899999999997</v>
      </c>
      <c r="V515" t="s">
        <v>1537</v>
      </c>
      <c r="W515" t="s">
        <v>13</v>
      </c>
      <c r="X515" t="s">
        <v>17</v>
      </c>
      <c r="Y515" s="1" t="s">
        <v>963</v>
      </c>
    </row>
    <row r="516" spans="1:25" x14ac:dyDescent="0.25">
      <c r="A516" s="4">
        <v>856</v>
      </c>
      <c r="B516" s="9" t="s">
        <v>992</v>
      </c>
      <c r="C516" s="8" t="s">
        <v>970</v>
      </c>
      <c r="D516" s="6" t="s">
        <v>59</v>
      </c>
      <c r="E516" s="10">
        <v>5</v>
      </c>
      <c r="F516">
        <v>6.01</v>
      </c>
      <c r="G516">
        <v>2.83</v>
      </c>
      <c r="H516" t="s">
        <v>221</v>
      </c>
      <c r="I516" t="s">
        <v>24</v>
      </c>
      <c r="J516" t="s">
        <v>185</v>
      </c>
      <c r="L516">
        <v>310</v>
      </c>
      <c r="M516" t="s">
        <v>1798</v>
      </c>
      <c r="N516">
        <v>300</v>
      </c>
      <c r="O516" t="s">
        <v>223</v>
      </c>
      <c r="P516" s="1" t="s">
        <v>968</v>
      </c>
      <c r="Q516" s="25">
        <v>-19.239272</v>
      </c>
      <c r="R516" s="25">
        <v>-54.783203999999998</v>
      </c>
      <c r="S516">
        <v>-42.697899999999997</v>
      </c>
      <c r="T516">
        <v>-36.929099999999998</v>
      </c>
      <c r="U516">
        <v>42.697899999999997</v>
      </c>
      <c r="V516" t="s">
        <v>1537</v>
      </c>
      <c r="W516" t="s">
        <v>13</v>
      </c>
      <c r="X516" t="s">
        <v>17</v>
      </c>
      <c r="Y516" s="1" t="s">
        <v>963</v>
      </c>
    </row>
    <row r="517" spans="1:25" x14ac:dyDescent="0.25">
      <c r="A517" s="4">
        <v>858</v>
      </c>
      <c r="B517" s="9" t="s">
        <v>993</v>
      </c>
      <c r="C517" s="8" t="s">
        <v>970</v>
      </c>
      <c r="D517" s="6" t="s">
        <v>59</v>
      </c>
      <c r="E517" s="10">
        <v>5</v>
      </c>
      <c r="F517">
        <v>4.92</v>
      </c>
      <c r="G517">
        <v>1.72</v>
      </c>
      <c r="H517" t="s">
        <v>221</v>
      </c>
      <c r="I517" t="s">
        <v>24</v>
      </c>
      <c r="J517" t="s">
        <v>185</v>
      </c>
      <c r="L517">
        <v>310</v>
      </c>
      <c r="M517" t="s">
        <v>1798</v>
      </c>
      <c r="N517">
        <v>300</v>
      </c>
      <c r="O517" t="s">
        <v>223</v>
      </c>
      <c r="P517" s="1" t="s">
        <v>968</v>
      </c>
      <c r="Q517" s="25">
        <v>-19.239272</v>
      </c>
      <c r="R517" s="25">
        <v>-54.783203999999998</v>
      </c>
      <c r="S517">
        <v>-42.697899999999997</v>
      </c>
      <c r="T517">
        <v>-36.929099999999998</v>
      </c>
      <c r="U517">
        <v>42.697899999999997</v>
      </c>
      <c r="V517" t="s">
        <v>1537</v>
      </c>
      <c r="W517" t="s">
        <v>13</v>
      </c>
      <c r="X517" t="s">
        <v>17</v>
      </c>
      <c r="Y517" s="1" t="s">
        <v>963</v>
      </c>
    </row>
    <row r="518" spans="1:25" x14ac:dyDescent="0.25">
      <c r="A518" s="4">
        <v>859</v>
      </c>
      <c r="B518" s="9" t="s">
        <v>994</v>
      </c>
      <c r="C518" s="8" t="s">
        <v>970</v>
      </c>
      <c r="D518" s="6" t="s">
        <v>59</v>
      </c>
      <c r="E518" s="10">
        <v>5</v>
      </c>
      <c r="F518">
        <v>5.81</v>
      </c>
      <c r="G518">
        <v>3.29</v>
      </c>
      <c r="H518" t="s">
        <v>221</v>
      </c>
      <c r="I518" t="s">
        <v>24</v>
      </c>
      <c r="J518" t="s">
        <v>185</v>
      </c>
      <c r="L518">
        <v>310</v>
      </c>
      <c r="M518" t="s">
        <v>1798</v>
      </c>
      <c r="N518">
        <v>300</v>
      </c>
      <c r="O518" t="s">
        <v>223</v>
      </c>
      <c r="P518" s="1" t="s">
        <v>968</v>
      </c>
      <c r="Q518" s="25">
        <v>-19.239272</v>
      </c>
      <c r="R518" s="25">
        <v>-54.783203999999998</v>
      </c>
      <c r="S518">
        <v>-42.697899999999997</v>
      </c>
      <c r="T518">
        <v>-36.929099999999998</v>
      </c>
      <c r="U518">
        <v>42.697899999999997</v>
      </c>
      <c r="V518" t="s">
        <v>1537</v>
      </c>
      <c r="W518" t="s">
        <v>13</v>
      </c>
      <c r="X518" t="s">
        <v>17</v>
      </c>
      <c r="Y518" s="1" t="s">
        <v>963</v>
      </c>
    </row>
    <row r="519" spans="1:25" x14ac:dyDescent="0.25">
      <c r="A519" s="4">
        <v>860</v>
      </c>
      <c r="B519" s="9" t="s">
        <v>995</v>
      </c>
      <c r="C519" s="8" t="s">
        <v>970</v>
      </c>
      <c r="D519" s="6" t="s">
        <v>59</v>
      </c>
      <c r="E519" s="10">
        <v>5</v>
      </c>
      <c r="F519">
        <v>4.95</v>
      </c>
      <c r="G519">
        <v>2.7</v>
      </c>
      <c r="H519" t="s">
        <v>221</v>
      </c>
      <c r="I519" t="s">
        <v>24</v>
      </c>
      <c r="J519" t="s">
        <v>185</v>
      </c>
      <c r="L519">
        <v>310</v>
      </c>
      <c r="M519" t="s">
        <v>1798</v>
      </c>
      <c r="N519">
        <v>300</v>
      </c>
      <c r="O519" t="s">
        <v>223</v>
      </c>
      <c r="P519" s="1" t="s">
        <v>968</v>
      </c>
      <c r="Q519" s="25">
        <v>-19.239272</v>
      </c>
      <c r="R519" s="25">
        <v>-54.783203999999998</v>
      </c>
      <c r="S519">
        <v>-42.697899999999997</v>
      </c>
      <c r="T519">
        <v>-36.929099999999998</v>
      </c>
      <c r="U519">
        <v>42.697899999999997</v>
      </c>
      <c r="V519" t="s">
        <v>1537</v>
      </c>
      <c r="W519" t="s">
        <v>13</v>
      </c>
      <c r="X519" t="s">
        <v>17</v>
      </c>
      <c r="Y519" s="1" t="s">
        <v>963</v>
      </c>
    </row>
    <row r="520" spans="1:25" x14ac:dyDescent="0.25">
      <c r="A520" s="4">
        <v>861</v>
      </c>
      <c r="B520" s="9" t="s">
        <v>996</v>
      </c>
      <c r="C520" s="8" t="s">
        <v>970</v>
      </c>
      <c r="D520" s="6" t="s">
        <v>59</v>
      </c>
      <c r="E520" s="10">
        <v>5</v>
      </c>
      <c r="F520">
        <v>6.28</v>
      </c>
      <c r="G520">
        <v>2.64</v>
      </c>
      <c r="H520" t="s">
        <v>221</v>
      </c>
      <c r="I520" t="s">
        <v>24</v>
      </c>
      <c r="J520" t="s">
        <v>185</v>
      </c>
      <c r="L520">
        <v>310</v>
      </c>
      <c r="M520" t="s">
        <v>1798</v>
      </c>
      <c r="N520">
        <v>300</v>
      </c>
      <c r="O520" t="s">
        <v>223</v>
      </c>
      <c r="P520" s="1" t="s">
        <v>968</v>
      </c>
      <c r="Q520" s="25">
        <v>-19.239272</v>
      </c>
      <c r="R520" s="25">
        <v>-54.783203999999998</v>
      </c>
      <c r="S520">
        <v>-42.697899999999997</v>
      </c>
      <c r="T520">
        <v>-36.929099999999998</v>
      </c>
      <c r="U520">
        <v>42.697899999999997</v>
      </c>
      <c r="V520" t="s">
        <v>1537</v>
      </c>
      <c r="W520" t="s">
        <v>13</v>
      </c>
      <c r="X520" t="s">
        <v>17</v>
      </c>
      <c r="Y520" s="1" t="s">
        <v>963</v>
      </c>
    </row>
    <row r="521" spans="1:25" x14ac:dyDescent="0.25">
      <c r="A521" s="4">
        <v>862</v>
      </c>
      <c r="B521" s="9" t="s">
        <v>997</v>
      </c>
      <c r="C521" s="8" t="s">
        <v>970</v>
      </c>
      <c r="D521" s="6" t="s">
        <v>59</v>
      </c>
      <c r="E521" s="10">
        <v>5</v>
      </c>
      <c r="F521">
        <v>6.45</v>
      </c>
      <c r="G521">
        <v>3.47</v>
      </c>
      <c r="H521" t="s">
        <v>221</v>
      </c>
      <c r="I521" t="s">
        <v>24</v>
      </c>
      <c r="J521" t="s">
        <v>185</v>
      </c>
      <c r="L521">
        <v>310</v>
      </c>
      <c r="M521" t="s">
        <v>1798</v>
      </c>
      <c r="N521">
        <v>300</v>
      </c>
      <c r="O521" t="s">
        <v>223</v>
      </c>
      <c r="P521" s="1" t="s">
        <v>968</v>
      </c>
      <c r="Q521" s="25">
        <v>-19.239272</v>
      </c>
      <c r="R521" s="25">
        <v>-54.783203999999998</v>
      </c>
      <c r="S521">
        <v>-42.697899999999997</v>
      </c>
      <c r="T521">
        <v>-36.929099999999998</v>
      </c>
      <c r="U521">
        <v>42.697899999999997</v>
      </c>
      <c r="V521" t="s">
        <v>1537</v>
      </c>
      <c r="W521" t="s">
        <v>13</v>
      </c>
      <c r="X521" t="s">
        <v>17</v>
      </c>
      <c r="Y521" s="1" t="s">
        <v>963</v>
      </c>
    </row>
    <row r="522" spans="1:25" x14ac:dyDescent="0.25">
      <c r="A522" s="4">
        <v>863</v>
      </c>
      <c r="B522" s="9" t="s">
        <v>998</v>
      </c>
      <c r="C522" s="8" t="s">
        <v>970</v>
      </c>
      <c r="D522" s="6" t="s">
        <v>59</v>
      </c>
      <c r="E522" s="10">
        <v>5</v>
      </c>
      <c r="F522">
        <v>4.95</v>
      </c>
      <c r="G522">
        <v>2.72</v>
      </c>
      <c r="H522" t="s">
        <v>221</v>
      </c>
      <c r="I522" t="s">
        <v>24</v>
      </c>
      <c r="J522" t="s">
        <v>185</v>
      </c>
      <c r="L522">
        <v>310</v>
      </c>
      <c r="M522" t="s">
        <v>1798</v>
      </c>
      <c r="N522">
        <v>300</v>
      </c>
      <c r="O522" t="s">
        <v>223</v>
      </c>
      <c r="P522" s="1" t="s">
        <v>968</v>
      </c>
      <c r="Q522" s="25">
        <v>-19.239272</v>
      </c>
      <c r="R522" s="25">
        <v>-54.783203999999998</v>
      </c>
      <c r="S522">
        <v>-42.697899999999997</v>
      </c>
      <c r="T522">
        <v>-36.929099999999998</v>
      </c>
      <c r="U522">
        <v>42.697899999999997</v>
      </c>
      <c r="V522" t="s">
        <v>1537</v>
      </c>
      <c r="W522" t="s">
        <v>13</v>
      </c>
      <c r="X522" t="s">
        <v>17</v>
      </c>
      <c r="Y522" s="1" t="s">
        <v>963</v>
      </c>
    </row>
    <row r="523" spans="1:25" x14ac:dyDescent="0.25">
      <c r="A523" s="4">
        <v>864</v>
      </c>
      <c r="B523" s="9" t="s">
        <v>999</v>
      </c>
      <c r="C523" s="8" t="s">
        <v>970</v>
      </c>
      <c r="D523" s="6" t="s">
        <v>59</v>
      </c>
      <c r="E523" s="10">
        <v>5</v>
      </c>
      <c r="F523">
        <v>5.69</v>
      </c>
      <c r="G523">
        <v>2.85</v>
      </c>
      <c r="H523" t="s">
        <v>221</v>
      </c>
      <c r="I523" t="s">
        <v>24</v>
      </c>
      <c r="J523" t="s">
        <v>185</v>
      </c>
      <c r="L523">
        <v>310</v>
      </c>
      <c r="M523" t="s">
        <v>1798</v>
      </c>
      <c r="N523">
        <v>300</v>
      </c>
      <c r="O523" t="s">
        <v>223</v>
      </c>
      <c r="P523" s="1" t="s">
        <v>968</v>
      </c>
      <c r="Q523" s="25">
        <v>-19.239272</v>
      </c>
      <c r="R523" s="25">
        <v>-54.783203999999998</v>
      </c>
      <c r="S523">
        <v>-42.697899999999997</v>
      </c>
      <c r="T523">
        <v>-36.929099999999998</v>
      </c>
      <c r="U523">
        <v>42.697899999999997</v>
      </c>
      <c r="V523" t="s">
        <v>1537</v>
      </c>
      <c r="W523" t="s">
        <v>13</v>
      </c>
      <c r="X523" t="s">
        <v>17</v>
      </c>
      <c r="Y523" s="1" t="s">
        <v>963</v>
      </c>
    </row>
    <row r="524" spans="1:25" x14ac:dyDescent="0.25">
      <c r="A524" s="4">
        <v>865</v>
      </c>
      <c r="B524" s="9" t="s">
        <v>1000</v>
      </c>
      <c r="C524" s="8" t="s">
        <v>970</v>
      </c>
      <c r="D524" s="6" t="s">
        <v>59</v>
      </c>
      <c r="E524" s="10">
        <v>5</v>
      </c>
      <c r="F524">
        <v>4.96</v>
      </c>
      <c r="G524">
        <v>2.8</v>
      </c>
      <c r="H524" t="s">
        <v>221</v>
      </c>
      <c r="I524" t="s">
        <v>24</v>
      </c>
      <c r="J524" t="s">
        <v>185</v>
      </c>
      <c r="L524">
        <v>310</v>
      </c>
      <c r="M524" t="s">
        <v>1798</v>
      </c>
      <c r="N524">
        <v>300</v>
      </c>
      <c r="O524" t="s">
        <v>223</v>
      </c>
      <c r="P524" s="1" t="s">
        <v>968</v>
      </c>
      <c r="Q524" s="25">
        <v>-19.239272</v>
      </c>
      <c r="R524" s="25">
        <v>-54.783203999999998</v>
      </c>
      <c r="S524">
        <v>-42.697899999999997</v>
      </c>
      <c r="T524">
        <v>-36.929099999999998</v>
      </c>
      <c r="U524">
        <v>42.697899999999997</v>
      </c>
      <c r="V524" t="s">
        <v>1537</v>
      </c>
      <c r="W524" t="s">
        <v>13</v>
      </c>
      <c r="X524" t="s">
        <v>17</v>
      </c>
      <c r="Y524" s="1" t="s">
        <v>963</v>
      </c>
    </row>
    <row r="525" spans="1:25" x14ac:dyDescent="0.25">
      <c r="A525" s="4">
        <v>866</v>
      </c>
      <c r="B525" s="9" t="s">
        <v>1001</v>
      </c>
      <c r="C525" s="8" t="s">
        <v>970</v>
      </c>
      <c r="D525" s="6" t="s">
        <v>59</v>
      </c>
      <c r="E525" s="10">
        <v>5</v>
      </c>
      <c r="F525">
        <v>6.78</v>
      </c>
      <c r="G525">
        <v>3.04</v>
      </c>
      <c r="H525" t="s">
        <v>221</v>
      </c>
      <c r="I525" t="s">
        <v>24</v>
      </c>
      <c r="J525" t="s">
        <v>185</v>
      </c>
      <c r="L525">
        <v>310</v>
      </c>
      <c r="M525" t="s">
        <v>1798</v>
      </c>
      <c r="N525">
        <v>300</v>
      </c>
      <c r="O525" t="s">
        <v>223</v>
      </c>
      <c r="P525" s="1" t="s">
        <v>968</v>
      </c>
      <c r="Q525" s="25">
        <v>-19.239272</v>
      </c>
      <c r="R525" s="25">
        <v>-54.783203999999998</v>
      </c>
      <c r="S525">
        <v>-42.697899999999997</v>
      </c>
      <c r="T525">
        <v>-36.929099999999998</v>
      </c>
      <c r="U525">
        <v>42.697899999999997</v>
      </c>
      <c r="V525" t="s">
        <v>1537</v>
      </c>
      <c r="W525" t="s">
        <v>13</v>
      </c>
      <c r="X525" t="s">
        <v>17</v>
      </c>
      <c r="Y525" s="1" t="s">
        <v>963</v>
      </c>
    </row>
    <row r="526" spans="1:25" x14ac:dyDescent="0.25">
      <c r="A526" s="4">
        <v>867</v>
      </c>
      <c r="B526" s="9" t="s">
        <v>1002</v>
      </c>
      <c r="C526" s="8" t="s">
        <v>970</v>
      </c>
      <c r="D526" s="6" t="s">
        <v>59</v>
      </c>
      <c r="E526" s="10">
        <v>5</v>
      </c>
      <c r="F526">
        <v>5.45</v>
      </c>
      <c r="G526">
        <v>2.23</v>
      </c>
      <c r="H526" t="s">
        <v>221</v>
      </c>
      <c r="I526" t="s">
        <v>24</v>
      </c>
      <c r="J526" t="s">
        <v>185</v>
      </c>
      <c r="L526">
        <v>310</v>
      </c>
      <c r="M526" t="s">
        <v>1798</v>
      </c>
      <c r="N526">
        <v>300</v>
      </c>
      <c r="O526" t="s">
        <v>223</v>
      </c>
      <c r="P526" s="1" t="s">
        <v>968</v>
      </c>
      <c r="Q526" s="25">
        <v>-19.239272</v>
      </c>
      <c r="R526" s="25">
        <v>-54.783203999999998</v>
      </c>
      <c r="S526">
        <v>-42.697899999999997</v>
      </c>
      <c r="T526">
        <v>-36.929099999999998</v>
      </c>
      <c r="U526">
        <v>42.697899999999997</v>
      </c>
      <c r="V526" t="s">
        <v>1537</v>
      </c>
      <c r="W526" t="s">
        <v>13</v>
      </c>
      <c r="X526" t="s">
        <v>17</v>
      </c>
      <c r="Y526" s="1" t="s">
        <v>963</v>
      </c>
    </row>
    <row r="527" spans="1:25" x14ac:dyDescent="0.25">
      <c r="A527" s="4">
        <v>868</v>
      </c>
      <c r="B527" s="9" t="s">
        <v>1003</v>
      </c>
      <c r="C527" s="8" t="s">
        <v>970</v>
      </c>
      <c r="D527" s="6" t="s">
        <v>59</v>
      </c>
      <c r="E527" s="10">
        <v>5</v>
      </c>
      <c r="F527">
        <v>5.66</v>
      </c>
      <c r="G527">
        <v>3.64</v>
      </c>
      <c r="H527" t="s">
        <v>221</v>
      </c>
      <c r="I527" t="s">
        <v>24</v>
      </c>
      <c r="J527" t="s">
        <v>185</v>
      </c>
      <c r="L527">
        <v>310</v>
      </c>
      <c r="M527" t="s">
        <v>1798</v>
      </c>
      <c r="N527">
        <v>300</v>
      </c>
      <c r="O527" t="s">
        <v>223</v>
      </c>
      <c r="P527" s="1" t="s">
        <v>968</v>
      </c>
      <c r="Q527" s="25">
        <v>-19.239272</v>
      </c>
      <c r="R527" s="25">
        <v>-54.783203999999998</v>
      </c>
      <c r="S527">
        <v>-42.697899999999997</v>
      </c>
      <c r="T527">
        <v>-36.929099999999998</v>
      </c>
      <c r="U527">
        <v>42.697899999999997</v>
      </c>
      <c r="V527" t="s">
        <v>1537</v>
      </c>
      <c r="W527" t="s">
        <v>13</v>
      </c>
      <c r="X527" t="s">
        <v>17</v>
      </c>
      <c r="Y527" s="1" t="s">
        <v>963</v>
      </c>
    </row>
    <row r="528" spans="1:25" x14ac:dyDescent="0.25">
      <c r="A528" s="4">
        <v>869</v>
      </c>
      <c r="B528" s="9" t="s">
        <v>1004</v>
      </c>
      <c r="C528" s="8" t="s">
        <v>970</v>
      </c>
      <c r="D528" s="6" t="s">
        <v>59</v>
      </c>
      <c r="E528" s="10">
        <v>5</v>
      </c>
      <c r="F528">
        <v>4.95</v>
      </c>
      <c r="G528">
        <v>1.88</v>
      </c>
      <c r="H528" t="s">
        <v>221</v>
      </c>
      <c r="I528" t="s">
        <v>24</v>
      </c>
      <c r="J528" t="s">
        <v>185</v>
      </c>
      <c r="L528">
        <v>310</v>
      </c>
      <c r="M528" t="s">
        <v>1798</v>
      </c>
      <c r="N528">
        <v>300</v>
      </c>
      <c r="O528" t="s">
        <v>223</v>
      </c>
      <c r="P528" s="1" t="s">
        <v>968</v>
      </c>
      <c r="Q528" s="25">
        <v>-19.239272</v>
      </c>
      <c r="R528" s="25">
        <v>-54.783203999999998</v>
      </c>
      <c r="S528">
        <v>-42.697899999999997</v>
      </c>
      <c r="T528">
        <v>-36.929099999999998</v>
      </c>
      <c r="U528">
        <v>42.697899999999997</v>
      </c>
      <c r="V528" t="s">
        <v>1537</v>
      </c>
      <c r="W528" t="s">
        <v>13</v>
      </c>
      <c r="X528" t="s">
        <v>17</v>
      </c>
      <c r="Y528" s="1" t="s">
        <v>963</v>
      </c>
    </row>
    <row r="529" spans="1:25" x14ac:dyDescent="0.25">
      <c r="A529" s="4">
        <v>871</v>
      </c>
      <c r="B529" s="9" t="s">
        <v>984</v>
      </c>
      <c r="C529" s="8" t="s">
        <v>970</v>
      </c>
      <c r="D529" s="6" t="s">
        <v>28</v>
      </c>
      <c r="E529" s="10">
        <v>6</v>
      </c>
      <c r="F529">
        <v>0.91</v>
      </c>
      <c r="G529">
        <v>0.25</v>
      </c>
      <c r="H529" t="s">
        <v>221</v>
      </c>
      <c r="I529" t="s">
        <v>24</v>
      </c>
      <c r="J529" t="s">
        <v>185</v>
      </c>
      <c r="L529">
        <v>310</v>
      </c>
      <c r="M529" t="s">
        <v>1798</v>
      </c>
      <c r="N529">
        <v>300</v>
      </c>
      <c r="O529" t="s">
        <v>223</v>
      </c>
      <c r="P529" s="1" t="s">
        <v>968</v>
      </c>
      <c r="Q529" s="25">
        <v>-19.239272</v>
      </c>
      <c r="R529" s="25">
        <v>-54.783203999999998</v>
      </c>
      <c r="S529">
        <v>-42.697899999999997</v>
      </c>
      <c r="T529">
        <v>-36.929099999999998</v>
      </c>
      <c r="U529">
        <v>42.697899999999997</v>
      </c>
      <c r="V529" t="s">
        <v>1537</v>
      </c>
      <c r="W529" t="s">
        <v>13</v>
      </c>
      <c r="X529" t="s">
        <v>17</v>
      </c>
      <c r="Y529" s="1" t="s">
        <v>963</v>
      </c>
    </row>
    <row r="530" spans="1:25" x14ac:dyDescent="0.25">
      <c r="A530" s="4">
        <v>872</v>
      </c>
      <c r="B530" s="9" t="s">
        <v>1005</v>
      </c>
      <c r="C530" s="8" t="s">
        <v>970</v>
      </c>
      <c r="D530" s="6" t="s">
        <v>28</v>
      </c>
      <c r="E530" s="10">
        <v>6</v>
      </c>
      <c r="F530">
        <v>0.98</v>
      </c>
      <c r="G530">
        <v>0.33</v>
      </c>
      <c r="H530" t="s">
        <v>221</v>
      </c>
      <c r="I530" t="s">
        <v>24</v>
      </c>
      <c r="J530" t="s">
        <v>185</v>
      </c>
      <c r="L530">
        <v>310</v>
      </c>
      <c r="M530" t="s">
        <v>1798</v>
      </c>
      <c r="N530">
        <v>300</v>
      </c>
      <c r="O530" t="s">
        <v>223</v>
      </c>
      <c r="P530" s="1" t="s">
        <v>968</v>
      </c>
      <c r="Q530" s="25">
        <v>-19.239272</v>
      </c>
      <c r="R530" s="25">
        <v>-54.783203999999998</v>
      </c>
      <c r="S530">
        <v>-42.697899999999997</v>
      </c>
      <c r="T530">
        <v>-36.929099999999998</v>
      </c>
      <c r="U530">
        <v>42.697899999999997</v>
      </c>
      <c r="V530" t="s">
        <v>1537</v>
      </c>
      <c r="W530" t="s">
        <v>13</v>
      </c>
      <c r="X530" t="s">
        <v>17</v>
      </c>
      <c r="Y530" s="1" t="s">
        <v>963</v>
      </c>
    </row>
    <row r="531" spans="1:25" x14ac:dyDescent="0.25">
      <c r="A531" s="4">
        <v>873</v>
      </c>
      <c r="B531" s="9" t="s">
        <v>1006</v>
      </c>
      <c r="C531" s="8" t="s">
        <v>970</v>
      </c>
      <c r="D531" s="6" t="s">
        <v>28</v>
      </c>
      <c r="E531" s="10">
        <v>6</v>
      </c>
      <c r="F531">
        <v>0.97</v>
      </c>
      <c r="G531">
        <v>0.25</v>
      </c>
      <c r="H531" t="s">
        <v>221</v>
      </c>
      <c r="I531" t="s">
        <v>24</v>
      </c>
      <c r="J531" t="s">
        <v>185</v>
      </c>
      <c r="L531">
        <v>310</v>
      </c>
      <c r="M531" t="s">
        <v>1798</v>
      </c>
      <c r="N531">
        <v>300</v>
      </c>
      <c r="O531" t="s">
        <v>223</v>
      </c>
      <c r="P531" s="1" t="s">
        <v>968</v>
      </c>
      <c r="Q531" s="25">
        <v>-19.239272</v>
      </c>
      <c r="R531" s="25">
        <v>-54.783203999999998</v>
      </c>
      <c r="S531">
        <v>-42.697899999999997</v>
      </c>
      <c r="T531">
        <v>-36.929099999999998</v>
      </c>
      <c r="U531">
        <v>42.697899999999997</v>
      </c>
      <c r="V531" t="s">
        <v>1537</v>
      </c>
      <c r="W531" t="s">
        <v>13</v>
      </c>
      <c r="X531" t="s">
        <v>17</v>
      </c>
      <c r="Y531" s="1" t="s">
        <v>963</v>
      </c>
    </row>
    <row r="532" spans="1:25" x14ac:dyDescent="0.25">
      <c r="A532" s="4">
        <v>874</v>
      </c>
      <c r="B532" s="9" t="s">
        <v>994</v>
      </c>
      <c r="C532" s="8" t="s">
        <v>970</v>
      </c>
      <c r="D532" s="6" t="s">
        <v>28</v>
      </c>
      <c r="E532" s="10">
        <v>6</v>
      </c>
      <c r="F532">
        <v>0.88</v>
      </c>
      <c r="G532">
        <v>0.25</v>
      </c>
      <c r="H532" t="s">
        <v>221</v>
      </c>
      <c r="I532" t="s">
        <v>24</v>
      </c>
      <c r="J532" t="s">
        <v>185</v>
      </c>
      <c r="L532">
        <v>310</v>
      </c>
      <c r="M532" t="s">
        <v>1798</v>
      </c>
      <c r="N532">
        <v>300</v>
      </c>
      <c r="O532" t="s">
        <v>223</v>
      </c>
      <c r="P532" s="1" t="s">
        <v>968</v>
      </c>
      <c r="Q532" s="25">
        <v>-19.239272</v>
      </c>
      <c r="R532" s="25">
        <v>-54.783203999999998</v>
      </c>
      <c r="S532">
        <v>-42.697899999999997</v>
      </c>
      <c r="T532">
        <v>-36.929099999999998</v>
      </c>
      <c r="U532">
        <v>42.697899999999997</v>
      </c>
      <c r="V532" t="s">
        <v>1537</v>
      </c>
      <c r="W532" t="s">
        <v>13</v>
      </c>
      <c r="X532" t="s">
        <v>17</v>
      </c>
      <c r="Y532" s="1" t="s">
        <v>963</v>
      </c>
    </row>
    <row r="533" spans="1:25" x14ac:dyDescent="0.25">
      <c r="A533" s="4">
        <v>875</v>
      </c>
      <c r="B533" s="9" t="s">
        <v>978</v>
      </c>
      <c r="C533" s="8" t="s">
        <v>970</v>
      </c>
      <c r="D533" s="6" t="s">
        <v>28</v>
      </c>
      <c r="E533" s="10">
        <v>6</v>
      </c>
      <c r="F533">
        <v>0.627</v>
      </c>
      <c r="G533">
        <v>0.14299999999999999</v>
      </c>
      <c r="H533" t="s">
        <v>221</v>
      </c>
      <c r="I533" t="s">
        <v>24</v>
      </c>
      <c r="J533" t="s">
        <v>185</v>
      </c>
      <c r="L533">
        <v>310</v>
      </c>
      <c r="M533" t="s">
        <v>1798</v>
      </c>
      <c r="N533">
        <v>300</v>
      </c>
      <c r="O533" t="s">
        <v>223</v>
      </c>
      <c r="P533" s="1" t="s">
        <v>968</v>
      </c>
      <c r="Q533" s="25">
        <v>-19.239272</v>
      </c>
      <c r="R533" s="25">
        <v>-54.783203999999998</v>
      </c>
      <c r="S533">
        <v>-42.697899999999997</v>
      </c>
      <c r="T533">
        <v>-36.929099999999998</v>
      </c>
      <c r="U533">
        <v>42.697899999999997</v>
      </c>
      <c r="V533" t="s">
        <v>1537</v>
      </c>
      <c r="W533" t="s">
        <v>13</v>
      </c>
      <c r="X533" t="s">
        <v>17</v>
      </c>
      <c r="Y533" s="1" t="s">
        <v>963</v>
      </c>
    </row>
    <row r="534" spans="1:25" x14ac:dyDescent="0.25">
      <c r="A534" s="4">
        <v>876</v>
      </c>
      <c r="B534" s="9" t="s">
        <v>1007</v>
      </c>
      <c r="C534" s="8" t="s">
        <v>970</v>
      </c>
      <c r="D534" s="6" t="s">
        <v>28</v>
      </c>
      <c r="E534" s="10">
        <v>6</v>
      </c>
      <c r="F534">
        <v>7.02</v>
      </c>
      <c r="G534">
        <v>3.61</v>
      </c>
      <c r="H534" t="s">
        <v>221</v>
      </c>
      <c r="I534" t="s">
        <v>24</v>
      </c>
      <c r="J534" t="s">
        <v>185</v>
      </c>
      <c r="L534">
        <v>310</v>
      </c>
      <c r="M534" t="s">
        <v>1798</v>
      </c>
      <c r="N534">
        <v>300</v>
      </c>
      <c r="O534" t="s">
        <v>223</v>
      </c>
      <c r="P534" s="1" t="s">
        <v>968</v>
      </c>
      <c r="Q534" s="25">
        <v>-19.239272</v>
      </c>
      <c r="R534" s="25">
        <v>-54.783203999999998</v>
      </c>
      <c r="S534">
        <v>-42.697899999999997</v>
      </c>
      <c r="T534">
        <v>-36.929099999999998</v>
      </c>
      <c r="U534">
        <v>42.697899999999997</v>
      </c>
      <c r="V534" t="s">
        <v>1537</v>
      </c>
      <c r="W534" t="s">
        <v>13</v>
      </c>
      <c r="X534" t="s">
        <v>17</v>
      </c>
      <c r="Y534" s="1" t="s">
        <v>963</v>
      </c>
    </row>
    <row r="535" spans="1:25" x14ac:dyDescent="0.25">
      <c r="A535" s="4">
        <v>877</v>
      </c>
      <c r="B535" s="9" t="s">
        <v>1008</v>
      </c>
      <c r="C535" s="8" t="s">
        <v>970</v>
      </c>
      <c r="D535" s="6" t="s">
        <v>28</v>
      </c>
      <c r="E535" s="10">
        <v>6</v>
      </c>
      <c r="F535">
        <v>5.81</v>
      </c>
      <c r="G535">
        <v>3.94</v>
      </c>
      <c r="H535" t="s">
        <v>221</v>
      </c>
      <c r="I535" t="s">
        <v>24</v>
      </c>
      <c r="J535" t="s">
        <v>185</v>
      </c>
      <c r="L535">
        <v>310</v>
      </c>
      <c r="M535" t="s">
        <v>1798</v>
      </c>
      <c r="N535">
        <v>300</v>
      </c>
      <c r="O535" t="s">
        <v>223</v>
      </c>
      <c r="P535" s="1" t="s">
        <v>968</v>
      </c>
      <c r="Q535" s="25">
        <v>-19.239272</v>
      </c>
      <c r="R535" s="25">
        <v>-54.783203999999998</v>
      </c>
      <c r="S535">
        <v>-42.697899999999997</v>
      </c>
      <c r="T535">
        <v>-36.929099999999998</v>
      </c>
      <c r="U535">
        <v>42.697899999999997</v>
      </c>
      <c r="V535" t="s">
        <v>1537</v>
      </c>
      <c r="W535" t="s">
        <v>13</v>
      </c>
      <c r="X535" t="s">
        <v>17</v>
      </c>
      <c r="Y535" s="1" t="s">
        <v>963</v>
      </c>
    </row>
    <row r="536" spans="1:25" x14ac:dyDescent="0.25">
      <c r="A536" s="4">
        <v>878</v>
      </c>
      <c r="B536" s="9" t="s">
        <v>1009</v>
      </c>
      <c r="C536" s="8" t="s">
        <v>970</v>
      </c>
      <c r="D536" s="6" t="s">
        <v>28</v>
      </c>
      <c r="E536" s="10">
        <v>6</v>
      </c>
      <c r="F536">
        <v>6.01</v>
      </c>
      <c r="G536">
        <v>3.32</v>
      </c>
      <c r="H536" t="s">
        <v>221</v>
      </c>
      <c r="I536" t="s">
        <v>24</v>
      </c>
      <c r="J536" t="s">
        <v>185</v>
      </c>
      <c r="L536">
        <v>310</v>
      </c>
      <c r="M536" t="s">
        <v>1798</v>
      </c>
      <c r="N536">
        <v>300</v>
      </c>
      <c r="O536" t="s">
        <v>223</v>
      </c>
      <c r="P536" s="1" t="s">
        <v>968</v>
      </c>
      <c r="Q536" s="25">
        <v>-19.239272</v>
      </c>
      <c r="R536" s="25">
        <v>-54.783203999999998</v>
      </c>
      <c r="S536">
        <v>-42.697899999999997</v>
      </c>
      <c r="T536">
        <v>-36.929099999999998</v>
      </c>
      <c r="U536">
        <v>42.697899999999997</v>
      </c>
      <c r="V536" t="s">
        <v>1537</v>
      </c>
      <c r="W536" t="s">
        <v>13</v>
      </c>
      <c r="X536" t="s">
        <v>17</v>
      </c>
      <c r="Y536" s="1" t="s">
        <v>963</v>
      </c>
    </row>
    <row r="537" spans="1:25" x14ac:dyDescent="0.25">
      <c r="A537" s="4">
        <v>879</v>
      </c>
      <c r="B537" s="9" t="s">
        <v>988</v>
      </c>
      <c r="C537" s="8" t="s">
        <v>970</v>
      </c>
      <c r="D537" s="6" t="s">
        <v>28</v>
      </c>
      <c r="E537" s="10">
        <v>6</v>
      </c>
      <c r="F537">
        <v>6.47</v>
      </c>
      <c r="G537">
        <v>3.23</v>
      </c>
      <c r="H537" t="s">
        <v>221</v>
      </c>
      <c r="I537" t="s">
        <v>24</v>
      </c>
      <c r="J537" t="s">
        <v>185</v>
      </c>
      <c r="L537">
        <v>310</v>
      </c>
      <c r="M537" t="s">
        <v>1798</v>
      </c>
      <c r="N537">
        <v>300</v>
      </c>
      <c r="O537" t="s">
        <v>223</v>
      </c>
      <c r="P537" s="1" t="s">
        <v>968</v>
      </c>
      <c r="Q537" s="25">
        <v>-19.239272</v>
      </c>
      <c r="R537" s="25">
        <v>-54.783203999999998</v>
      </c>
      <c r="S537">
        <v>-42.697899999999997</v>
      </c>
      <c r="T537">
        <v>-36.929099999999998</v>
      </c>
      <c r="U537">
        <v>42.697899999999997</v>
      </c>
      <c r="V537" t="s">
        <v>1537</v>
      </c>
      <c r="W537" t="s">
        <v>13</v>
      </c>
      <c r="X537" t="s">
        <v>17</v>
      </c>
      <c r="Y537" s="1" t="s">
        <v>963</v>
      </c>
    </row>
    <row r="538" spans="1:25" x14ac:dyDescent="0.25">
      <c r="A538" s="4">
        <v>880</v>
      </c>
      <c r="B538" s="9" t="s">
        <v>1010</v>
      </c>
      <c r="C538" s="8" t="s">
        <v>970</v>
      </c>
      <c r="D538" s="6" t="s">
        <v>28</v>
      </c>
      <c r="E538" s="10">
        <v>6</v>
      </c>
      <c r="F538">
        <v>4.7699999999999996</v>
      </c>
      <c r="G538">
        <v>2.99</v>
      </c>
      <c r="H538" t="s">
        <v>221</v>
      </c>
      <c r="I538" t="s">
        <v>24</v>
      </c>
      <c r="J538" t="s">
        <v>185</v>
      </c>
      <c r="L538">
        <v>310</v>
      </c>
      <c r="M538" t="s">
        <v>1798</v>
      </c>
      <c r="N538">
        <v>300</v>
      </c>
      <c r="O538" t="s">
        <v>223</v>
      </c>
      <c r="P538" s="1" t="s">
        <v>968</v>
      </c>
      <c r="Q538" s="25">
        <v>-19.239272</v>
      </c>
      <c r="R538" s="25">
        <v>-54.783203999999998</v>
      </c>
      <c r="S538">
        <v>-42.697899999999997</v>
      </c>
      <c r="T538">
        <v>-36.929099999999998</v>
      </c>
      <c r="U538">
        <v>42.697899999999997</v>
      </c>
      <c r="V538" t="s">
        <v>1537</v>
      </c>
      <c r="W538" t="s">
        <v>13</v>
      </c>
      <c r="X538" t="s">
        <v>17</v>
      </c>
      <c r="Y538" s="1" t="s">
        <v>963</v>
      </c>
    </row>
    <row r="539" spans="1:25" x14ac:dyDescent="0.25">
      <c r="A539" s="4">
        <v>881</v>
      </c>
      <c r="B539" s="9" t="s">
        <v>990</v>
      </c>
      <c r="C539" s="8" t="s">
        <v>970</v>
      </c>
      <c r="D539" s="6" t="s">
        <v>28</v>
      </c>
      <c r="E539" s="10">
        <v>6</v>
      </c>
      <c r="F539">
        <v>5.41</v>
      </c>
      <c r="G539">
        <v>3.41</v>
      </c>
      <c r="H539" t="s">
        <v>221</v>
      </c>
      <c r="I539" t="s">
        <v>24</v>
      </c>
      <c r="J539" t="s">
        <v>185</v>
      </c>
      <c r="L539">
        <v>310</v>
      </c>
      <c r="M539" t="s">
        <v>1798</v>
      </c>
      <c r="N539">
        <v>300</v>
      </c>
      <c r="O539" t="s">
        <v>223</v>
      </c>
      <c r="P539" s="1" t="s">
        <v>968</v>
      </c>
      <c r="Q539" s="25">
        <v>-19.239272</v>
      </c>
      <c r="R539" s="25">
        <v>-54.783203999999998</v>
      </c>
      <c r="S539">
        <v>-42.697899999999997</v>
      </c>
      <c r="T539">
        <v>-36.929099999999998</v>
      </c>
      <c r="U539">
        <v>42.697899999999997</v>
      </c>
      <c r="V539" t="s">
        <v>1537</v>
      </c>
      <c r="W539" t="s">
        <v>13</v>
      </c>
      <c r="X539" t="s">
        <v>17</v>
      </c>
      <c r="Y539" s="1" t="s">
        <v>963</v>
      </c>
    </row>
    <row r="540" spans="1:25" x14ac:dyDescent="0.25">
      <c r="A540" s="4">
        <v>882</v>
      </c>
      <c r="B540" s="9" t="s">
        <v>1011</v>
      </c>
      <c r="C540" s="8" t="s">
        <v>970</v>
      </c>
      <c r="D540" s="6" t="s">
        <v>28</v>
      </c>
      <c r="E540" s="10">
        <v>6</v>
      </c>
      <c r="F540">
        <v>6.56</v>
      </c>
      <c r="G540">
        <v>3.64</v>
      </c>
      <c r="H540" t="s">
        <v>221</v>
      </c>
      <c r="I540" t="s">
        <v>24</v>
      </c>
      <c r="J540" t="s">
        <v>185</v>
      </c>
      <c r="L540">
        <v>310</v>
      </c>
      <c r="M540" t="s">
        <v>1798</v>
      </c>
      <c r="N540">
        <v>300</v>
      </c>
      <c r="O540" t="s">
        <v>223</v>
      </c>
      <c r="P540" s="1" t="s">
        <v>968</v>
      </c>
      <c r="Q540" s="25">
        <v>-19.239272</v>
      </c>
      <c r="R540" s="25">
        <v>-54.783203999999998</v>
      </c>
      <c r="S540">
        <v>-42.697899999999997</v>
      </c>
      <c r="T540">
        <v>-36.929099999999998</v>
      </c>
      <c r="U540">
        <v>42.697899999999997</v>
      </c>
      <c r="V540" t="s">
        <v>1537</v>
      </c>
      <c r="W540" t="s">
        <v>13</v>
      </c>
      <c r="X540" t="s">
        <v>17</v>
      </c>
      <c r="Y540" s="1" t="s">
        <v>963</v>
      </c>
    </row>
    <row r="541" spans="1:25" x14ac:dyDescent="0.25">
      <c r="A541" s="4">
        <v>883</v>
      </c>
      <c r="B541" s="9" t="s">
        <v>1012</v>
      </c>
      <c r="C541" s="8" t="s">
        <v>970</v>
      </c>
      <c r="D541" s="6" t="s">
        <v>28</v>
      </c>
      <c r="E541" s="10">
        <v>6</v>
      </c>
      <c r="F541">
        <v>6.46</v>
      </c>
      <c r="G541">
        <v>2.9</v>
      </c>
      <c r="H541" t="s">
        <v>221</v>
      </c>
      <c r="I541" t="s">
        <v>24</v>
      </c>
      <c r="J541" t="s">
        <v>185</v>
      </c>
      <c r="L541">
        <v>310</v>
      </c>
      <c r="M541" t="s">
        <v>1798</v>
      </c>
      <c r="N541">
        <v>300</v>
      </c>
      <c r="O541" t="s">
        <v>223</v>
      </c>
      <c r="P541" s="1" t="s">
        <v>968</v>
      </c>
      <c r="Q541" s="25">
        <v>-19.239272</v>
      </c>
      <c r="R541" s="25">
        <v>-54.783203999999998</v>
      </c>
      <c r="S541">
        <v>-42.697899999999997</v>
      </c>
      <c r="T541">
        <v>-36.929099999999998</v>
      </c>
      <c r="U541">
        <v>42.697899999999997</v>
      </c>
      <c r="V541" t="s">
        <v>1537</v>
      </c>
      <c r="W541" t="s">
        <v>13</v>
      </c>
      <c r="X541" t="s">
        <v>17</v>
      </c>
      <c r="Y541" s="1" t="s">
        <v>963</v>
      </c>
    </row>
    <row r="542" spans="1:25" x14ac:dyDescent="0.25">
      <c r="A542" s="4">
        <v>884</v>
      </c>
      <c r="B542" s="9" t="s">
        <v>1013</v>
      </c>
      <c r="C542" s="8" t="s">
        <v>970</v>
      </c>
      <c r="D542" s="6" t="s">
        <v>28</v>
      </c>
      <c r="E542" s="10">
        <v>6</v>
      </c>
      <c r="F542">
        <v>7.86</v>
      </c>
      <c r="G542">
        <v>4.0199999999999996</v>
      </c>
      <c r="H542" t="s">
        <v>221</v>
      </c>
      <c r="I542" t="s">
        <v>24</v>
      </c>
      <c r="J542" t="s">
        <v>185</v>
      </c>
      <c r="L542">
        <v>310</v>
      </c>
      <c r="M542" t="s">
        <v>1798</v>
      </c>
      <c r="N542">
        <v>300</v>
      </c>
      <c r="O542" t="s">
        <v>223</v>
      </c>
      <c r="P542" s="1" t="s">
        <v>968</v>
      </c>
      <c r="Q542" s="25">
        <v>-19.239272</v>
      </c>
      <c r="R542" s="25">
        <v>-54.783203999999998</v>
      </c>
      <c r="S542">
        <v>-42.697899999999997</v>
      </c>
      <c r="T542">
        <v>-36.929099999999998</v>
      </c>
      <c r="U542">
        <v>42.697899999999997</v>
      </c>
      <c r="V542" t="s">
        <v>1537</v>
      </c>
      <c r="W542" t="s">
        <v>13</v>
      </c>
      <c r="X542" t="s">
        <v>17</v>
      </c>
      <c r="Y542" s="1" t="s">
        <v>963</v>
      </c>
    </row>
    <row r="543" spans="1:25" x14ac:dyDescent="0.25">
      <c r="A543" s="4">
        <v>885</v>
      </c>
      <c r="B543" s="9" t="s">
        <v>996</v>
      </c>
      <c r="C543" s="8" t="s">
        <v>970</v>
      </c>
      <c r="D543" s="6" t="s">
        <v>28</v>
      </c>
      <c r="E543" s="10">
        <v>6</v>
      </c>
      <c r="F543">
        <v>6.39</v>
      </c>
      <c r="G543">
        <v>4.18</v>
      </c>
      <c r="H543" t="s">
        <v>221</v>
      </c>
      <c r="I543" t="s">
        <v>24</v>
      </c>
      <c r="J543" t="s">
        <v>185</v>
      </c>
      <c r="L543">
        <v>310</v>
      </c>
      <c r="M543" t="s">
        <v>1798</v>
      </c>
      <c r="N543">
        <v>300</v>
      </c>
      <c r="O543" t="s">
        <v>223</v>
      </c>
      <c r="P543" s="1" t="s">
        <v>968</v>
      </c>
      <c r="Q543" s="25">
        <v>-19.239272</v>
      </c>
      <c r="R543" s="25">
        <v>-54.783203999999998</v>
      </c>
      <c r="S543">
        <v>-42.697899999999997</v>
      </c>
      <c r="T543">
        <v>-36.929099999999998</v>
      </c>
      <c r="U543">
        <v>42.697899999999997</v>
      </c>
      <c r="V543" t="s">
        <v>1537</v>
      </c>
      <c r="W543" t="s">
        <v>13</v>
      </c>
      <c r="X543" t="s">
        <v>17</v>
      </c>
      <c r="Y543" s="1" t="s">
        <v>963</v>
      </c>
    </row>
    <row r="544" spans="1:25" x14ac:dyDescent="0.25">
      <c r="A544" s="4">
        <v>886</v>
      </c>
      <c r="B544" s="9" t="s">
        <v>1014</v>
      </c>
      <c r="C544" s="8" t="s">
        <v>970</v>
      </c>
      <c r="D544" s="6" t="s">
        <v>28</v>
      </c>
      <c r="E544" s="10">
        <v>6</v>
      </c>
      <c r="F544">
        <v>6.29</v>
      </c>
      <c r="G544">
        <v>3.32</v>
      </c>
      <c r="H544" t="s">
        <v>221</v>
      </c>
      <c r="I544" t="s">
        <v>24</v>
      </c>
      <c r="J544" t="s">
        <v>185</v>
      </c>
      <c r="L544">
        <v>310</v>
      </c>
      <c r="M544" t="s">
        <v>1798</v>
      </c>
      <c r="N544">
        <v>300</v>
      </c>
      <c r="O544" t="s">
        <v>223</v>
      </c>
      <c r="P544" s="1" t="s">
        <v>968</v>
      </c>
      <c r="Q544" s="25">
        <v>-19.239272</v>
      </c>
      <c r="R544" s="25">
        <v>-54.783203999999998</v>
      </c>
      <c r="S544">
        <v>-42.697899999999997</v>
      </c>
      <c r="T544">
        <v>-36.929099999999998</v>
      </c>
      <c r="U544">
        <v>42.697899999999997</v>
      </c>
      <c r="V544" t="s">
        <v>1537</v>
      </c>
      <c r="W544" t="s">
        <v>13</v>
      </c>
      <c r="X544" t="s">
        <v>17</v>
      </c>
      <c r="Y544" s="1" t="s">
        <v>963</v>
      </c>
    </row>
    <row r="545" spans="1:25" x14ac:dyDescent="0.25">
      <c r="A545" s="4">
        <v>887</v>
      </c>
      <c r="B545" s="9" t="s">
        <v>1015</v>
      </c>
      <c r="C545" s="8" t="s">
        <v>970</v>
      </c>
      <c r="D545" s="6" t="s">
        <v>28</v>
      </c>
      <c r="E545" s="10">
        <v>6</v>
      </c>
      <c r="F545">
        <v>3.96</v>
      </c>
      <c r="G545">
        <v>2.36</v>
      </c>
      <c r="H545" t="s">
        <v>221</v>
      </c>
      <c r="I545" t="s">
        <v>24</v>
      </c>
      <c r="J545" t="s">
        <v>185</v>
      </c>
      <c r="L545">
        <v>310</v>
      </c>
      <c r="M545" t="s">
        <v>1798</v>
      </c>
      <c r="N545">
        <v>300</v>
      </c>
      <c r="O545" t="s">
        <v>223</v>
      </c>
      <c r="P545" s="1" t="s">
        <v>968</v>
      </c>
      <c r="Q545" s="25">
        <v>-19.239272</v>
      </c>
      <c r="R545" s="25">
        <v>-54.783203999999998</v>
      </c>
      <c r="S545">
        <v>-42.697899999999997</v>
      </c>
      <c r="T545">
        <v>-36.929099999999998</v>
      </c>
      <c r="U545">
        <v>42.697899999999997</v>
      </c>
      <c r="V545" t="s">
        <v>1537</v>
      </c>
      <c r="W545" t="s">
        <v>13</v>
      </c>
      <c r="X545" t="s">
        <v>17</v>
      </c>
      <c r="Y545" s="1" t="s">
        <v>963</v>
      </c>
    </row>
    <row r="546" spans="1:25" x14ac:dyDescent="0.25">
      <c r="A546" s="4">
        <v>888</v>
      </c>
      <c r="B546" s="9" t="s">
        <v>1016</v>
      </c>
      <c r="C546" s="8" t="s">
        <v>970</v>
      </c>
      <c r="D546" s="6" t="s">
        <v>28</v>
      </c>
      <c r="E546" s="10">
        <v>6</v>
      </c>
      <c r="F546">
        <v>6.43</v>
      </c>
      <c r="G546">
        <v>3.43</v>
      </c>
      <c r="H546" t="s">
        <v>221</v>
      </c>
      <c r="I546" t="s">
        <v>24</v>
      </c>
      <c r="J546" t="s">
        <v>185</v>
      </c>
      <c r="L546">
        <v>310</v>
      </c>
      <c r="M546" t="s">
        <v>1798</v>
      </c>
      <c r="N546">
        <v>300</v>
      </c>
      <c r="O546" t="s">
        <v>223</v>
      </c>
      <c r="P546" s="1" t="s">
        <v>968</v>
      </c>
      <c r="Q546" s="25">
        <v>-19.239272</v>
      </c>
      <c r="R546" s="25">
        <v>-54.783203999999998</v>
      </c>
      <c r="S546">
        <v>-42.697899999999997</v>
      </c>
      <c r="T546">
        <v>-36.929099999999998</v>
      </c>
      <c r="U546">
        <v>42.697899999999997</v>
      </c>
      <c r="V546" t="s">
        <v>1537</v>
      </c>
      <c r="W546" t="s">
        <v>13</v>
      </c>
      <c r="X546" t="s">
        <v>17</v>
      </c>
      <c r="Y546" s="1" t="s">
        <v>963</v>
      </c>
    </row>
    <row r="547" spans="1:25" x14ac:dyDescent="0.25">
      <c r="A547" s="4">
        <v>889</v>
      </c>
      <c r="B547" s="9" t="s">
        <v>999</v>
      </c>
      <c r="C547" s="8" t="s">
        <v>970</v>
      </c>
      <c r="D547" s="6" t="s">
        <v>28</v>
      </c>
      <c r="E547" s="10">
        <v>6</v>
      </c>
      <c r="F547">
        <v>6.32</v>
      </c>
      <c r="G547">
        <v>3.62</v>
      </c>
      <c r="H547" t="s">
        <v>221</v>
      </c>
      <c r="I547" t="s">
        <v>24</v>
      </c>
      <c r="J547" t="s">
        <v>185</v>
      </c>
      <c r="L547">
        <v>310</v>
      </c>
      <c r="M547" t="s">
        <v>1798</v>
      </c>
      <c r="N547">
        <v>300</v>
      </c>
      <c r="O547" t="s">
        <v>223</v>
      </c>
      <c r="P547" s="1" t="s">
        <v>968</v>
      </c>
      <c r="Q547" s="25">
        <v>-19.239272</v>
      </c>
      <c r="R547" s="25">
        <v>-54.783203999999998</v>
      </c>
      <c r="S547">
        <v>-42.697899999999997</v>
      </c>
      <c r="T547">
        <v>-36.929099999999998</v>
      </c>
      <c r="U547">
        <v>42.697899999999997</v>
      </c>
      <c r="V547" t="s">
        <v>1537</v>
      </c>
      <c r="W547" t="s">
        <v>13</v>
      </c>
      <c r="X547" t="s">
        <v>17</v>
      </c>
      <c r="Y547" s="1" t="s">
        <v>963</v>
      </c>
    </row>
    <row r="548" spans="1:25" x14ac:dyDescent="0.25">
      <c r="A548" s="4">
        <v>890</v>
      </c>
      <c r="B548" s="9" t="s">
        <v>1017</v>
      </c>
      <c r="C548" s="8" t="s">
        <v>970</v>
      </c>
      <c r="D548" s="6" t="s">
        <v>28</v>
      </c>
      <c r="E548" s="10">
        <v>6</v>
      </c>
      <c r="F548">
        <v>5.45</v>
      </c>
      <c r="G548">
        <v>2.2200000000000002</v>
      </c>
      <c r="H548" t="s">
        <v>221</v>
      </c>
      <c r="I548" t="s">
        <v>24</v>
      </c>
      <c r="J548" t="s">
        <v>185</v>
      </c>
      <c r="L548">
        <v>310</v>
      </c>
      <c r="M548" t="s">
        <v>1798</v>
      </c>
      <c r="N548">
        <v>300</v>
      </c>
      <c r="O548" t="s">
        <v>223</v>
      </c>
      <c r="P548" s="1" t="s">
        <v>968</v>
      </c>
      <c r="Q548" s="25">
        <v>-19.239272</v>
      </c>
      <c r="R548" s="25">
        <v>-54.783203999999998</v>
      </c>
      <c r="S548">
        <v>-42.697899999999997</v>
      </c>
      <c r="T548">
        <v>-36.929099999999998</v>
      </c>
      <c r="U548">
        <v>42.697899999999997</v>
      </c>
      <c r="V548" t="s">
        <v>1537</v>
      </c>
      <c r="W548" t="s">
        <v>13</v>
      </c>
      <c r="X548" t="s">
        <v>17</v>
      </c>
      <c r="Y548" s="1" t="s">
        <v>963</v>
      </c>
    </row>
    <row r="549" spans="1:25" x14ac:dyDescent="0.25">
      <c r="A549" s="4">
        <v>891</v>
      </c>
      <c r="B549" s="9" t="s">
        <v>1018</v>
      </c>
      <c r="C549" s="8" t="s">
        <v>970</v>
      </c>
      <c r="D549" s="6" t="s">
        <v>28</v>
      </c>
      <c r="E549" s="10">
        <v>6</v>
      </c>
      <c r="F549">
        <v>6.35</v>
      </c>
      <c r="G549">
        <v>4.25</v>
      </c>
      <c r="H549" t="s">
        <v>221</v>
      </c>
      <c r="I549" t="s">
        <v>24</v>
      </c>
      <c r="J549" t="s">
        <v>185</v>
      </c>
      <c r="L549">
        <v>310</v>
      </c>
      <c r="M549" t="s">
        <v>1798</v>
      </c>
      <c r="N549">
        <v>300</v>
      </c>
      <c r="O549" t="s">
        <v>223</v>
      </c>
      <c r="P549" s="1" t="s">
        <v>968</v>
      </c>
      <c r="Q549" s="25">
        <v>-19.239272</v>
      </c>
      <c r="R549" s="25">
        <v>-54.783203999999998</v>
      </c>
      <c r="S549">
        <v>-42.697899999999997</v>
      </c>
      <c r="T549">
        <v>-36.929099999999998</v>
      </c>
      <c r="U549">
        <v>42.697899999999997</v>
      </c>
      <c r="V549" t="s">
        <v>1537</v>
      </c>
      <c r="W549" t="s">
        <v>13</v>
      </c>
      <c r="X549" t="s">
        <v>17</v>
      </c>
      <c r="Y549" s="1" t="s">
        <v>963</v>
      </c>
    </row>
    <row r="550" spans="1:25" x14ac:dyDescent="0.25">
      <c r="A550" s="4">
        <v>892</v>
      </c>
      <c r="B550" s="9" t="s">
        <v>980</v>
      </c>
      <c r="C550" s="8" t="s">
        <v>970</v>
      </c>
      <c r="D550" s="6" t="s">
        <v>28</v>
      </c>
      <c r="E550" s="10">
        <v>6</v>
      </c>
      <c r="F550">
        <v>5.34</v>
      </c>
      <c r="G550">
        <v>1.56</v>
      </c>
      <c r="H550" t="s">
        <v>221</v>
      </c>
      <c r="I550" t="s">
        <v>24</v>
      </c>
      <c r="J550" t="s">
        <v>185</v>
      </c>
      <c r="L550">
        <v>310</v>
      </c>
      <c r="M550" t="s">
        <v>1798</v>
      </c>
      <c r="N550">
        <v>300</v>
      </c>
      <c r="O550" t="s">
        <v>223</v>
      </c>
      <c r="P550" s="1" t="s">
        <v>968</v>
      </c>
      <c r="Q550" s="25">
        <v>-19.239272</v>
      </c>
      <c r="R550" s="25">
        <v>-54.783203999999998</v>
      </c>
      <c r="S550">
        <v>-42.697899999999997</v>
      </c>
      <c r="T550">
        <v>-36.929099999999998</v>
      </c>
      <c r="U550">
        <v>42.697899999999997</v>
      </c>
      <c r="V550" t="s">
        <v>1537</v>
      </c>
      <c r="W550" t="s">
        <v>13</v>
      </c>
      <c r="X550" t="s">
        <v>17</v>
      </c>
      <c r="Y550" s="1" t="s">
        <v>963</v>
      </c>
    </row>
    <row r="551" spans="1:25" x14ac:dyDescent="0.25">
      <c r="A551" s="4">
        <v>893</v>
      </c>
      <c r="B551" s="9" t="s">
        <v>971</v>
      </c>
      <c r="C551" s="8" t="s">
        <v>970</v>
      </c>
      <c r="D551" s="6" t="s">
        <v>64</v>
      </c>
      <c r="E551" s="10">
        <v>8</v>
      </c>
      <c r="F551">
        <v>6.42</v>
      </c>
      <c r="G551">
        <v>1.2</v>
      </c>
      <c r="H551" t="s">
        <v>221</v>
      </c>
      <c r="I551" t="s">
        <v>24</v>
      </c>
      <c r="J551" t="s">
        <v>185</v>
      </c>
      <c r="L551">
        <v>310</v>
      </c>
      <c r="M551" t="s">
        <v>1798</v>
      </c>
      <c r="N551">
        <v>300</v>
      </c>
      <c r="O551" t="s">
        <v>223</v>
      </c>
      <c r="P551" s="1" t="s">
        <v>968</v>
      </c>
      <c r="Q551" s="25">
        <v>-19.239272</v>
      </c>
      <c r="R551" s="25">
        <v>-54.783203999999998</v>
      </c>
      <c r="S551">
        <v>-42.697899999999997</v>
      </c>
      <c r="T551">
        <v>-36.929099999999998</v>
      </c>
      <c r="U551">
        <v>42.697899999999997</v>
      </c>
      <c r="V551" t="s">
        <v>1537</v>
      </c>
      <c r="W551" t="s">
        <v>13</v>
      </c>
      <c r="X551" t="s">
        <v>17</v>
      </c>
      <c r="Y551" s="1" t="s">
        <v>963</v>
      </c>
    </row>
    <row r="552" spans="1:25" x14ac:dyDescent="0.25">
      <c r="A552" s="4">
        <v>894</v>
      </c>
      <c r="B552" s="9" t="s">
        <v>980</v>
      </c>
      <c r="C552" s="8" t="s">
        <v>970</v>
      </c>
      <c r="D552" s="6" t="s">
        <v>64</v>
      </c>
      <c r="E552" s="10">
        <v>8</v>
      </c>
      <c r="F552">
        <v>5.67</v>
      </c>
      <c r="G552">
        <v>1.41</v>
      </c>
      <c r="H552" t="s">
        <v>221</v>
      </c>
      <c r="I552" t="s">
        <v>24</v>
      </c>
      <c r="J552" t="s">
        <v>185</v>
      </c>
      <c r="L552">
        <v>310</v>
      </c>
      <c r="M552" t="s">
        <v>1798</v>
      </c>
      <c r="N552">
        <v>300</v>
      </c>
      <c r="O552" t="s">
        <v>223</v>
      </c>
      <c r="P552" s="1" t="s">
        <v>968</v>
      </c>
      <c r="Q552" s="25">
        <v>-19.239272</v>
      </c>
      <c r="R552" s="25">
        <v>-54.783203999999998</v>
      </c>
      <c r="S552">
        <v>-42.697899999999997</v>
      </c>
      <c r="T552">
        <v>-36.929099999999998</v>
      </c>
      <c r="U552">
        <v>42.697899999999997</v>
      </c>
      <c r="V552" t="s">
        <v>1537</v>
      </c>
      <c r="W552" t="s">
        <v>13</v>
      </c>
      <c r="X552" t="s">
        <v>17</v>
      </c>
      <c r="Y552" s="1" t="s">
        <v>963</v>
      </c>
    </row>
    <row r="553" spans="1:25" x14ac:dyDescent="0.25">
      <c r="A553" s="4">
        <v>895</v>
      </c>
      <c r="B553" s="9" t="s">
        <v>1019</v>
      </c>
      <c r="C553" s="8" t="s">
        <v>970</v>
      </c>
      <c r="D553" s="6" t="s">
        <v>73</v>
      </c>
      <c r="E553" s="10">
        <v>6</v>
      </c>
      <c r="F553">
        <v>6.3870638865323199</v>
      </c>
      <c r="G553">
        <v>3.0457460570852</v>
      </c>
      <c r="H553" t="s">
        <v>221</v>
      </c>
      <c r="I553" t="s">
        <v>24</v>
      </c>
      <c r="J553" t="s">
        <v>185</v>
      </c>
      <c r="L553">
        <v>310</v>
      </c>
      <c r="M553" t="s">
        <v>1798</v>
      </c>
      <c r="N553">
        <v>300</v>
      </c>
      <c r="O553" t="s">
        <v>223</v>
      </c>
      <c r="P553" s="1" t="s">
        <v>968</v>
      </c>
      <c r="Q553" s="25">
        <v>-19.239272</v>
      </c>
      <c r="R553" s="25">
        <v>-54.783203999999998</v>
      </c>
      <c r="S553">
        <v>-42.697899999999997</v>
      </c>
      <c r="T553">
        <v>-36.929099999999998</v>
      </c>
      <c r="U553">
        <v>42.697899999999997</v>
      </c>
      <c r="V553" t="s">
        <v>1537</v>
      </c>
      <c r="W553" t="s">
        <v>13</v>
      </c>
      <c r="X553" t="s">
        <v>17</v>
      </c>
      <c r="Y553" s="1" t="s">
        <v>966</v>
      </c>
    </row>
    <row r="554" spans="1:25" x14ac:dyDescent="0.25">
      <c r="A554" s="4">
        <v>896</v>
      </c>
      <c r="B554" s="9" t="s">
        <v>1020</v>
      </c>
      <c r="C554" s="8" t="s">
        <v>970</v>
      </c>
      <c r="D554" s="6" t="s">
        <v>73</v>
      </c>
      <c r="E554" s="10">
        <v>6</v>
      </c>
      <c r="F554">
        <v>5.4422517640612096</v>
      </c>
      <c r="G554">
        <v>2.8744016172667499</v>
      </c>
      <c r="H554" t="s">
        <v>221</v>
      </c>
      <c r="I554" t="s">
        <v>24</v>
      </c>
      <c r="J554" t="s">
        <v>185</v>
      </c>
      <c r="L554">
        <v>310</v>
      </c>
      <c r="M554" t="s">
        <v>1798</v>
      </c>
      <c r="N554">
        <v>300</v>
      </c>
      <c r="O554" t="s">
        <v>223</v>
      </c>
      <c r="P554" s="1" t="s">
        <v>968</v>
      </c>
      <c r="Q554" s="25">
        <v>-19.239272</v>
      </c>
      <c r="R554" s="25">
        <v>-54.783203999999998</v>
      </c>
      <c r="S554">
        <v>-42.697899999999997</v>
      </c>
      <c r="T554">
        <v>-36.929099999999998</v>
      </c>
      <c r="U554">
        <v>42.697899999999997</v>
      </c>
      <c r="V554" t="s">
        <v>1537</v>
      </c>
      <c r="W554" t="s">
        <v>13</v>
      </c>
      <c r="X554" t="s">
        <v>17</v>
      </c>
      <c r="Y554" s="1" t="s">
        <v>966</v>
      </c>
    </row>
    <row r="555" spans="1:25" x14ac:dyDescent="0.25">
      <c r="A555" s="4">
        <v>899</v>
      </c>
      <c r="B555" s="9" t="s">
        <v>1022</v>
      </c>
      <c r="C555" s="8" t="s">
        <v>970</v>
      </c>
      <c r="D555" s="6" t="s">
        <v>73</v>
      </c>
      <c r="E555" s="10">
        <v>6</v>
      </c>
      <c r="F555">
        <v>5.3235681138895403</v>
      </c>
      <c r="G555">
        <v>2.2753027369185999</v>
      </c>
      <c r="H555" t="s">
        <v>221</v>
      </c>
      <c r="I555" t="s">
        <v>24</v>
      </c>
      <c r="J555" t="s">
        <v>185</v>
      </c>
      <c r="L555">
        <v>310</v>
      </c>
      <c r="M555" t="s">
        <v>1798</v>
      </c>
      <c r="N555">
        <v>300</v>
      </c>
      <c r="O555" t="s">
        <v>223</v>
      </c>
      <c r="P555" s="1" t="s">
        <v>968</v>
      </c>
      <c r="Q555" s="25">
        <v>-19.239272</v>
      </c>
      <c r="R555" s="25">
        <v>-54.783203999999998</v>
      </c>
      <c r="S555">
        <v>-42.697899999999997</v>
      </c>
      <c r="T555">
        <v>-36.929099999999998</v>
      </c>
      <c r="U555">
        <v>42.697899999999997</v>
      </c>
      <c r="V555" t="s">
        <v>1537</v>
      </c>
      <c r="W555" t="s">
        <v>13</v>
      </c>
      <c r="X555" t="s">
        <v>17</v>
      </c>
      <c r="Y555" s="1" t="s">
        <v>966</v>
      </c>
    </row>
    <row r="556" spans="1:25" x14ac:dyDescent="0.25">
      <c r="A556" s="4">
        <v>904</v>
      </c>
      <c r="B556" s="9" t="s">
        <v>997</v>
      </c>
      <c r="C556" s="8" t="s">
        <v>970</v>
      </c>
      <c r="D556" s="6" t="s">
        <v>73</v>
      </c>
      <c r="E556" s="10">
        <v>6</v>
      </c>
      <c r="F556">
        <v>6.7105366363119403</v>
      </c>
      <c r="G556">
        <v>2.7761090977973599</v>
      </c>
      <c r="H556" t="s">
        <v>221</v>
      </c>
      <c r="I556" t="s">
        <v>24</v>
      </c>
      <c r="J556" t="s">
        <v>185</v>
      </c>
      <c r="L556">
        <v>310</v>
      </c>
      <c r="M556" t="s">
        <v>1798</v>
      </c>
      <c r="N556">
        <v>300</v>
      </c>
      <c r="O556" t="s">
        <v>223</v>
      </c>
      <c r="P556" s="1" t="s">
        <v>968</v>
      </c>
      <c r="Q556" s="25">
        <v>-19.239272</v>
      </c>
      <c r="R556" s="25">
        <v>-54.783203999999998</v>
      </c>
      <c r="S556">
        <v>-42.697899999999997</v>
      </c>
      <c r="T556">
        <v>-36.929099999999998</v>
      </c>
      <c r="U556">
        <v>42.697899999999997</v>
      </c>
      <c r="V556" t="s">
        <v>1537</v>
      </c>
      <c r="W556" t="s">
        <v>13</v>
      </c>
      <c r="X556" t="s">
        <v>17</v>
      </c>
      <c r="Y556" s="1" t="s">
        <v>966</v>
      </c>
    </row>
    <row r="557" spans="1:25" x14ac:dyDescent="0.25">
      <c r="A557" s="4">
        <v>905</v>
      </c>
      <c r="B557" s="9" t="s">
        <v>1015</v>
      </c>
      <c r="C557" s="8" t="s">
        <v>970</v>
      </c>
      <c r="D557" s="6" t="s">
        <v>73</v>
      </c>
      <c r="E557" s="10">
        <v>6</v>
      </c>
      <c r="F557">
        <v>4.3927194314145002</v>
      </c>
      <c r="G557">
        <v>2.2572422689670302</v>
      </c>
      <c r="H557" t="s">
        <v>221</v>
      </c>
      <c r="I557" t="s">
        <v>24</v>
      </c>
      <c r="J557" t="s">
        <v>185</v>
      </c>
      <c r="L557">
        <v>310</v>
      </c>
      <c r="M557" t="s">
        <v>1798</v>
      </c>
      <c r="N557">
        <v>300</v>
      </c>
      <c r="O557" t="s">
        <v>223</v>
      </c>
      <c r="P557" s="1" t="s">
        <v>968</v>
      </c>
      <c r="Q557" s="25">
        <v>-19.239272</v>
      </c>
      <c r="R557" s="25">
        <v>-54.783203999999998</v>
      </c>
      <c r="S557">
        <v>-42.697899999999997</v>
      </c>
      <c r="T557">
        <v>-36.929099999999998</v>
      </c>
      <c r="U557">
        <v>42.697899999999997</v>
      </c>
      <c r="V557" t="s">
        <v>1537</v>
      </c>
      <c r="W557" t="s">
        <v>13</v>
      </c>
      <c r="X557" t="s">
        <v>17</v>
      </c>
      <c r="Y557" s="1" t="s">
        <v>966</v>
      </c>
    </row>
    <row r="558" spans="1:25" x14ac:dyDescent="0.25">
      <c r="A558" s="4">
        <v>906</v>
      </c>
      <c r="B558" s="9" t="s">
        <v>999</v>
      </c>
      <c r="C558" s="8" t="s">
        <v>970</v>
      </c>
      <c r="D558" s="6" t="s">
        <v>73</v>
      </c>
      <c r="E558" s="10">
        <v>6</v>
      </c>
      <c r="F558">
        <v>6.7305802549684</v>
      </c>
      <c r="G558">
        <v>4.2988252481907399</v>
      </c>
      <c r="H558" t="s">
        <v>221</v>
      </c>
      <c r="I558" t="s">
        <v>24</v>
      </c>
      <c r="J558" t="s">
        <v>185</v>
      </c>
      <c r="L558">
        <v>310</v>
      </c>
      <c r="M558" t="s">
        <v>1798</v>
      </c>
      <c r="N558">
        <v>300</v>
      </c>
      <c r="O558" t="s">
        <v>223</v>
      </c>
      <c r="P558" s="1" t="s">
        <v>968</v>
      </c>
      <c r="Q558" s="25">
        <v>-19.239272</v>
      </c>
      <c r="R558" s="25">
        <v>-54.783203999999998</v>
      </c>
      <c r="S558">
        <v>-42.697899999999997</v>
      </c>
      <c r="T558">
        <v>-36.929099999999998</v>
      </c>
      <c r="U558">
        <v>42.697899999999997</v>
      </c>
      <c r="V558" t="s">
        <v>1537</v>
      </c>
      <c r="W558" t="s">
        <v>13</v>
      </c>
      <c r="X558" t="s">
        <v>17</v>
      </c>
      <c r="Y558" s="1" t="s">
        <v>966</v>
      </c>
    </row>
    <row r="559" spans="1:25" x14ac:dyDescent="0.25">
      <c r="A559" s="4">
        <v>908</v>
      </c>
      <c r="B559" s="9" t="s">
        <v>1017</v>
      </c>
      <c r="C559" s="8" t="s">
        <v>970</v>
      </c>
      <c r="D559" s="6" t="s">
        <v>73</v>
      </c>
      <c r="E559" s="10">
        <v>6</v>
      </c>
      <c r="F559">
        <v>5.4613968967875097</v>
      </c>
      <c r="G559">
        <v>2.4348222895710898</v>
      </c>
      <c r="H559" t="s">
        <v>221</v>
      </c>
      <c r="I559" t="s">
        <v>24</v>
      </c>
      <c r="J559" t="s">
        <v>185</v>
      </c>
      <c r="L559">
        <v>310</v>
      </c>
      <c r="M559" t="s">
        <v>1798</v>
      </c>
      <c r="N559">
        <v>300</v>
      </c>
      <c r="O559" t="s">
        <v>223</v>
      </c>
      <c r="P559" s="1" t="s">
        <v>968</v>
      </c>
      <c r="Q559" s="25">
        <v>-19.239272</v>
      </c>
      <c r="R559" s="25">
        <v>-54.783203999999998</v>
      </c>
      <c r="S559">
        <v>-42.697899999999997</v>
      </c>
      <c r="T559">
        <v>-36.929099999999998</v>
      </c>
      <c r="U559">
        <v>42.697899999999997</v>
      </c>
      <c r="V559" t="s">
        <v>1537</v>
      </c>
      <c r="W559" t="s">
        <v>13</v>
      </c>
      <c r="X559" t="s">
        <v>17</v>
      </c>
      <c r="Y559" s="1" t="s">
        <v>966</v>
      </c>
    </row>
    <row r="560" spans="1:25" x14ac:dyDescent="0.25">
      <c r="A560" s="4">
        <v>909</v>
      </c>
      <c r="B560" s="9" t="s">
        <v>1025</v>
      </c>
      <c r="C560" s="8" t="s">
        <v>970</v>
      </c>
      <c r="D560" s="6" t="s">
        <v>73</v>
      </c>
      <c r="E560" s="10">
        <v>6</v>
      </c>
      <c r="F560">
        <v>6.6837813949404996</v>
      </c>
      <c r="G560">
        <v>3.7363791124826502</v>
      </c>
      <c r="H560" t="s">
        <v>221</v>
      </c>
      <c r="I560" t="s">
        <v>24</v>
      </c>
      <c r="J560" t="s">
        <v>185</v>
      </c>
      <c r="L560">
        <v>310</v>
      </c>
      <c r="M560" t="s">
        <v>1798</v>
      </c>
      <c r="N560">
        <v>300</v>
      </c>
      <c r="O560" t="s">
        <v>223</v>
      </c>
      <c r="P560" s="1" t="s">
        <v>968</v>
      </c>
      <c r="Q560" s="25">
        <v>-19.239272</v>
      </c>
      <c r="R560" s="25">
        <v>-54.783203999999998</v>
      </c>
      <c r="S560">
        <v>-42.697899999999997</v>
      </c>
      <c r="T560">
        <v>-36.929099999999998</v>
      </c>
      <c r="U560">
        <v>42.697899999999997</v>
      </c>
      <c r="V560" t="s">
        <v>1537</v>
      </c>
      <c r="W560" t="s">
        <v>13</v>
      </c>
      <c r="X560" t="s">
        <v>17</v>
      </c>
      <c r="Y560" s="1" t="s">
        <v>966</v>
      </c>
    </row>
    <row r="561" spans="1:25" x14ac:dyDescent="0.25">
      <c r="A561" s="4">
        <v>910</v>
      </c>
      <c r="B561" s="9" t="s">
        <v>1035</v>
      </c>
      <c r="C561" s="8" t="s">
        <v>970</v>
      </c>
      <c r="D561" s="6" t="s">
        <v>73</v>
      </c>
      <c r="E561" s="10">
        <v>6</v>
      </c>
      <c r="F561">
        <v>8.807667882354</v>
      </c>
      <c r="G561">
        <v>4.9430559168662596</v>
      </c>
      <c r="H561" t="s">
        <v>221</v>
      </c>
      <c r="I561" t="s">
        <v>24</v>
      </c>
      <c r="J561" t="s">
        <v>185</v>
      </c>
      <c r="L561">
        <v>310</v>
      </c>
      <c r="M561" t="s">
        <v>1798</v>
      </c>
      <c r="N561">
        <v>300</v>
      </c>
      <c r="O561" t="s">
        <v>223</v>
      </c>
      <c r="P561" s="1" t="s">
        <v>968</v>
      </c>
      <c r="Q561" s="25">
        <v>-19.239272</v>
      </c>
      <c r="R561" s="25">
        <v>-54.783203999999998</v>
      </c>
      <c r="S561">
        <v>-42.697899999999997</v>
      </c>
      <c r="T561">
        <v>-36.929099999999998</v>
      </c>
      <c r="U561">
        <v>42.697899999999997</v>
      </c>
      <c r="V561" t="s">
        <v>1537</v>
      </c>
      <c r="W561" t="s">
        <v>13</v>
      </c>
      <c r="X561" t="s">
        <v>17</v>
      </c>
      <c r="Y561" s="1" t="s">
        <v>966</v>
      </c>
    </row>
    <row r="562" spans="1:25" x14ac:dyDescent="0.25">
      <c r="A562" s="4">
        <v>911</v>
      </c>
      <c r="B562" s="9" t="s">
        <v>1036</v>
      </c>
      <c r="C562" s="8" t="s">
        <v>970</v>
      </c>
      <c r="D562" s="6" t="s">
        <v>73</v>
      </c>
      <c r="E562" s="10">
        <v>6</v>
      </c>
      <c r="F562">
        <v>4.7087642425659997</v>
      </c>
      <c r="G562">
        <v>2.7012618765811598</v>
      </c>
      <c r="H562" t="s">
        <v>221</v>
      </c>
      <c r="I562" t="s">
        <v>24</v>
      </c>
      <c r="J562" t="s">
        <v>185</v>
      </c>
      <c r="L562">
        <v>310</v>
      </c>
      <c r="M562" t="s">
        <v>1798</v>
      </c>
      <c r="N562">
        <v>300</v>
      </c>
      <c r="O562" t="s">
        <v>223</v>
      </c>
      <c r="P562" s="1" t="s">
        <v>968</v>
      </c>
      <c r="Q562" s="25">
        <v>-19.239272</v>
      </c>
      <c r="R562" s="25">
        <v>-54.783203999999998</v>
      </c>
      <c r="S562">
        <v>-42.697899999999997</v>
      </c>
      <c r="T562">
        <v>-36.929099999999998</v>
      </c>
      <c r="U562">
        <v>42.697899999999997</v>
      </c>
      <c r="V562" t="s">
        <v>1537</v>
      </c>
      <c r="W562" t="s">
        <v>13</v>
      </c>
      <c r="X562" t="s">
        <v>17</v>
      </c>
      <c r="Y562" s="1" t="s">
        <v>966</v>
      </c>
    </row>
    <row r="563" spans="1:25" x14ac:dyDescent="0.25">
      <c r="A563" s="4">
        <v>914</v>
      </c>
      <c r="B563" s="9" t="s">
        <v>1037</v>
      </c>
      <c r="C563" s="8" t="s">
        <v>970</v>
      </c>
      <c r="D563" s="6" t="s">
        <v>73</v>
      </c>
      <c r="E563" s="10">
        <v>6</v>
      </c>
      <c r="F563">
        <v>5.6768999766611596</v>
      </c>
      <c r="G563">
        <v>2.74298819985757</v>
      </c>
      <c r="H563" t="s">
        <v>221</v>
      </c>
      <c r="I563" t="s">
        <v>24</v>
      </c>
      <c r="J563" t="s">
        <v>185</v>
      </c>
      <c r="L563">
        <v>310</v>
      </c>
      <c r="M563" t="s">
        <v>1798</v>
      </c>
      <c r="N563">
        <v>300</v>
      </c>
      <c r="O563" t="s">
        <v>223</v>
      </c>
      <c r="P563" s="1" t="s">
        <v>968</v>
      </c>
      <c r="Q563" s="25">
        <v>-19.239272</v>
      </c>
      <c r="R563" s="25">
        <v>-54.783203999999998</v>
      </c>
      <c r="S563">
        <v>-42.697899999999997</v>
      </c>
      <c r="T563">
        <v>-36.929099999999998</v>
      </c>
      <c r="U563">
        <v>42.697899999999997</v>
      </c>
      <c r="V563" t="s">
        <v>1537</v>
      </c>
      <c r="W563" t="s">
        <v>13</v>
      </c>
      <c r="X563" t="s">
        <v>17</v>
      </c>
      <c r="Y563" s="1" t="s">
        <v>966</v>
      </c>
    </row>
    <row r="564" spans="1:25" x14ac:dyDescent="0.25">
      <c r="A564" s="4">
        <v>916</v>
      </c>
      <c r="B564" s="9" t="s">
        <v>1009</v>
      </c>
      <c r="C564" s="8" t="s">
        <v>970</v>
      </c>
      <c r="D564" s="6" t="s">
        <v>73</v>
      </c>
      <c r="E564" s="10">
        <v>6</v>
      </c>
      <c r="F564">
        <v>5.91550538522272</v>
      </c>
      <c r="G564">
        <v>2.6732443654424198</v>
      </c>
      <c r="H564" t="s">
        <v>221</v>
      </c>
      <c r="I564" t="s">
        <v>24</v>
      </c>
      <c r="J564" t="s">
        <v>185</v>
      </c>
      <c r="L564">
        <v>310</v>
      </c>
      <c r="M564" t="s">
        <v>1798</v>
      </c>
      <c r="N564">
        <v>300</v>
      </c>
      <c r="O564" t="s">
        <v>223</v>
      </c>
      <c r="P564" s="1" t="s">
        <v>968</v>
      </c>
      <c r="Q564" s="25">
        <v>-19.239272</v>
      </c>
      <c r="R564" s="25">
        <v>-54.783203999999998</v>
      </c>
      <c r="S564">
        <v>-42.697899999999997</v>
      </c>
      <c r="T564">
        <v>-36.929099999999998</v>
      </c>
      <c r="U564">
        <v>42.697899999999997</v>
      </c>
      <c r="V564" t="s">
        <v>1537</v>
      </c>
      <c r="W564" t="s">
        <v>13</v>
      </c>
      <c r="X564" t="s">
        <v>17</v>
      </c>
      <c r="Y564" s="1" t="s">
        <v>966</v>
      </c>
    </row>
    <row r="565" spans="1:25" x14ac:dyDescent="0.25">
      <c r="A565" s="4">
        <v>918</v>
      </c>
      <c r="B565" s="9" t="s">
        <v>988</v>
      </c>
      <c r="C565" s="8" t="s">
        <v>970</v>
      </c>
      <c r="D565" s="6" t="s">
        <v>73</v>
      </c>
      <c r="E565" s="10">
        <v>6</v>
      </c>
      <c r="F565">
        <v>6.8350438407151897</v>
      </c>
      <c r="G565">
        <v>2.9509132427700799</v>
      </c>
      <c r="H565" t="s">
        <v>221</v>
      </c>
      <c r="I565" t="s">
        <v>24</v>
      </c>
      <c r="J565" t="s">
        <v>185</v>
      </c>
      <c r="L565">
        <v>310</v>
      </c>
      <c r="M565" t="s">
        <v>1798</v>
      </c>
      <c r="N565">
        <v>300</v>
      </c>
      <c r="O565" t="s">
        <v>223</v>
      </c>
      <c r="P565" s="1" t="s">
        <v>968</v>
      </c>
      <c r="Q565" s="25">
        <v>-19.239272</v>
      </c>
      <c r="R565" s="25">
        <v>-54.783203999999998</v>
      </c>
      <c r="S565">
        <v>-42.697899999999997</v>
      </c>
      <c r="T565">
        <v>-36.929099999999998</v>
      </c>
      <c r="U565">
        <v>42.697899999999997</v>
      </c>
      <c r="V565" t="s">
        <v>1537</v>
      </c>
      <c r="W565" t="s">
        <v>13</v>
      </c>
      <c r="X565" t="s">
        <v>17</v>
      </c>
      <c r="Y565" s="1" t="s">
        <v>966</v>
      </c>
    </row>
    <row r="566" spans="1:25" x14ac:dyDescent="0.25">
      <c r="A566" s="4">
        <v>919</v>
      </c>
      <c r="B566" s="9" t="s">
        <v>1021</v>
      </c>
      <c r="C566" s="8" t="s">
        <v>970</v>
      </c>
      <c r="D566" s="6" t="s">
        <v>73</v>
      </c>
      <c r="E566" s="10">
        <v>6</v>
      </c>
      <c r="F566">
        <v>5.6051958232190398</v>
      </c>
      <c r="G566">
        <v>2.81518405469774</v>
      </c>
      <c r="H566" t="s">
        <v>221</v>
      </c>
      <c r="I566" t="s">
        <v>24</v>
      </c>
      <c r="J566" t="s">
        <v>185</v>
      </c>
      <c r="L566">
        <v>310</v>
      </c>
      <c r="M566" t="s">
        <v>1798</v>
      </c>
      <c r="N566">
        <v>300</v>
      </c>
      <c r="O566" t="s">
        <v>223</v>
      </c>
      <c r="P566" s="1" t="s">
        <v>968</v>
      </c>
      <c r="Q566" s="25">
        <v>-19.239272</v>
      </c>
      <c r="R566" s="25">
        <v>-54.783203999999998</v>
      </c>
      <c r="S566">
        <v>-42.697899999999997</v>
      </c>
      <c r="T566">
        <v>-36.929099999999998</v>
      </c>
      <c r="U566">
        <v>42.697899999999997</v>
      </c>
      <c r="V566" t="s">
        <v>1537</v>
      </c>
      <c r="W566" t="s">
        <v>13</v>
      </c>
      <c r="X566" t="s">
        <v>17</v>
      </c>
      <c r="Y566" s="1" t="s">
        <v>966</v>
      </c>
    </row>
    <row r="567" spans="1:25" x14ac:dyDescent="0.25">
      <c r="A567" s="4">
        <v>920</v>
      </c>
      <c r="B567" s="9" t="s">
        <v>1026</v>
      </c>
      <c r="C567" s="8" t="s">
        <v>970</v>
      </c>
      <c r="D567" s="6" t="s">
        <v>73</v>
      </c>
      <c r="E567" s="10">
        <v>6</v>
      </c>
      <c r="F567">
        <v>6.2813051241293101</v>
      </c>
      <c r="G567">
        <v>2.4632314964472699</v>
      </c>
      <c r="H567" t="s">
        <v>221</v>
      </c>
      <c r="I567" t="s">
        <v>24</v>
      </c>
      <c r="J567" t="s">
        <v>185</v>
      </c>
      <c r="L567">
        <v>310</v>
      </c>
      <c r="M567" t="s">
        <v>1798</v>
      </c>
      <c r="N567">
        <v>300</v>
      </c>
      <c r="O567" t="s">
        <v>223</v>
      </c>
      <c r="P567" s="1" t="s">
        <v>968</v>
      </c>
      <c r="Q567" s="25">
        <v>-19.239272</v>
      </c>
      <c r="R567" s="25">
        <v>-54.783203999999998</v>
      </c>
      <c r="S567">
        <v>-42.697899999999997</v>
      </c>
      <c r="T567">
        <v>-36.929099999999998</v>
      </c>
      <c r="U567">
        <v>42.697899999999997</v>
      </c>
      <c r="V567" t="s">
        <v>1537</v>
      </c>
      <c r="W567" t="s">
        <v>13</v>
      </c>
      <c r="X567" t="s">
        <v>17</v>
      </c>
      <c r="Y567" s="1" t="s">
        <v>966</v>
      </c>
    </row>
    <row r="568" spans="1:25" x14ac:dyDescent="0.25">
      <c r="A568" s="4">
        <v>922</v>
      </c>
      <c r="B568" s="9" t="s">
        <v>992</v>
      </c>
      <c r="C568" s="8" t="s">
        <v>970</v>
      </c>
      <c r="D568" s="6" t="s">
        <v>73</v>
      </c>
      <c r="E568" s="10">
        <v>6</v>
      </c>
      <c r="F568">
        <v>6.4183119011230696</v>
      </c>
      <c r="G568">
        <v>2.9008319712647301</v>
      </c>
      <c r="H568" t="s">
        <v>221</v>
      </c>
      <c r="I568" t="s">
        <v>24</v>
      </c>
      <c r="J568" t="s">
        <v>185</v>
      </c>
      <c r="L568">
        <v>310</v>
      </c>
      <c r="M568" t="s">
        <v>1798</v>
      </c>
      <c r="N568">
        <v>300</v>
      </c>
      <c r="O568" t="s">
        <v>223</v>
      </c>
      <c r="P568" s="1" t="s">
        <v>968</v>
      </c>
      <c r="Q568" s="25">
        <v>-19.239272</v>
      </c>
      <c r="R568" s="25">
        <v>-54.783203999999998</v>
      </c>
      <c r="S568">
        <v>-42.697899999999997</v>
      </c>
      <c r="T568">
        <v>-36.929099999999998</v>
      </c>
      <c r="U568">
        <v>42.697899999999997</v>
      </c>
      <c r="V568" t="s">
        <v>1537</v>
      </c>
      <c r="W568" t="s">
        <v>13</v>
      </c>
      <c r="X568" t="s">
        <v>17</v>
      </c>
      <c r="Y568" s="1" t="s">
        <v>966</v>
      </c>
    </row>
    <row r="569" spans="1:25" x14ac:dyDescent="0.25">
      <c r="A569" s="4">
        <v>924</v>
      </c>
      <c r="B569" s="9" t="s">
        <v>1023</v>
      </c>
      <c r="C569" s="8" t="s">
        <v>970</v>
      </c>
      <c r="D569" s="6" t="s">
        <v>73</v>
      </c>
      <c r="E569" s="10">
        <v>6</v>
      </c>
      <c r="F569">
        <v>6.4082595008185104</v>
      </c>
      <c r="G569">
        <v>3.0587461724391001</v>
      </c>
      <c r="H569" t="s">
        <v>221</v>
      </c>
      <c r="I569" t="s">
        <v>24</v>
      </c>
      <c r="J569" t="s">
        <v>185</v>
      </c>
      <c r="L569">
        <v>310</v>
      </c>
      <c r="M569" t="s">
        <v>1798</v>
      </c>
      <c r="N569">
        <v>300</v>
      </c>
      <c r="O569" t="s">
        <v>223</v>
      </c>
      <c r="P569" s="1" t="s">
        <v>968</v>
      </c>
      <c r="Q569" s="25">
        <v>-19.239272</v>
      </c>
      <c r="R569" s="25">
        <v>-54.783203999999998</v>
      </c>
      <c r="S569">
        <v>-42.697899999999997</v>
      </c>
      <c r="T569">
        <v>-36.929099999999998</v>
      </c>
      <c r="U569">
        <v>42.697899999999997</v>
      </c>
      <c r="V569" t="s">
        <v>1537</v>
      </c>
      <c r="W569" t="s">
        <v>13</v>
      </c>
      <c r="X569" t="s">
        <v>17</v>
      </c>
      <c r="Y569" s="1" t="s">
        <v>966</v>
      </c>
    </row>
    <row r="570" spans="1:25" x14ac:dyDescent="0.25">
      <c r="A570" s="4">
        <v>928</v>
      </c>
      <c r="B570" s="9" t="s">
        <v>994</v>
      </c>
      <c r="C570" s="8" t="s">
        <v>970</v>
      </c>
      <c r="D570" s="6" t="s">
        <v>73</v>
      </c>
      <c r="E570" s="10">
        <v>6</v>
      </c>
      <c r="F570">
        <v>4.7746625407468199</v>
      </c>
      <c r="G570">
        <v>2.2706238756223298</v>
      </c>
      <c r="H570" t="s">
        <v>221</v>
      </c>
      <c r="I570" t="s">
        <v>24</v>
      </c>
      <c r="J570" t="s">
        <v>185</v>
      </c>
      <c r="L570">
        <v>310</v>
      </c>
      <c r="M570" t="s">
        <v>1798</v>
      </c>
      <c r="N570">
        <v>300</v>
      </c>
      <c r="O570" t="s">
        <v>223</v>
      </c>
      <c r="P570" s="1" t="s">
        <v>968</v>
      </c>
      <c r="Q570" s="25">
        <v>-19.239272</v>
      </c>
      <c r="R570" s="25">
        <v>-54.783203999999998</v>
      </c>
      <c r="S570">
        <v>-42.697899999999997</v>
      </c>
      <c r="T570">
        <v>-36.929099999999998</v>
      </c>
      <c r="U570">
        <v>42.697899999999997</v>
      </c>
      <c r="V570" t="s">
        <v>1537</v>
      </c>
      <c r="W570" t="s">
        <v>13</v>
      </c>
      <c r="X570" t="s">
        <v>17</v>
      </c>
      <c r="Y570" s="1" t="s">
        <v>966</v>
      </c>
    </row>
    <row r="571" spans="1:25" x14ac:dyDescent="0.25">
      <c r="A571" s="4">
        <v>929</v>
      </c>
      <c r="B571" s="9" t="s">
        <v>1027</v>
      </c>
      <c r="C571" s="8" t="s">
        <v>970</v>
      </c>
      <c r="D571" s="6" t="s">
        <v>73</v>
      </c>
      <c r="E571" s="10">
        <v>6</v>
      </c>
      <c r="F571">
        <v>5.96102520068722</v>
      </c>
      <c r="G571">
        <v>3.6164203412532898</v>
      </c>
      <c r="H571" t="s">
        <v>221</v>
      </c>
      <c r="I571" t="s">
        <v>24</v>
      </c>
      <c r="J571" t="s">
        <v>185</v>
      </c>
      <c r="L571">
        <v>310</v>
      </c>
      <c r="M571" t="s">
        <v>1798</v>
      </c>
      <c r="N571">
        <v>300</v>
      </c>
      <c r="O571" t="s">
        <v>223</v>
      </c>
      <c r="P571" s="1" t="s">
        <v>968</v>
      </c>
      <c r="Q571" s="25">
        <v>-19.239272</v>
      </c>
      <c r="R571" s="25">
        <v>-54.783203999999998</v>
      </c>
      <c r="S571">
        <v>-42.697899999999997</v>
      </c>
      <c r="T571">
        <v>-36.929099999999998</v>
      </c>
      <c r="U571">
        <v>42.697899999999997</v>
      </c>
      <c r="V571" t="s">
        <v>1537</v>
      </c>
      <c r="W571" t="s">
        <v>13</v>
      </c>
      <c r="X571" t="s">
        <v>17</v>
      </c>
      <c r="Y571" s="1" t="s">
        <v>966</v>
      </c>
    </row>
    <row r="572" spans="1:25" x14ac:dyDescent="0.25">
      <c r="A572" s="4">
        <v>930</v>
      </c>
      <c r="B572" s="9" t="s">
        <v>1024</v>
      </c>
      <c r="C572" s="8" t="s">
        <v>970</v>
      </c>
      <c r="D572" s="6" t="s">
        <v>73</v>
      </c>
      <c r="E572" s="10">
        <v>6</v>
      </c>
      <c r="F572">
        <v>6.2996776849947702</v>
      </c>
      <c r="G572">
        <v>3.1446308218822998</v>
      </c>
      <c r="H572" t="s">
        <v>221</v>
      </c>
      <c r="I572" t="s">
        <v>24</v>
      </c>
      <c r="J572" t="s">
        <v>185</v>
      </c>
      <c r="L572">
        <v>310</v>
      </c>
      <c r="M572" t="s">
        <v>1798</v>
      </c>
      <c r="N572">
        <v>300</v>
      </c>
      <c r="O572" t="s">
        <v>223</v>
      </c>
      <c r="P572" s="1" t="s">
        <v>968</v>
      </c>
      <c r="Q572" s="25">
        <v>-19.239272</v>
      </c>
      <c r="R572" s="25">
        <v>-54.783203999999998</v>
      </c>
      <c r="S572">
        <v>-42.697899999999997</v>
      </c>
      <c r="T572">
        <v>-36.929099999999998</v>
      </c>
      <c r="U572">
        <v>42.697899999999997</v>
      </c>
      <c r="V572" t="s">
        <v>1537</v>
      </c>
      <c r="W572" t="s">
        <v>13</v>
      </c>
      <c r="X572" t="s">
        <v>17</v>
      </c>
      <c r="Y572" s="1" t="s">
        <v>966</v>
      </c>
    </row>
    <row r="573" spans="1:25" x14ac:dyDescent="0.25">
      <c r="A573" s="4">
        <v>931</v>
      </c>
      <c r="B573" s="9" t="s">
        <v>1028</v>
      </c>
      <c r="C573" s="8" t="s">
        <v>970</v>
      </c>
      <c r="D573" s="6" t="s">
        <v>73</v>
      </c>
      <c r="E573" s="10">
        <v>6</v>
      </c>
      <c r="F573">
        <v>4.6987363707425498</v>
      </c>
      <c r="G573">
        <v>3.0098370173397999</v>
      </c>
      <c r="H573" t="s">
        <v>221</v>
      </c>
      <c r="I573" t="s">
        <v>24</v>
      </c>
      <c r="J573" t="s">
        <v>185</v>
      </c>
      <c r="L573">
        <v>310</v>
      </c>
      <c r="M573" t="s">
        <v>1798</v>
      </c>
      <c r="N573">
        <v>300</v>
      </c>
      <c r="O573" t="s">
        <v>223</v>
      </c>
      <c r="P573" s="1" t="s">
        <v>968</v>
      </c>
      <c r="Q573" s="25">
        <v>-19.239272</v>
      </c>
      <c r="R573" s="25">
        <v>-54.783203999999998</v>
      </c>
      <c r="S573">
        <v>-42.697899999999997</v>
      </c>
      <c r="T573">
        <v>-36.929099999999998</v>
      </c>
      <c r="U573">
        <v>42.697899999999997</v>
      </c>
      <c r="V573" t="s">
        <v>1537</v>
      </c>
      <c r="W573" t="s">
        <v>13</v>
      </c>
      <c r="X573" t="s">
        <v>17</v>
      </c>
      <c r="Y573" s="1" t="s">
        <v>966</v>
      </c>
    </row>
    <row r="574" spans="1:25" x14ac:dyDescent="0.25">
      <c r="A574" s="4">
        <v>932</v>
      </c>
      <c r="B574" s="9" t="s">
        <v>1029</v>
      </c>
      <c r="C574" s="8" t="s">
        <v>970</v>
      </c>
      <c r="D574" s="6" t="s">
        <v>73</v>
      </c>
      <c r="E574" s="10">
        <v>6</v>
      </c>
      <c r="F574">
        <v>4.9411791615724203</v>
      </c>
      <c r="G574">
        <v>2.8781205820803901</v>
      </c>
      <c r="H574" t="s">
        <v>221</v>
      </c>
      <c r="I574" t="s">
        <v>24</v>
      </c>
      <c r="J574" t="s">
        <v>185</v>
      </c>
      <c r="L574">
        <v>310</v>
      </c>
      <c r="M574" t="s">
        <v>1798</v>
      </c>
      <c r="N574">
        <v>300</v>
      </c>
      <c r="O574" t="s">
        <v>223</v>
      </c>
      <c r="P574" s="1" t="s">
        <v>968</v>
      </c>
      <c r="Q574" s="25">
        <v>-19.239272</v>
      </c>
      <c r="R574" s="25">
        <v>-54.783203999999998</v>
      </c>
      <c r="S574">
        <v>-42.697899999999997</v>
      </c>
      <c r="T574">
        <v>-36.929099999999998</v>
      </c>
      <c r="U574">
        <v>42.697899999999997</v>
      </c>
      <c r="V574" t="s">
        <v>1537</v>
      </c>
      <c r="W574" t="s">
        <v>13</v>
      </c>
      <c r="X574" t="s">
        <v>17</v>
      </c>
      <c r="Y574" s="1" t="s">
        <v>966</v>
      </c>
    </row>
    <row r="575" spans="1:25" x14ac:dyDescent="0.25">
      <c r="A575" s="4">
        <v>933</v>
      </c>
      <c r="B575" s="9" t="s">
        <v>1030</v>
      </c>
      <c r="C575" s="8" t="s">
        <v>970</v>
      </c>
      <c r="D575" s="6" t="s">
        <v>73</v>
      </c>
      <c r="E575" s="10">
        <v>6</v>
      </c>
      <c r="F575">
        <v>4.5917658969056498</v>
      </c>
      <c r="G575">
        <v>2.6966691717710698</v>
      </c>
      <c r="H575" t="s">
        <v>221</v>
      </c>
      <c r="I575" t="s">
        <v>24</v>
      </c>
      <c r="J575" t="s">
        <v>185</v>
      </c>
      <c r="L575">
        <v>310</v>
      </c>
      <c r="M575" t="s">
        <v>1798</v>
      </c>
      <c r="N575">
        <v>300</v>
      </c>
      <c r="O575" t="s">
        <v>223</v>
      </c>
      <c r="P575" s="1" t="s">
        <v>968</v>
      </c>
      <c r="Q575" s="25">
        <v>-19.239272</v>
      </c>
      <c r="R575" s="25">
        <v>-54.783203999999998</v>
      </c>
      <c r="S575">
        <v>-42.697899999999997</v>
      </c>
      <c r="T575">
        <v>-36.929099999999998</v>
      </c>
      <c r="U575">
        <v>42.697899999999997</v>
      </c>
      <c r="V575" t="s">
        <v>1537</v>
      </c>
      <c r="W575" t="s">
        <v>13</v>
      </c>
      <c r="X575" t="s">
        <v>17</v>
      </c>
      <c r="Y575" s="1" t="s">
        <v>966</v>
      </c>
    </row>
    <row r="576" spans="1:25" x14ac:dyDescent="0.25">
      <c r="A576" s="4">
        <v>934</v>
      </c>
      <c r="B576" s="9" t="s">
        <v>1031</v>
      </c>
      <c r="C576" s="8" t="s">
        <v>970</v>
      </c>
      <c r="D576" s="6" t="s">
        <v>73</v>
      </c>
      <c r="E576" s="10">
        <v>6</v>
      </c>
      <c r="F576">
        <v>7.5797300098393903</v>
      </c>
      <c r="G576">
        <v>4.14061115732461</v>
      </c>
      <c r="H576" t="s">
        <v>221</v>
      </c>
      <c r="I576" t="s">
        <v>24</v>
      </c>
      <c r="J576" t="s">
        <v>185</v>
      </c>
      <c r="L576">
        <v>310</v>
      </c>
      <c r="M576" t="s">
        <v>1798</v>
      </c>
      <c r="N576">
        <v>300</v>
      </c>
      <c r="O576" t="s">
        <v>223</v>
      </c>
      <c r="P576" s="1" t="s">
        <v>968</v>
      </c>
      <c r="Q576" s="25">
        <v>-19.239272</v>
      </c>
      <c r="R576" s="25">
        <v>-54.783203999999998</v>
      </c>
      <c r="S576">
        <v>-42.697899999999997</v>
      </c>
      <c r="T576">
        <v>-36.929099999999998</v>
      </c>
      <c r="U576">
        <v>42.697899999999997</v>
      </c>
      <c r="V576" t="s">
        <v>1537</v>
      </c>
      <c r="W576" t="s">
        <v>13</v>
      </c>
      <c r="X576" t="s">
        <v>17</v>
      </c>
      <c r="Y576" s="1" t="s">
        <v>966</v>
      </c>
    </row>
    <row r="577" spans="1:25" x14ac:dyDescent="0.25">
      <c r="A577" s="4">
        <v>935</v>
      </c>
      <c r="B577" s="9" t="s">
        <v>1032</v>
      </c>
      <c r="C577" s="8" t="s">
        <v>970</v>
      </c>
      <c r="D577" s="6" t="s">
        <v>73</v>
      </c>
      <c r="E577" s="10">
        <v>6</v>
      </c>
      <c r="F577">
        <v>6.0034672362344903</v>
      </c>
      <c r="G577">
        <v>3.3967021187089301</v>
      </c>
      <c r="H577" t="s">
        <v>221</v>
      </c>
      <c r="I577" t="s">
        <v>24</v>
      </c>
      <c r="J577" t="s">
        <v>185</v>
      </c>
      <c r="L577">
        <v>310</v>
      </c>
      <c r="M577" t="s">
        <v>1798</v>
      </c>
      <c r="N577">
        <v>300</v>
      </c>
      <c r="O577" t="s">
        <v>223</v>
      </c>
      <c r="P577" s="1" t="s">
        <v>968</v>
      </c>
      <c r="Q577" s="25">
        <v>-19.239272</v>
      </c>
      <c r="R577" s="25">
        <v>-54.783203999999998</v>
      </c>
      <c r="S577">
        <v>-42.697899999999997</v>
      </c>
      <c r="T577">
        <v>-36.929099999999998</v>
      </c>
      <c r="U577">
        <v>42.697899999999997</v>
      </c>
      <c r="V577" t="s">
        <v>1537</v>
      </c>
      <c r="W577" t="s">
        <v>13</v>
      </c>
      <c r="X577" t="s">
        <v>17</v>
      </c>
      <c r="Y577" s="1" t="s">
        <v>966</v>
      </c>
    </row>
    <row r="578" spans="1:25" x14ac:dyDescent="0.25">
      <c r="A578" s="4">
        <v>936</v>
      </c>
      <c r="B578" s="9" t="s">
        <v>1033</v>
      </c>
      <c r="C578" s="8" t="s">
        <v>970</v>
      </c>
      <c r="D578" s="6" t="s">
        <v>73</v>
      </c>
      <c r="E578" s="10">
        <v>6</v>
      </c>
      <c r="F578">
        <v>7.5059164711322301</v>
      </c>
      <c r="G578">
        <v>3.9597209181622399</v>
      </c>
      <c r="H578" t="s">
        <v>221</v>
      </c>
      <c r="I578" t="s">
        <v>24</v>
      </c>
      <c r="J578" t="s">
        <v>185</v>
      </c>
      <c r="L578">
        <v>310</v>
      </c>
      <c r="M578" t="s">
        <v>1798</v>
      </c>
      <c r="N578">
        <v>300</v>
      </c>
      <c r="O578" t="s">
        <v>223</v>
      </c>
      <c r="P578" s="1" t="s">
        <v>968</v>
      </c>
      <c r="Q578" s="25">
        <v>-19.239272</v>
      </c>
      <c r="R578" s="25">
        <v>-54.783203999999998</v>
      </c>
      <c r="S578">
        <v>-42.697899999999997</v>
      </c>
      <c r="T578">
        <v>-36.929099999999998</v>
      </c>
      <c r="U578">
        <v>42.697899999999997</v>
      </c>
      <c r="V578" t="s">
        <v>1537</v>
      </c>
      <c r="W578" t="s">
        <v>13</v>
      </c>
      <c r="X578" t="s">
        <v>17</v>
      </c>
      <c r="Y578" s="1" t="s">
        <v>966</v>
      </c>
    </row>
    <row r="579" spans="1:25" x14ac:dyDescent="0.25">
      <c r="A579" s="4">
        <v>939</v>
      </c>
      <c r="B579" s="9" t="s">
        <v>1034</v>
      </c>
      <c r="C579" s="8" t="s">
        <v>970</v>
      </c>
      <c r="D579" s="6" t="s">
        <v>73</v>
      </c>
      <c r="E579" s="10">
        <v>6</v>
      </c>
      <c r="F579">
        <v>6.9829493812277104</v>
      </c>
      <c r="G579">
        <v>3.5435166290529199</v>
      </c>
      <c r="H579" t="s">
        <v>221</v>
      </c>
      <c r="I579" t="s">
        <v>24</v>
      </c>
      <c r="J579" t="s">
        <v>185</v>
      </c>
      <c r="L579">
        <v>310</v>
      </c>
      <c r="M579" t="s">
        <v>1798</v>
      </c>
      <c r="N579">
        <v>300</v>
      </c>
      <c r="O579" t="s">
        <v>223</v>
      </c>
      <c r="P579" s="1" t="s">
        <v>968</v>
      </c>
      <c r="Q579" s="25">
        <v>-19.239272</v>
      </c>
      <c r="R579" s="25">
        <v>-54.783203999999998</v>
      </c>
      <c r="S579">
        <v>-42.697899999999997</v>
      </c>
      <c r="T579">
        <v>-36.929099999999998</v>
      </c>
      <c r="U579">
        <v>42.697899999999997</v>
      </c>
      <c r="V579" t="s">
        <v>1537</v>
      </c>
      <c r="W579" t="s">
        <v>13</v>
      </c>
      <c r="X579" t="s">
        <v>17</v>
      </c>
      <c r="Y579" s="1" t="s">
        <v>966</v>
      </c>
    </row>
    <row r="580" spans="1:25" x14ac:dyDescent="0.25">
      <c r="A580" s="4">
        <v>940</v>
      </c>
      <c r="B580" s="9" t="s">
        <v>985</v>
      </c>
      <c r="C580" s="8" t="s">
        <v>970</v>
      </c>
      <c r="D580" s="6" t="s">
        <v>1046</v>
      </c>
      <c r="E580" s="10">
        <v>6</v>
      </c>
      <c r="F580">
        <v>4.5071717605783403</v>
      </c>
      <c r="G580">
        <v>0.60632306361666999</v>
      </c>
      <c r="H580" t="s">
        <v>221</v>
      </c>
      <c r="I580" t="s">
        <v>24</v>
      </c>
      <c r="J580" t="s">
        <v>185</v>
      </c>
      <c r="L580">
        <v>310</v>
      </c>
      <c r="M580" t="s">
        <v>1798</v>
      </c>
      <c r="N580">
        <v>300</v>
      </c>
      <c r="O580" t="s">
        <v>223</v>
      </c>
      <c r="P580" s="1" t="s">
        <v>968</v>
      </c>
      <c r="Q580" s="25">
        <v>-19.239272</v>
      </c>
      <c r="R580" s="25">
        <v>-54.783203999999998</v>
      </c>
      <c r="S580">
        <v>-42.697899999999997</v>
      </c>
      <c r="T580">
        <v>-36.929099999999998</v>
      </c>
      <c r="U580">
        <v>42.697899999999997</v>
      </c>
      <c r="V580" t="s">
        <v>1537</v>
      </c>
      <c r="W580" t="s">
        <v>13</v>
      </c>
      <c r="X580" t="s">
        <v>17</v>
      </c>
      <c r="Y580" s="1" t="s">
        <v>966</v>
      </c>
    </row>
    <row r="581" spans="1:25" x14ac:dyDescent="0.25">
      <c r="A581" s="4">
        <v>941</v>
      </c>
      <c r="B581" s="9" t="s">
        <v>1045</v>
      </c>
      <c r="C581" s="8" t="s">
        <v>970</v>
      </c>
      <c r="D581" s="6" t="s">
        <v>1046</v>
      </c>
      <c r="E581" s="10">
        <v>6</v>
      </c>
      <c r="F581">
        <v>3.1824144385861799</v>
      </c>
      <c r="G581">
        <v>0.41338054701002103</v>
      </c>
      <c r="H581" t="s">
        <v>221</v>
      </c>
      <c r="I581" t="s">
        <v>24</v>
      </c>
      <c r="J581" t="s">
        <v>185</v>
      </c>
      <c r="L581">
        <v>310</v>
      </c>
      <c r="M581" t="s">
        <v>1798</v>
      </c>
      <c r="N581">
        <v>300</v>
      </c>
      <c r="O581" t="s">
        <v>223</v>
      </c>
      <c r="P581" s="1" t="s">
        <v>968</v>
      </c>
      <c r="Q581" s="25">
        <v>-19.239272</v>
      </c>
      <c r="R581" s="25">
        <v>-54.783203999999998</v>
      </c>
      <c r="S581">
        <v>-42.697899999999997</v>
      </c>
      <c r="T581">
        <v>-36.929099999999998</v>
      </c>
      <c r="U581">
        <v>42.697899999999997</v>
      </c>
      <c r="V581" t="s">
        <v>1537</v>
      </c>
      <c r="W581" t="s">
        <v>13</v>
      </c>
      <c r="X581" t="s">
        <v>17</v>
      </c>
      <c r="Y581" s="1" t="s">
        <v>966</v>
      </c>
    </row>
    <row r="582" spans="1:25" x14ac:dyDescent="0.25">
      <c r="A582" s="4">
        <v>942</v>
      </c>
      <c r="B582" s="9" t="s">
        <v>986</v>
      </c>
      <c r="C582" s="8" t="s">
        <v>970</v>
      </c>
      <c r="D582" s="6" t="s">
        <v>1046</v>
      </c>
      <c r="E582" s="10">
        <v>6</v>
      </c>
      <c r="F582">
        <v>6.2514879681778899</v>
      </c>
      <c r="G582">
        <v>1.7905213513064999</v>
      </c>
      <c r="H582" t="s">
        <v>221</v>
      </c>
      <c r="I582" t="s">
        <v>24</v>
      </c>
      <c r="J582" t="s">
        <v>185</v>
      </c>
      <c r="L582">
        <v>310</v>
      </c>
      <c r="M582" t="s">
        <v>1798</v>
      </c>
      <c r="N582">
        <v>300</v>
      </c>
      <c r="O582" t="s">
        <v>223</v>
      </c>
      <c r="P582" s="1" t="s">
        <v>968</v>
      </c>
      <c r="Q582" s="25">
        <v>-19.239272</v>
      </c>
      <c r="R582" s="25">
        <v>-54.783203999999998</v>
      </c>
      <c r="S582">
        <v>-42.697899999999997</v>
      </c>
      <c r="T582">
        <v>-36.929099999999998</v>
      </c>
      <c r="U582">
        <v>42.697899999999997</v>
      </c>
      <c r="V582" t="s">
        <v>1537</v>
      </c>
      <c r="W582" t="s">
        <v>13</v>
      </c>
      <c r="X582" t="s">
        <v>17</v>
      </c>
      <c r="Y582" s="1" t="s">
        <v>966</v>
      </c>
    </row>
    <row r="583" spans="1:25" x14ac:dyDescent="0.25">
      <c r="A583" s="4">
        <v>943</v>
      </c>
      <c r="B583" s="9" t="s">
        <v>1038</v>
      </c>
      <c r="C583" s="8" t="s">
        <v>970</v>
      </c>
      <c r="D583" s="6" t="s">
        <v>1046</v>
      </c>
      <c r="E583" s="10">
        <v>6</v>
      </c>
      <c r="F583">
        <v>4.7473175840183996</v>
      </c>
      <c r="G583">
        <v>0.47403248639273698</v>
      </c>
      <c r="H583" t="s">
        <v>221</v>
      </c>
      <c r="I583" t="s">
        <v>24</v>
      </c>
      <c r="J583" t="s">
        <v>185</v>
      </c>
      <c r="L583">
        <v>310</v>
      </c>
      <c r="M583" t="s">
        <v>1798</v>
      </c>
      <c r="N583">
        <v>300</v>
      </c>
      <c r="O583" t="s">
        <v>223</v>
      </c>
      <c r="P583" s="1" t="s">
        <v>968</v>
      </c>
      <c r="Q583" s="25">
        <v>-19.239272</v>
      </c>
      <c r="R583" s="25">
        <v>-54.783203999999998</v>
      </c>
      <c r="S583">
        <v>-42.697899999999997</v>
      </c>
      <c r="T583">
        <v>-36.929099999999998</v>
      </c>
      <c r="U583">
        <v>42.697899999999997</v>
      </c>
      <c r="V583" t="s">
        <v>1537</v>
      </c>
      <c r="W583" t="s">
        <v>13</v>
      </c>
      <c r="X583" t="s">
        <v>17</v>
      </c>
      <c r="Y583" s="1" t="s">
        <v>966</v>
      </c>
    </row>
    <row r="584" spans="1:25" x14ac:dyDescent="0.25">
      <c r="A584" s="4">
        <v>944</v>
      </c>
      <c r="B584" s="9" t="s">
        <v>1009</v>
      </c>
      <c r="C584" s="8" t="s">
        <v>970</v>
      </c>
      <c r="D584" s="6" t="s">
        <v>1046</v>
      </c>
      <c r="E584" s="10">
        <v>6</v>
      </c>
      <c r="F584">
        <v>8.3229469334451203</v>
      </c>
      <c r="G584">
        <v>1.27511897142772</v>
      </c>
      <c r="H584" t="s">
        <v>221</v>
      </c>
      <c r="I584" t="s">
        <v>24</v>
      </c>
      <c r="J584" t="s">
        <v>185</v>
      </c>
      <c r="L584">
        <v>310</v>
      </c>
      <c r="M584" t="s">
        <v>1798</v>
      </c>
      <c r="N584">
        <v>300</v>
      </c>
      <c r="O584" t="s">
        <v>223</v>
      </c>
      <c r="P584" s="1" t="s">
        <v>968</v>
      </c>
      <c r="Q584" s="25">
        <v>-19.239272</v>
      </c>
      <c r="R584" s="25">
        <v>-54.783203999999998</v>
      </c>
      <c r="S584">
        <v>-42.697899999999997</v>
      </c>
      <c r="T584">
        <v>-36.929099999999998</v>
      </c>
      <c r="U584">
        <v>42.697899999999997</v>
      </c>
      <c r="V584" t="s">
        <v>1537</v>
      </c>
      <c r="W584" t="s">
        <v>13</v>
      </c>
      <c r="X584" t="s">
        <v>17</v>
      </c>
      <c r="Y584" s="1" t="s">
        <v>966</v>
      </c>
    </row>
    <row r="585" spans="1:25" x14ac:dyDescent="0.25">
      <c r="A585" s="4">
        <v>945</v>
      </c>
      <c r="B585" s="9" t="s">
        <v>988</v>
      </c>
      <c r="C585" s="8" t="s">
        <v>970</v>
      </c>
      <c r="D585" s="6" t="s">
        <v>1046</v>
      </c>
      <c r="E585" s="10">
        <v>6</v>
      </c>
      <c r="F585">
        <v>9.6662549606543902</v>
      </c>
      <c r="G585">
        <v>0.93748428318761801</v>
      </c>
      <c r="H585" t="s">
        <v>221</v>
      </c>
      <c r="I585" t="s">
        <v>24</v>
      </c>
      <c r="J585" t="s">
        <v>185</v>
      </c>
      <c r="L585">
        <v>310</v>
      </c>
      <c r="M585" t="s">
        <v>1798</v>
      </c>
      <c r="N585">
        <v>300</v>
      </c>
      <c r="O585" t="s">
        <v>223</v>
      </c>
      <c r="P585" s="1" t="s">
        <v>968</v>
      </c>
      <c r="Q585" s="25">
        <v>-19.239272</v>
      </c>
      <c r="R585" s="25">
        <v>-54.783203999999998</v>
      </c>
      <c r="S585">
        <v>-42.697899999999997</v>
      </c>
      <c r="T585">
        <v>-36.929099999999998</v>
      </c>
      <c r="U585">
        <v>42.697899999999997</v>
      </c>
      <c r="V585" t="s">
        <v>1537</v>
      </c>
      <c r="W585" t="s">
        <v>13</v>
      </c>
      <c r="X585" t="s">
        <v>17</v>
      </c>
      <c r="Y585" s="1" t="s">
        <v>966</v>
      </c>
    </row>
    <row r="586" spans="1:25" x14ac:dyDescent="0.25">
      <c r="A586" s="4">
        <v>946</v>
      </c>
      <c r="B586" s="9" t="s">
        <v>971</v>
      </c>
      <c r="C586" s="8" t="s">
        <v>970</v>
      </c>
      <c r="D586" s="6" t="s">
        <v>1046</v>
      </c>
      <c r="E586" s="10">
        <v>6</v>
      </c>
      <c r="F586">
        <v>5.6954264483753301</v>
      </c>
      <c r="G586">
        <v>1.0700895748603401</v>
      </c>
      <c r="H586" t="s">
        <v>221</v>
      </c>
      <c r="I586" t="s">
        <v>24</v>
      </c>
      <c r="J586" t="s">
        <v>185</v>
      </c>
      <c r="L586">
        <v>310</v>
      </c>
      <c r="M586" t="s">
        <v>1798</v>
      </c>
      <c r="N586">
        <v>300</v>
      </c>
      <c r="O586" t="s">
        <v>223</v>
      </c>
      <c r="P586" s="1" t="s">
        <v>968</v>
      </c>
      <c r="Q586" s="25">
        <v>-19.239272</v>
      </c>
      <c r="R586" s="25">
        <v>-54.783203999999998</v>
      </c>
      <c r="S586">
        <v>-42.697899999999997</v>
      </c>
      <c r="T586">
        <v>-36.929099999999998</v>
      </c>
      <c r="U586">
        <v>42.697899999999997</v>
      </c>
      <c r="V586" t="s">
        <v>1537</v>
      </c>
      <c r="W586" t="s">
        <v>13</v>
      </c>
      <c r="X586" t="s">
        <v>17</v>
      </c>
      <c r="Y586" s="1" t="s">
        <v>966</v>
      </c>
    </row>
    <row r="587" spans="1:25" x14ac:dyDescent="0.25">
      <c r="A587" s="4">
        <v>947</v>
      </c>
      <c r="B587" s="9" t="s">
        <v>1021</v>
      </c>
      <c r="C587" s="8" t="s">
        <v>970</v>
      </c>
      <c r="D587" s="6" t="s">
        <v>1046</v>
      </c>
      <c r="E587" s="10">
        <v>6</v>
      </c>
      <c r="F587">
        <v>7.39174728139752</v>
      </c>
      <c r="G587">
        <v>0.90450608939758403</v>
      </c>
      <c r="H587" t="s">
        <v>221</v>
      </c>
      <c r="I587" t="s">
        <v>24</v>
      </c>
      <c r="J587" t="s">
        <v>185</v>
      </c>
      <c r="L587">
        <v>310</v>
      </c>
      <c r="M587" t="s">
        <v>1798</v>
      </c>
      <c r="N587">
        <v>300</v>
      </c>
      <c r="O587" t="s">
        <v>223</v>
      </c>
      <c r="P587" s="1" t="s">
        <v>968</v>
      </c>
      <c r="Q587" s="25">
        <v>-19.239272</v>
      </c>
      <c r="R587" s="25">
        <v>-54.783203999999998</v>
      </c>
      <c r="S587">
        <v>-42.697899999999997</v>
      </c>
      <c r="T587">
        <v>-36.929099999999998</v>
      </c>
      <c r="U587">
        <v>42.697899999999997</v>
      </c>
      <c r="V587" t="s">
        <v>1537</v>
      </c>
      <c r="W587" t="s">
        <v>13</v>
      </c>
      <c r="X587" t="s">
        <v>17</v>
      </c>
      <c r="Y587" s="1" t="s">
        <v>966</v>
      </c>
    </row>
    <row r="588" spans="1:25" x14ac:dyDescent="0.25">
      <c r="A588" s="4">
        <v>948</v>
      </c>
      <c r="B588" s="9" t="s">
        <v>1010</v>
      </c>
      <c r="C588" s="8" t="s">
        <v>970</v>
      </c>
      <c r="D588" s="6" t="s">
        <v>1046</v>
      </c>
      <c r="E588" s="10">
        <v>6</v>
      </c>
      <c r="F588">
        <v>5.7402813872904099</v>
      </c>
      <c r="G588">
        <v>1.03840400778987</v>
      </c>
      <c r="H588" t="s">
        <v>221</v>
      </c>
      <c r="I588" t="s">
        <v>24</v>
      </c>
      <c r="J588" t="s">
        <v>185</v>
      </c>
      <c r="L588">
        <v>310</v>
      </c>
      <c r="M588" t="s">
        <v>1798</v>
      </c>
      <c r="N588">
        <v>300</v>
      </c>
      <c r="O588" t="s">
        <v>223</v>
      </c>
      <c r="P588" s="1" t="s">
        <v>968</v>
      </c>
      <c r="Q588" s="25">
        <v>-19.239272</v>
      </c>
      <c r="R588" s="25">
        <v>-54.783203999999998</v>
      </c>
      <c r="S588">
        <v>-42.697899999999997</v>
      </c>
      <c r="T588">
        <v>-36.929099999999998</v>
      </c>
      <c r="U588">
        <v>42.697899999999997</v>
      </c>
      <c r="V588" t="s">
        <v>1537</v>
      </c>
      <c r="W588" t="s">
        <v>13</v>
      </c>
      <c r="X588" t="s">
        <v>17</v>
      </c>
      <c r="Y588" s="1" t="s">
        <v>966</v>
      </c>
    </row>
    <row r="589" spans="1:25" x14ac:dyDescent="0.25">
      <c r="A589" s="4">
        <v>952</v>
      </c>
      <c r="B589" s="9" t="s">
        <v>1026</v>
      </c>
      <c r="C589" s="8" t="s">
        <v>970</v>
      </c>
      <c r="D589" s="6" t="s">
        <v>1046</v>
      </c>
      <c r="E589" s="10">
        <v>6</v>
      </c>
      <c r="F589">
        <v>8.9185013558698092</v>
      </c>
      <c r="G589">
        <v>0.82813992382006796</v>
      </c>
      <c r="H589" t="s">
        <v>221</v>
      </c>
      <c r="I589" t="s">
        <v>24</v>
      </c>
      <c r="J589" t="s">
        <v>185</v>
      </c>
      <c r="L589">
        <v>310</v>
      </c>
      <c r="M589" t="s">
        <v>1798</v>
      </c>
      <c r="N589">
        <v>300</v>
      </c>
      <c r="O589" t="s">
        <v>223</v>
      </c>
      <c r="P589" s="1" t="s">
        <v>968</v>
      </c>
      <c r="Q589" s="25">
        <v>-19.239272</v>
      </c>
      <c r="R589" s="25">
        <v>-54.783203999999998</v>
      </c>
      <c r="S589">
        <v>-42.697899999999997</v>
      </c>
      <c r="T589">
        <v>-36.929099999999998</v>
      </c>
      <c r="U589">
        <v>42.697899999999997</v>
      </c>
      <c r="V589" t="s">
        <v>1537</v>
      </c>
      <c r="W589" t="s">
        <v>13</v>
      </c>
      <c r="X589" t="s">
        <v>17</v>
      </c>
      <c r="Y589" s="1" t="s">
        <v>966</v>
      </c>
    </row>
    <row r="590" spans="1:25" x14ac:dyDescent="0.25">
      <c r="A590" s="4">
        <v>953</v>
      </c>
      <c r="B590" s="9" t="s">
        <v>991</v>
      </c>
      <c r="C590" s="8" t="s">
        <v>970</v>
      </c>
      <c r="D590" s="6" t="s">
        <v>1046</v>
      </c>
      <c r="E590" s="10">
        <v>6</v>
      </c>
      <c r="F590">
        <v>6.4330225774786696</v>
      </c>
      <c r="G590">
        <v>0.57322165423740101</v>
      </c>
      <c r="H590" t="s">
        <v>221</v>
      </c>
      <c r="I590" t="s">
        <v>24</v>
      </c>
      <c r="J590" t="s">
        <v>185</v>
      </c>
      <c r="L590">
        <v>310</v>
      </c>
      <c r="M590" t="s">
        <v>1798</v>
      </c>
      <c r="N590">
        <v>300</v>
      </c>
      <c r="O590" t="s">
        <v>223</v>
      </c>
      <c r="P590" s="1" t="s">
        <v>968</v>
      </c>
      <c r="Q590" s="25">
        <v>-19.239272</v>
      </c>
      <c r="R590" s="25">
        <v>-54.783203999999998</v>
      </c>
      <c r="S590">
        <v>-42.697899999999997</v>
      </c>
      <c r="T590">
        <v>-36.929099999999998</v>
      </c>
      <c r="U590">
        <v>42.697899999999997</v>
      </c>
      <c r="V590" t="s">
        <v>1537</v>
      </c>
      <c r="W590" t="s">
        <v>13</v>
      </c>
      <c r="X590" t="s">
        <v>17</v>
      </c>
      <c r="Y590" s="1" t="s">
        <v>966</v>
      </c>
    </row>
    <row r="591" spans="1:25" x14ac:dyDescent="0.25">
      <c r="A591" s="4">
        <v>954</v>
      </c>
      <c r="B591" s="9" t="s">
        <v>1023</v>
      </c>
      <c r="C591" s="8" t="s">
        <v>970</v>
      </c>
      <c r="D591" s="6" t="s">
        <v>1046</v>
      </c>
      <c r="E591" s="10">
        <v>6</v>
      </c>
      <c r="F591">
        <v>7.0909179723835596</v>
      </c>
      <c r="G591">
        <v>0.618643583721875</v>
      </c>
      <c r="H591" t="s">
        <v>221</v>
      </c>
      <c r="I591" t="s">
        <v>24</v>
      </c>
      <c r="J591" t="s">
        <v>185</v>
      </c>
      <c r="L591">
        <v>310</v>
      </c>
      <c r="M591" t="s">
        <v>1798</v>
      </c>
      <c r="N591">
        <v>300</v>
      </c>
      <c r="O591" t="s">
        <v>223</v>
      </c>
      <c r="P591" s="1" t="s">
        <v>968</v>
      </c>
      <c r="Q591" s="25">
        <v>-19.239272</v>
      </c>
      <c r="R591" s="25">
        <v>-54.783203999999998</v>
      </c>
      <c r="S591">
        <v>-42.697899999999997</v>
      </c>
      <c r="T591">
        <v>-36.929099999999998</v>
      </c>
      <c r="U591">
        <v>42.697899999999997</v>
      </c>
      <c r="V591" t="s">
        <v>1537</v>
      </c>
      <c r="W591" t="s">
        <v>13</v>
      </c>
      <c r="X591" t="s">
        <v>17</v>
      </c>
      <c r="Y591" s="1" t="s">
        <v>966</v>
      </c>
    </row>
    <row r="592" spans="1:25" x14ac:dyDescent="0.25">
      <c r="A592" s="4">
        <v>956</v>
      </c>
      <c r="B592" s="9" t="s">
        <v>1024</v>
      </c>
      <c r="C592" s="8" t="s">
        <v>970</v>
      </c>
      <c r="D592" s="6" t="s">
        <v>1046</v>
      </c>
      <c r="E592" s="10">
        <v>6</v>
      </c>
      <c r="F592">
        <v>6.7037019069588304</v>
      </c>
      <c r="G592">
        <v>1.2463778187338701</v>
      </c>
      <c r="H592" t="s">
        <v>221</v>
      </c>
      <c r="I592" t="s">
        <v>24</v>
      </c>
      <c r="J592" t="s">
        <v>185</v>
      </c>
      <c r="L592">
        <v>310</v>
      </c>
      <c r="M592" t="s">
        <v>1798</v>
      </c>
      <c r="N592">
        <v>300</v>
      </c>
      <c r="O592" t="s">
        <v>223</v>
      </c>
      <c r="P592" s="1" t="s">
        <v>968</v>
      </c>
      <c r="Q592" s="25">
        <v>-19.239272</v>
      </c>
      <c r="R592" s="25">
        <v>-54.783203999999998</v>
      </c>
      <c r="S592">
        <v>-42.697899999999997</v>
      </c>
      <c r="T592">
        <v>-36.929099999999998</v>
      </c>
      <c r="U592">
        <v>42.697899999999997</v>
      </c>
      <c r="V592" t="s">
        <v>1537</v>
      </c>
      <c r="W592" t="s">
        <v>13</v>
      </c>
      <c r="X592" t="s">
        <v>17</v>
      </c>
      <c r="Y592" s="1" t="s">
        <v>966</v>
      </c>
    </row>
    <row r="593" spans="1:25" x14ac:dyDescent="0.25">
      <c r="A593" s="4">
        <v>957</v>
      </c>
      <c r="B593" s="9" t="s">
        <v>1039</v>
      </c>
      <c r="C593" s="8" t="s">
        <v>970</v>
      </c>
      <c r="D593" s="6" t="s">
        <v>1046</v>
      </c>
      <c r="E593" s="10">
        <v>6</v>
      </c>
      <c r="F593">
        <v>4.8094845471571803</v>
      </c>
      <c r="G593">
        <v>0.74228124143380203</v>
      </c>
      <c r="H593" t="s">
        <v>221</v>
      </c>
      <c r="I593" t="s">
        <v>24</v>
      </c>
      <c r="J593" t="s">
        <v>185</v>
      </c>
      <c r="L593">
        <v>310</v>
      </c>
      <c r="M593" t="s">
        <v>1798</v>
      </c>
      <c r="N593">
        <v>300</v>
      </c>
      <c r="O593" t="s">
        <v>223</v>
      </c>
      <c r="P593" s="1" t="s">
        <v>968</v>
      </c>
      <c r="Q593" s="25">
        <v>-19.239272</v>
      </c>
      <c r="R593" s="25">
        <v>-54.783203999999998</v>
      </c>
      <c r="S593">
        <v>-42.697899999999997</v>
      </c>
      <c r="T593">
        <v>-36.929099999999998</v>
      </c>
      <c r="U593">
        <v>42.697899999999997</v>
      </c>
      <c r="V593" t="s">
        <v>1537</v>
      </c>
      <c r="W593" t="s">
        <v>13</v>
      </c>
      <c r="X593" t="s">
        <v>17</v>
      </c>
      <c r="Y593" s="1" t="s">
        <v>966</v>
      </c>
    </row>
    <row r="594" spans="1:25" x14ac:dyDescent="0.25">
      <c r="A594" s="4">
        <v>959</v>
      </c>
      <c r="B594" s="9" t="s">
        <v>1040</v>
      </c>
      <c r="C594" s="8" t="s">
        <v>970</v>
      </c>
      <c r="D594" s="6" t="s">
        <v>1046</v>
      </c>
      <c r="E594" s="10">
        <v>6</v>
      </c>
      <c r="F594">
        <v>5.6670863572032699</v>
      </c>
      <c r="G594">
        <v>1.01926451041086</v>
      </c>
      <c r="H594" t="s">
        <v>221</v>
      </c>
      <c r="I594" t="s">
        <v>24</v>
      </c>
      <c r="J594" t="s">
        <v>185</v>
      </c>
      <c r="L594">
        <v>310</v>
      </c>
      <c r="M594" t="s">
        <v>1798</v>
      </c>
      <c r="N594">
        <v>300</v>
      </c>
      <c r="O594" t="s">
        <v>223</v>
      </c>
      <c r="P594" s="1" t="s">
        <v>968</v>
      </c>
      <c r="Q594" s="25">
        <v>-19.239272</v>
      </c>
      <c r="R594" s="25">
        <v>-54.783203999999998</v>
      </c>
      <c r="S594">
        <v>-42.697899999999997</v>
      </c>
      <c r="T594">
        <v>-36.929099999999998</v>
      </c>
      <c r="U594">
        <v>42.697899999999997</v>
      </c>
      <c r="V594" t="s">
        <v>1537</v>
      </c>
      <c r="W594" t="s">
        <v>13</v>
      </c>
      <c r="X594" t="s">
        <v>17</v>
      </c>
      <c r="Y594" s="1" t="s">
        <v>966</v>
      </c>
    </row>
    <row r="595" spans="1:25" x14ac:dyDescent="0.25">
      <c r="A595" s="4">
        <v>960</v>
      </c>
      <c r="B595" s="9" t="s">
        <v>1041</v>
      </c>
      <c r="C595" s="8" t="s">
        <v>970</v>
      </c>
      <c r="D595" s="6" t="s">
        <v>1046</v>
      </c>
      <c r="E595" s="10">
        <v>6</v>
      </c>
      <c r="F595">
        <v>4.8896666188858902</v>
      </c>
      <c r="G595">
        <v>0.54417866230016299</v>
      </c>
      <c r="H595" t="s">
        <v>221</v>
      </c>
      <c r="I595" t="s">
        <v>24</v>
      </c>
      <c r="J595" t="s">
        <v>185</v>
      </c>
      <c r="L595">
        <v>310</v>
      </c>
      <c r="M595" t="s">
        <v>1798</v>
      </c>
      <c r="N595">
        <v>300</v>
      </c>
      <c r="O595" t="s">
        <v>223</v>
      </c>
      <c r="P595" s="1" t="s">
        <v>968</v>
      </c>
      <c r="Q595" s="25">
        <v>-19.239272</v>
      </c>
      <c r="R595" s="25">
        <v>-54.783203999999998</v>
      </c>
      <c r="S595">
        <v>-42.697899999999997</v>
      </c>
      <c r="T595">
        <v>-36.929099999999998</v>
      </c>
      <c r="U595">
        <v>42.697899999999997</v>
      </c>
      <c r="V595" t="s">
        <v>1537</v>
      </c>
      <c r="W595" t="s">
        <v>13</v>
      </c>
      <c r="X595" t="s">
        <v>17</v>
      </c>
      <c r="Y595" s="1" t="s">
        <v>966</v>
      </c>
    </row>
    <row r="596" spans="1:25" x14ac:dyDescent="0.25">
      <c r="A596" s="4">
        <v>962</v>
      </c>
      <c r="B596" s="9" t="s">
        <v>1042</v>
      </c>
      <c r="C596" s="8" t="s">
        <v>970</v>
      </c>
      <c r="D596" s="6" t="s">
        <v>1046</v>
      </c>
      <c r="E596" s="10">
        <v>6</v>
      </c>
      <c r="F596">
        <v>7.0864443395889802</v>
      </c>
      <c r="G596">
        <v>0.61386890120565296</v>
      </c>
      <c r="H596" t="s">
        <v>221</v>
      </c>
      <c r="I596" t="s">
        <v>24</v>
      </c>
      <c r="J596" t="s">
        <v>185</v>
      </c>
      <c r="L596">
        <v>310</v>
      </c>
      <c r="M596" t="s">
        <v>1798</v>
      </c>
      <c r="N596">
        <v>300</v>
      </c>
      <c r="O596" t="s">
        <v>223</v>
      </c>
      <c r="P596" s="1" t="s">
        <v>968</v>
      </c>
      <c r="Q596" s="25">
        <v>-19.239272</v>
      </c>
      <c r="R596" s="25">
        <v>-54.783203999999998</v>
      </c>
      <c r="S596">
        <v>-42.697899999999997</v>
      </c>
      <c r="T596">
        <v>-36.929099999999998</v>
      </c>
      <c r="U596">
        <v>42.697899999999997</v>
      </c>
      <c r="V596" t="s">
        <v>1537</v>
      </c>
      <c r="W596" t="s">
        <v>13</v>
      </c>
      <c r="X596" t="s">
        <v>17</v>
      </c>
      <c r="Y596" s="1" t="s">
        <v>966</v>
      </c>
    </row>
    <row r="597" spans="1:25" x14ac:dyDescent="0.25">
      <c r="A597" s="4">
        <v>963</v>
      </c>
      <c r="B597" s="9" t="s">
        <v>1043</v>
      </c>
      <c r="C597" s="8" t="s">
        <v>970</v>
      </c>
      <c r="D597" s="6" t="s">
        <v>1046</v>
      </c>
      <c r="E597" s="10">
        <v>6</v>
      </c>
      <c r="F597">
        <v>6.4487632679478697</v>
      </c>
      <c r="G597">
        <v>0.64008959204656202</v>
      </c>
      <c r="H597" t="s">
        <v>221</v>
      </c>
      <c r="I597" t="s">
        <v>24</v>
      </c>
      <c r="J597" t="s">
        <v>185</v>
      </c>
      <c r="L597">
        <v>310</v>
      </c>
      <c r="M597" t="s">
        <v>1798</v>
      </c>
      <c r="N597">
        <v>300</v>
      </c>
      <c r="O597" t="s">
        <v>223</v>
      </c>
      <c r="P597" s="1" t="s">
        <v>968</v>
      </c>
      <c r="Q597" s="25">
        <v>-19.239272</v>
      </c>
      <c r="R597" s="25">
        <v>-54.783203999999998</v>
      </c>
      <c r="S597">
        <v>-42.697899999999997</v>
      </c>
      <c r="T597">
        <v>-36.929099999999998</v>
      </c>
      <c r="U597">
        <v>42.697899999999997</v>
      </c>
      <c r="V597" t="s">
        <v>1537</v>
      </c>
      <c r="W597" t="s">
        <v>13</v>
      </c>
      <c r="X597" t="s">
        <v>17</v>
      </c>
      <c r="Y597" s="1" t="s">
        <v>966</v>
      </c>
    </row>
    <row r="598" spans="1:25" x14ac:dyDescent="0.25">
      <c r="A598" s="4">
        <v>965</v>
      </c>
      <c r="B598" s="9" t="s">
        <v>1044</v>
      </c>
      <c r="C598" s="8" t="s">
        <v>970</v>
      </c>
      <c r="D598" s="6" t="s">
        <v>1046</v>
      </c>
      <c r="E598" s="10">
        <v>6</v>
      </c>
      <c r="F598">
        <v>8.3761126853969099</v>
      </c>
      <c r="G598">
        <v>0.86802307861774097</v>
      </c>
      <c r="H598" t="s">
        <v>221</v>
      </c>
      <c r="I598" t="s">
        <v>24</v>
      </c>
      <c r="J598" t="s">
        <v>185</v>
      </c>
      <c r="L598">
        <v>310</v>
      </c>
      <c r="M598" t="s">
        <v>1798</v>
      </c>
      <c r="N598">
        <v>300</v>
      </c>
      <c r="O598" t="s">
        <v>223</v>
      </c>
      <c r="P598" s="1" t="s">
        <v>968</v>
      </c>
      <c r="Q598" s="25">
        <v>-19.239272</v>
      </c>
      <c r="R598" s="25">
        <v>-54.783203999999998</v>
      </c>
      <c r="S598">
        <v>-42.697899999999997</v>
      </c>
      <c r="T598">
        <v>-36.929099999999998</v>
      </c>
      <c r="U598">
        <v>42.697899999999997</v>
      </c>
      <c r="V598" t="s">
        <v>1537</v>
      </c>
      <c r="W598" t="s">
        <v>13</v>
      </c>
      <c r="X598" t="s">
        <v>17</v>
      </c>
      <c r="Y598" s="1" t="s">
        <v>966</v>
      </c>
    </row>
    <row r="599" spans="1:25" x14ac:dyDescent="0.25">
      <c r="A599" s="4">
        <v>968</v>
      </c>
      <c r="B599" s="9" t="s">
        <v>1049</v>
      </c>
      <c r="C599" s="8" t="s">
        <v>29</v>
      </c>
      <c r="D599" s="6" t="s">
        <v>60</v>
      </c>
      <c r="E599" s="10">
        <v>5</v>
      </c>
      <c r="F599">
        <v>4.4925994393861197</v>
      </c>
      <c r="G599">
        <v>0.51136656207586495</v>
      </c>
      <c r="H599" t="s">
        <v>221</v>
      </c>
      <c r="I599" t="s">
        <v>24</v>
      </c>
      <c r="J599" t="s">
        <v>185</v>
      </c>
      <c r="L599">
        <v>310</v>
      </c>
      <c r="M599" t="s">
        <v>1798</v>
      </c>
      <c r="N599">
        <v>300</v>
      </c>
      <c r="O599" t="s">
        <v>223</v>
      </c>
      <c r="P599" s="1" t="s">
        <v>968</v>
      </c>
      <c r="Q599" s="25">
        <v>-19.239272</v>
      </c>
      <c r="R599" s="25">
        <v>-54.783203999999998</v>
      </c>
      <c r="S599">
        <v>-42.697899999999997</v>
      </c>
      <c r="T599">
        <v>-36.929099999999998</v>
      </c>
      <c r="U599">
        <v>42.697899999999997</v>
      </c>
      <c r="V599" t="s">
        <v>1537</v>
      </c>
      <c r="W599" t="s">
        <v>13</v>
      </c>
      <c r="X599" t="s">
        <v>17</v>
      </c>
      <c r="Y599" s="1" t="s">
        <v>962</v>
      </c>
    </row>
    <row r="600" spans="1:25" x14ac:dyDescent="0.25">
      <c r="A600" s="4">
        <v>971</v>
      </c>
      <c r="B600" s="9" t="s">
        <v>1050</v>
      </c>
      <c r="C600" s="8" t="s">
        <v>29</v>
      </c>
      <c r="D600" s="6" t="s">
        <v>59</v>
      </c>
      <c r="E600" s="10">
        <v>5</v>
      </c>
      <c r="F600">
        <v>4.0706011527926096</v>
      </c>
      <c r="G600">
        <v>1.44537229037379</v>
      </c>
      <c r="H600" t="s">
        <v>221</v>
      </c>
      <c r="I600" t="s">
        <v>24</v>
      </c>
      <c r="J600" t="s">
        <v>185</v>
      </c>
      <c r="L600">
        <v>310</v>
      </c>
      <c r="M600" t="s">
        <v>1798</v>
      </c>
      <c r="N600">
        <v>300</v>
      </c>
      <c r="O600" t="s">
        <v>223</v>
      </c>
      <c r="P600" s="1" t="s">
        <v>968</v>
      </c>
      <c r="Q600" s="25">
        <v>-19.239272</v>
      </c>
      <c r="R600" s="25">
        <v>-54.783203999999998</v>
      </c>
      <c r="S600">
        <v>-42.697899999999997</v>
      </c>
      <c r="T600">
        <v>-36.929099999999998</v>
      </c>
      <c r="U600">
        <v>42.697899999999997</v>
      </c>
      <c r="V600" t="s">
        <v>1537</v>
      </c>
      <c r="W600" t="s">
        <v>13</v>
      </c>
      <c r="X600" t="s">
        <v>17</v>
      </c>
      <c r="Y600" s="1" t="s">
        <v>962</v>
      </c>
    </row>
    <row r="601" spans="1:25" x14ac:dyDescent="0.25">
      <c r="A601" s="4">
        <v>974</v>
      </c>
      <c r="B601" s="9" t="s">
        <v>1050</v>
      </c>
      <c r="C601" s="8" t="s">
        <v>29</v>
      </c>
      <c r="D601" s="6" t="s">
        <v>60</v>
      </c>
      <c r="E601" s="10">
        <v>5</v>
      </c>
      <c r="F601">
        <v>4.8046142166101999</v>
      </c>
      <c r="G601">
        <v>0.95139709770061998</v>
      </c>
      <c r="H601" t="s">
        <v>221</v>
      </c>
      <c r="I601" t="s">
        <v>24</v>
      </c>
      <c r="J601" t="s">
        <v>185</v>
      </c>
      <c r="L601">
        <v>310</v>
      </c>
      <c r="M601" t="s">
        <v>1798</v>
      </c>
      <c r="N601">
        <v>300</v>
      </c>
      <c r="O601" t="s">
        <v>223</v>
      </c>
      <c r="P601" s="1" t="s">
        <v>968</v>
      </c>
      <c r="Q601" s="25">
        <v>-19.239272</v>
      </c>
      <c r="R601" s="25">
        <v>-54.783203999999998</v>
      </c>
      <c r="S601">
        <v>-42.697899999999997</v>
      </c>
      <c r="T601">
        <v>-36.929099999999998</v>
      </c>
      <c r="U601">
        <v>42.697899999999997</v>
      </c>
      <c r="V601" t="s">
        <v>1537</v>
      </c>
      <c r="W601" t="s">
        <v>13</v>
      </c>
      <c r="X601" t="s">
        <v>17</v>
      </c>
      <c r="Y601" s="1" t="s">
        <v>962</v>
      </c>
    </row>
    <row r="602" spans="1:25" x14ac:dyDescent="0.25">
      <c r="A602" s="4">
        <v>975</v>
      </c>
      <c r="B602" s="9" t="s">
        <v>1051</v>
      </c>
      <c r="C602" s="8" t="s">
        <v>29</v>
      </c>
      <c r="D602" s="6" t="s">
        <v>60</v>
      </c>
      <c r="E602" s="10">
        <v>5</v>
      </c>
      <c r="F602">
        <v>4.9557829065123196</v>
      </c>
      <c r="G602">
        <v>0.89672004976266795</v>
      </c>
      <c r="H602" t="s">
        <v>221</v>
      </c>
      <c r="I602" t="s">
        <v>24</v>
      </c>
      <c r="J602" t="s">
        <v>185</v>
      </c>
      <c r="L602">
        <v>310</v>
      </c>
      <c r="M602" t="s">
        <v>1798</v>
      </c>
      <c r="N602">
        <v>300</v>
      </c>
      <c r="O602" t="s">
        <v>223</v>
      </c>
      <c r="P602" s="1" t="s">
        <v>968</v>
      </c>
      <c r="Q602" s="25">
        <v>-19.239272</v>
      </c>
      <c r="R602" s="25">
        <v>-54.783203999999998</v>
      </c>
      <c r="S602">
        <v>-42.697899999999997</v>
      </c>
      <c r="T602">
        <v>-36.929099999999998</v>
      </c>
      <c r="U602">
        <v>42.697899999999997</v>
      </c>
      <c r="V602" t="s">
        <v>1537</v>
      </c>
      <c r="W602" t="s">
        <v>13</v>
      </c>
      <c r="X602" t="s">
        <v>17</v>
      </c>
      <c r="Y602" s="1" t="s">
        <v>962</v>
      </c>
    </row>
    <row r="603" spans="1:25" x14ac:dyDescent="0.25">
      <c r="A603" s="4">
        <v>980</v>
      </c>
      <c r="B603" s="9" t="s">
        <v>1051</v>
      </c>
      <c r="C603" s="8" t="s">
        <v>29</v>
      </c>
      <c r="D603" s="6" t="s">
        <v>64</v>
      </c>
      <c r="E603" s="10">
        <v>8</v>
      </c>
      <c r="F603">
        <v>4.1655415624456396</v>
      </c>
      <c r="G603">
        <v>0.62655664083413098</v>
      </c>
      <c r="H603" t="s">
        <v>221</v>
      </c>
      <c r="I603" t="s">
        <v>24</v>
      </c>
      <c r="J603" t="s">
        <v>185</v>
      </c>
      <c r="L603">
        <v>310</v>
      </c>
      <c r="M603" t="s">
        <v>1798</v>
      </c>
      <c r="N603">
        <v>300</v>
      </c>
      <c r="O603" t="s">
        <v>223</v>
      </c>
      <c r="P603" s="1" t="s">
        <v>968</v>
      </c>
      <c r="Q603" s="25">
        <v>-19.239272</v>
      </c>
      <c r="R603" s="25">
        <v>-54.783203999999998</v>
      </c>
      <c r="S603">
        <v>-42.697899999999997</v>
      </c>
      <c r="T603">
        <v>-36.929099999999998</v>
      </c>
      <c r="U603">
        <v>42.697899999999997</v>
      </c>
      <c r="V603" t="s">
        <v>1537</v>
      </c>
      <c r="W603" t="s">
        <v>13</v>
      </c>
      <c r="X603" t="s">
        <v>17</v>
      </c>
      <c r="Y603" s="1" t="s">
        <v>962</v>
      </c>
    </row>
    <row r="604" spans="1:25" x14ac:dyDescent="0.25">
      <c r="A604" s="4">
        <v>981</v>
      </c>
      <c r="B604" s="9" t="s">
        <v>1051</v>
      </c>
      <c r="C604" s="8" t="s">
        <v>29</v>
      </c>
      <c r="D604" s="6" t="s">
        <v>64</v>
      </c>
      <c r="E604" s="10">
        <v>8</v>
      </c>
      <c r="F604">
        <v>6.1716624239680602</v>
      </c>
      <c r="G604">
        <v>0.80024063376760501</v>
      </c>
      <c r="H604" t="s">
        <v>221</v>
      </c>
      <c r="I604" t="s">
        <v>24</v>
      </c>
      <c r="J604" t="s">
        <v>185</v>
      </c>
      <c r="L604">
        <v>310</v>
      </c>
      <c r="M604" t="s">
        <v>1798</v>
      </c>
      <c r="N604">
        <v>300</v>
      </c>
      <c r="O604" t="s">
        <v>223</v>
      </c>
      <c r="P604" s="1" t="s">
        <v>968</v>
      </c>
      <c r="Q604" s="25">
        <v>-19.239272</v>
      </c>
      <c r="R604" s="25">
        <v>-54.783203999999998</v>
      </c>
      <c r="S604">
        <v>-42.697899999999997</v>
      </c>
      <c r="T604">
        <v>-36.929099999999998</v>
      </c>
      <c r="U604">
        <v>42.697899999999997</v>
      </c>
      <c r="V604" t="s">
        <v>1537</v>
      </c>
      <c r="W604" t="s">
        <v>13</v>
      </c>
      <c r="X604" t="s">
        <v>17</v>
      </c>
      <c r="Y604" s="1" t="s">
        <v>962</v>
      </c>
    </row>
    <row r="605" spans="1:25" x14ac:dyDescent="0.25">
      <c r="A605" s="4">
        <v>985</v>
      </c>
      <c r="B605" s="9" t="s">
        <v>1059</v>
      </c>
      <c r="C605" s="8" t="s">
        <v>29</v>
      </c>
      <c r="D605" s="6" t="s">
        <v>28</v>
      </c>
      <c r="E605" s="10">
        <v>6</v>
      </c>
      <c r="F605">
        <v>6.1801147551108997</v>
      </c>
      <c r="G605">
        <v>3.1003036224307099</v>
      </c>
      <c r="H605" t="s">
        <v>221</v>
      </c>
      <c r="I605" t="s">
        <v>24</v>
      </c>
      <c r="J605" t="s">
        <v>185</v>
      </c>
      <c r="K605" t="s">
        <v>1449</v>
      </c>
      <c r="L605">
        <v>303</v>
      </c>
      <c r="M605" t="s">
        <v>1798</v>
      </c>
      <c r="N605">
        <v>300</v>
      </c>
      <c r="O605" t="s">
        <v>223</v>
      </c>
      <c r="P605" s="1" t="s">
        <v>1053</v>
      </c>
      <c r="Q605" s="25">
        <v>-23.26773</v>
      </c>
      <c r="R605" s="25">
        <v>-47.319738000000001</v>
      </c>
      <c r="S605">
        <v>-49.540300000000002</v>
      </c>
      <c r="T605">
        <v>-30.833200000000001</v>
      </c>
      <c r="U605">
        <v>49.540300000000002</v>
      </c>
      <c r="V605" t="s">
        <v>1539</v>
      </c>
      <c r="W605" t="s">
        <v>13</v>
      </c>
      <c r="X605" t="s">
        <v>17</v>
      </c>
      <c r="Y605" s="1" t="s">
        <v>965</v>
      </c>
    </row>
    <row r="606" spans="1:25" x14ac:dyDescent="0.25">
      <c r="A606" s="4">
        <v>992</v>
      </c>
      <c r="B606" s="9" t="s">
        <v>1059</v>
      </c>
      <c r="C606" s="8" t="s">
        <v>29</v>
      </c>
      <c r="D606" s="6" t="s">
        <v>73</v>
      </c>
      <c r="E606" s="10">
        <v>6</v>
      </c>
      <c r="F606">
        <v>7.3154965118303101</v>
      </c>
      <c r="G606">
        <v>3.6677023339789701</v>
      </c>
      <c r="H606" t="s">
        <v>221</v>
      </c>
      <c r="I606" t="s">
        <v>24</v>
      </c>
      <c r="J606" t="s">
        <v>185</v>
      </c>
      <c r="K606" t="s">
        <v>1449</v>
      </c>
      <c r="L606">
        <v>303</v>
      </c>
      <c r="M606" t="s">
        <v>1798</v>
      </c>
      <c r="N606">
        <v>300</v>
      </c>
      <c r="O606" t="s">
        <v>223</v>
      </c>
      <c r="P606" s="1" t="s">
        <v>1053</v>
      </c>
      <c r="Q606" s="25">
        <v>-23.26773</v>
      </c>
      <c r="R606" s="25">
        <v>-47.319738000000001</v>
      </c>
      <c r="S606">
        <v>-49.540300000000002</v>
      </c>
      <c r="T606">
        <v>-30.833200000000001</v>
      </c>
      <c r="U606">
        <v>49.540300000000002</v>
      </c>
      <c r="V606" t="s">
        <v>1539</v>
      </c>
      <c r="W606" t="s">
        <v>13</v>
      </c>
      <c r="X606" t="s">
        <v>17</v>
      </c>
      <c r="Y606" s="1" t="s">
        <v>965</v>
      </c>
    </row>
    <row r="607" spans="1:25" x14ac:dyDescent="0.25">
      <c r="A607" s="4">
        <v>1024</v>
      </c>
      <c r="B607" s="9" t="s">
        <v>1059</v>
      </c>
      <c r="C607" s="8" t="s">
        <v>29</v>
      </c>
      <c r="D607" s="6" t="s">
        <v>60</v>
      </c>
      <c r="E607" s="10">
        <v>5</v>
      </c>
      <c r="F607">
        <v>5.7877856906821297</v>
      </c>
      <c r="G607">
        <v>1.60012924570177</v>
      </c>
      <c r="H607" t="s">
        <v>221</v>
      </c>
      <c r="I607" t="s">
        <v>24</v>
      </c>
      <c r="J607" t="s">
        <v>185</v>
      </c>
      <c r="K607" t="s">
        <v>1449</v>
      </c>
      <c r="L607">
        <v>303</v>
      </c>
      <c r="M607" t="s">
        <v>1798</v>
      </c>
      <c r="N607">
        <v>300</v>
      </c>
      <c r="O607" t="s">
        <v>223</v>
      </c>
      <c r="P607" s="1" t="s">
        <v>1053</v>
      </c>
      <c r="Q607" s="25">
        <v>-23.26773</v>
      </c>
      <c r="R607" s="25">
        <v>-47.319738000000001</v>
      </c>
      <c r="S607">
        <v>-49.540300000000002</v>
      </c>
      <c r="T607">
        <v>-30.833200000000001</v>
      </c>
      <c r="U607">
        <v>49.540300000000002</v>
      </c>
      <c r="V607" t="s">
        <v>1539</v>
      </c>
      <c r="W607" t="s">
        <v>13</v>
      </c>
      <c r="X607" t="s">
        <v>17</v>
      </c>
      <c r="Y607" s="1" t="s">
        <v>965</v>
      </c>
    </row>
    <row r="608" spans="1:25" x14ac:dyDescent="0.25">
      <c r="A608" s="4">
        <v>1035</v>
      </c>
      <c r="B608" s="9" t="s">
        <v>1059</v>
      </c>
      <c r="C608" s="8" t="s">
        <v>29</v>
      </c>
      <c r="D608" s="6" t="s">
        <v>59</v>
      </c>
      <c r="E608" s="10">
        <v>5</v>
      </c>
      <c r="F608">
        <v>5.3491504527258398</v>
      </c>
      <c r="G608">
        <v>2.8386260927329698</v>
      </c>
      <c r="H608" t="s">
        <v>221</v>
      </c>
      <c r="I608" t="s">
        <v>24</v>
      </c>
      <c r="J608" t="s">
        <v>185</v>
      </c>
      <c r="K608" t="s">
        <v>1449</v>
      </c>
      <c r="L608">
        <v>303</v>
      </c>
      <c r="M608" t="s">
        <v>1798</v>
      </c>
      <c r="N608">
        <v>300</v>
      </c>
      <c r="O608" t="s">
        <v>223</v>
      </c>
      <c r="P608" s="1" t="s">
        <v>1053</v>
      </c>
      <c r="Q608" s="25">
        <v>-23.26773</v>
      </c>
      <c r="R608" s="25">
        <v>-47.319738000000001</v>
      </c>
      <c r="S608">
        <v>-49.540300000000002</v>
      </c>
      <c r="T608">
        <v>-30.833200000000001</v>
      </c>
      <c r="U608">
        <v>49.540300000000002</v>
      </c>
      <c r="V608" t="s">
        <v>1539</v>
      </c>
      <c r="W608" t="s">
        <v>13</v>
      </c>
      <c r="X608" t="s">
        <v>17</v>
      </c>
      <c r="Y608" s="1" t="s">
        <v>965</v>
      </c>
    </row>
    <row r="609" spans="1:25" x14ac:dyDescent="0.25">
      <c r="A609" s="4">
        <v>1045</v>
      </c>
      <c r="B609" s="9" t="s">
        <v>1069</v>
      </c>
      <c r="C609" s="8" t="s">
        <v>29</v>
      </c>
      <c r="D609" s="6" t="s">
        <v>28</v>
      </c>
      <c r="E609" s="10">
        <v>6</v>
      </c>
      <c r="F609">
        <v>298.81093563455198</v>
      </c>
      <c r="G609">
        <v>164.45742510799701</v>
      </c>
      <c r="H609" t="s">
        <v>641</v>
      </c>
      <c r="I609" t="s">
        <v>24</v>
      </c>
      <c r="J609" t="s">
        <v>185</v>
      </c>
      <c r="K609" t="s">
        <v>1449</v>
      </c>
      <c r="L609">
        <v>303</v>
      </c>
      <c r="M609" t="s">
        <v>1798</v>
      </c>
      <c r="N609">
        <v>300</v>
      </c>
      <c r="O609" t="s">
        <v>1066</v>
      </c>
      <c r="P609" s="1" t="s">
        <v>1067</v>
      </c>
      <c r="Q609" s="25">
        <v>43.681207000000001</v>
      </c>
      <c r="R609" s="25">
        <v>3.1018409999999998</v>
      </c>
      <c r="S609">
        <v>-4.3509000000000002</v>
      </c>
      <c r="T609">
        <v>16.332799999999999</v>
      </c>
      <c r="U609">
        <v>4.3509000000000002</v>
      </c>
      <c r="V609" t="s">
        <v>1538</v>
      </c>
      <c r="W609" t="s">
        <v>15</v>
      </c>
      <c r="X609" t="s">
        <v>17</v>
      </c>
      <c r="Y609" s="1" t="s">
        <v>961</v>
      </c>
    </row>
    <row r="610" spans="1:25" x14ac:dyDescent="0.25">
      <c r="A610" s="4">
        <v>1046</v>
      </c>
      <c r="B610" s="9" t="s">
        <v>1070</v>
      </c>
      <c r="C610" s="8" t="s">
        <v>29</v>
      </c>
      <c r="D610" s="6" t="s">
        <v>28</v>
      </c>
      <c r="E610" s="10">
        <v>6</v>
      </c>
      <c r="F610">
        <v>287.68545801599998</v>
      </c>
      <c r="G610">
        <v>222.17905360993299</v>
      </c>
      <c r="H610" t="s">
        <v>641</v>
      </c>
      <c r="I610" t="s">
        <v>24</v>
      </c>
      <c r="J610" t="s">
        <v>185</v>
      </c>
      <c r="K610" t="s">
        <v>1449</v>
      </c>
      <c r="L610">
        <v>303</v>
      </c>
      <c r="M610" t="s">
        <v>1798</v>
      </c>
      <c r="N610">
        <v>300</v>
      </c>
      <c r="O610" t="s">
        <v>1066</v>
      </c>
      <c r="P610" s="1" t="s">
        <v>1067</v>
      </c>
      <c r="Q610" s="25">
        <v>43.681207000000001</v>
      </c>
      <c r="R610" s="25">
        <v>3.1018409999999998</v>
      </c>
      <c r="S610">
        <v>-4.3509000000000002</v>
      </c>
      <c r="T610">
        <v>16.332799999999999</v>
      </c>
      <c r="U610">
        <v>4.3509000000000002</v>
      </c>
      <c r="V610" t="s">
        <v>1538</v>
      </c>
      <c r="W610" t="s">
        <v>15</v>
      </c>
      <c r="X610" t="s">
        <v>17</v>
      </c>
      <c r="Y610" s="1" t="s">
        <v>961</v>
      </c>
    </row>
    <row r="611" spans="1:25" x14ac:dyDescent="0.25">
      <c r="A611" s="4">
        <v>1047</v>
      </c>
      <c r="B611" s="9" t="s">
        <v>1071</v>
      </c>
      <c r="C611" s="8" t="s">
        <v>29</v>
      </c>
      <c r="D611" s="6" t="s">
        <v>28</v>
      </c>
      <c r="E611" s="10">
        <v>6</v>
      </c>
      <c r="F611">
        <v>277.86705119189099</v>
      </c>
      <c r="G611">
        <v>190.18358395802099</v>
      </c>
      <c r="H611" t="s">
        <v>641</v>
      </c>
      <c r="I611" t="s">
        <v>24</v>
      </c>
      <c r="J611" t="s">
        <v>185</v>
      </c>
      <c r="K611" t="s">
        <v>1449</v>
      </c>
      <c r="L611">
        <v>303</v>
      </c>
      <c r="M611" t="s">
        <v>1798</v>
      </c>
      <c r="N611">
        <v>300</v>
      </c>
      <c r="O611" t="s">
        <v>1066</v>
      </c>
      <c r="P611" s="1" t="s">
        <v>1067</v>
      </c>
      <c r="Q611" s="25">
        <v>43.681207000000001</v>
      </c>
      <c r="R611" s="25">
        <v>3.1018409999999998</v>
      </c>
      <c r="S611">
        <v>-4.3509000000000002</v>
      </c>
      <c r="T611">
        <v>16.332799999999999</v>
      </c>
      <c r="U611">
        <v>4.3509000000000002</v>
      </c>
      <c r="V611" t="s">
        <v>1538</v>
      </c>
      <c r="W611" t="s">
        <v>15</v>
      </c>
      <c r="X611" t="s">
        <v>17</v>
      </c>
      <c r="Y611" s="1" t="s">
        <v>961</v>
      </c>
    </row>
    <row r="612" spans="1:25" x14ac:dyDescent="0.25">
      <c r="A612" s="4">
        <v>1048</v>
      </c>
      <c r="B612" s="9" t="s">
        <v>1072</v>
      </c>
      <c r="C612" s="8" t="s">
        <v>29</v>
      </c>
      <c r="D612" s="6" t="s">
        <v>28</v>
      </c>
      <c r="E612" s="10">
        <v>6</v>
      </c>
      <c r="F612">
        <v>258.90679574090098</v>
      </c>
      <c r="G612">
        <v>135.07691963648</v>
      </c>
      <c r="H612" t="s">
        <v>641</v>
      </c>
      <c r="I612" t="s">
        <v>24</v>
      </c>
      <c r="J612" t="s">
        <v>185</v>
      </c>
      <c r="K612" t="s">
        <v>1449</v>
      </c>
      <c r="L612">
        <v>303</v>
      </c>
      <c r="M612" t="s">
        <v>1798</v>
      </c>
      <c r="N612">
        <v>300</v>
      </c>
      <c r="O612" t="s">
        <v>1066</v>
      </c>
      <c r="P612" s="1" t="s">
        <v>1067</v>
      </c>
      <c r="Q612" s="25">
        <v>43.681207000000001</v>
      </c>
      <c r="R612" s="25">
        <v>3.1018409999999998</v>
      </c>
      <c r="S612">
        <v>-4.3509000000000002</v>
      </c>
      <c r="T612">
        <v>16.332799999999999</v>
      </c>
      <c r="U612">
        <v>4.3509000000000002</v>
      </c>
      <c r="V612" t="s">
        <v>1538</v>
      </c>
      <c r="W612" t="s">
        <v>15</v>
      </c>
      <c r="X612" t="s">
        <v>17</v>
      </c>
      <c r="Y612" s="1" t="s">
        <v>961</v>
      </c>
    </row>
    <row r="613" spans="1:25" x14ac:dyDescent="0.25">
      <c r="A613" s="4">
        <v>1049</v>
      </c>
      <c r="B613" s="9" t="s">
        <v>1073</v>
      </c>
      <c r="C613" s="8" t="s">
        <v>29</v>
      </c>
      <c r="D613" s="6" t="s">
        <v>28</v>
      </c>
      <c r="E613" s="10">
        <v>6</v>
      </c>
      <c r="F613">
        <v>316.06442907077798</v>
      </c>
      <c r="G613">
        <v>114.333346499249</v>
      </c>
      <c r="H613" t="s">
        <v>641</v>
      </c>
      <c r="I613" t="s">
        <v>24</v>
      </c>
      <c r="J613" t="s">
        <v>185</v>
      </c>
      <c r="K613" t="s">
        <v>1449</v>
      </c>
      <c r="L613">
        <v>303</v>
      </c>
      <c r="M613" t="s">
        <v>1798</v>
      </c>
      <c r="N613">
        <v>300</v>
      </c>
      <c r="O613" t="s">
        <v>1066</v>
      </c>
      <c r="P613" s="1" t="s">
        <v>1067</v>
      </c>
      <c r="Q613" s="25">
        <v>43.681207000000001</v>
      </c>
      <c r="R613" s="25">
        <v>3.1018409999999998</v>
      </c>
      <c r="S613">
        <v>-4.3509000000000002</v>
      </c>
      <c r="T613">
        <v>16.332799999999999</v>
      </c>
      <c r="U613">
        <v>4.3509000000000002</v>
      </c>
      <c r="V613" t="s">
        <v>1538</v>
      </c>
      <c r="W613" t="s">
        <v>15</v>
      </c>
      <c r="X613" t="s">
        <v>17</v>
      </c>
      <c r="Y613" s="1" t="s">
        <v>961</v>
      </c>
    </row>
    <row r="614" spans="1:25" x14ac:dyDescent="0.25">
      <c r="A614" s="4">
        <v>1050</v>
      </c>
      <c r="B614" s="9" t="s">
        <v>1074</v>
      </c>
      <c r="C614" s="8" t="s">
        <v>1138</v>
      </c>
      <c r="D614" s="6" t="s">
        <v>28</v>
      </c>
      <c r="E614" s="10">
        <v>6</v>
      </c>
      <c r="F614">
        <v>203.22304052915399</v>
      </c>
      <c r="G614">
        <v>126.920186118537</v>
      </c>
      <c r="H614" t="s">
        <v>641</v>
      </c>
      <c r="I614" t="s">
        <v>24</v>
      </c>
      <c r="J614" t="s">
        <v>185</v>
      </c>
      <c r="K614" t="s">
        <v>1449</v>
      </c>
      <c r="L614">
        <v>303</v>
      </c>
      <c r="M614" t="s">
        <v>1798</v>
      </c>
      <c r="N614">
        <v>300</v>
      </c>
      <c r="O614" t="s">
        <v>1066</v>
      </c>
      <c r="P614" s="1" t="s">
        <v>1067</v>
      </c>
      <c r="Q614" s="25">
        <v>43.681207000000001</v>
      </c>
      <c r="R614" s="25">
        <v>3.1018409999999998</v>
      </c>
      <c r="S614">
        <v>-4.3509000000000002</v>
      </c>
      <c r="T614">
        <v>16.332799999999999</v>
      </c>
      <c r="U614">
        <v>4.3509000000000002</v>
      </c>
      <c r="V614" t="s">
        <v>1538</v>
      </c>
      <c r="W614" t="s">
        <v>15</v>
      </c>
      <c r="X614" t="s">
        <v>17</v>
      </c>
      <c r="Y614" s="1" t="s">
        <v>961</v>
      </c>
    </row>
    <row r="615" spans="1:25" x14ac:dyDescent="0.25">
      <c r="A615" s="4">
        <v>1051</v>
      </c>
      <c r="B615" s="9">
        <v>547011</v>
      </c>
      <c r="C615" s="8" t="s">
        <v>717</v>
      </c>
      <c r="D615" s="6" t="s">
        <v>28</v>
      </c>
      <c r="E615" s="10">
        <v>6</v>
      </c>
      <c r="F615">
        <v>287.82519757759798</v>
      </c>
      <c r="G615">
        <v>178.47564292992701</v>
      </c>
      <c r="H615" t="s">
        <v>92</v>
      </c>
      <c r="I615" t="s">
        <v>24</v>
      </c>
      <c r="J615" t="s">
        <v>185</v>
      </c>
      <c r="K615" t="s">
        <v>313</v>
      </c>
      <c r="L615">
        <v>301</v>
      </c>
      <c r="M615" t="s">
        <v>1798</v>
      </c>
      <c r="N615">
        <v>300</v>
      </c>
      <c r="O615" t="s">
        <v>1438</v>
      </c>
      <c r="P615" s="1" t="s">
        <v>1076</v>
      </c>
      <c r="Q615" s="25">
        <v>37.244306999999999</v>
      </c>
      <c r="R615" s="25">
        <v>-109.73989400000001</v>
      </c>
      <c r="S615">
        <v>5.4966999999999997</v>
      </c>
      <c r="T615">
        <v>-40.578099999999999</v>
      </c>
      <c r="U615">
        <v>5.4966999999999997</v>
      </c>
      <c r="V615" t="s">
        <v>1538</v>
      </c>
      <c r="W615" t="s">
        <v>14</v>
      </c>
      <c r="X615" t="s">
        <v>18</v>
      </c>
      <c r="Y615" s="1" t="s">
        <v>1077</v>
      </c>
    </row>
    <row r="616" spans="1:25" x14ac:dyDescent="0.25">
      <c r="A616" s="4">
        <v>1053</v>
      </c>
      <c r="B616" s="9" t="s">
        <v>1086</v>
      </c>
      <c r="C616" s="8" t="s">
        <v>1138</v>
      </c>
      <c r="D616" s="6" t="s">
        <v>59</v>
      </c>
      <c r="E616" s="10">
        <v>5</v>
      </c>
      <c r="F616">
        <v>0.83793293580762795</v>
      </c>
      <c r="G616">
        <v>0.22271072809542899</v>
      </c>
      <c r="H616" t="s">
        <v>641</v>
      </c>
      <c r="I616" t="s">
        <v>266</v>
      </c>
      <c r="J616" t="s">
        <v>267</v>
      </c>
      <c r="K616" t="s">
        <v>1454</v>
      </c>
      <c r="L616">
        <v>292</v>
      </c>
      <c r="M616" t="s">
        <v>1798</v>
      </c>
      <c r="N616">
        <v>300</v>
      </c>
      <c r="O616" s="1" t="s">
        <v>1084</v>
      </c>
      <c r="P616" s="1" t="s">
        <v>1085</v>
      </c>
      <c r="Q616" s="25">
        <v>43.874834999999997</v>
      </c>
      <c r="R616" s="25">
        <v>2.9996369999999999</v>
      </c>
      <c r="S616">
        <v>-4.1765999999999996</v>
      </c>
      <c r="T616">
        <v>16.220300000000002</v>
      </c>
      <c r="U616">
        <v>4.1765999999999996</v>
      </c>
      <c r="V616" t="s">
        <v>1538</v>
      </c>
      <c r="W616" t="s">
        <v>15</v>
      </c>
      <c r="X616" t="s">
        <v>17</v>
      </c>
      <c r="Y616" s="1" t="s">
        <v>1083</v>
      </c>
    </row>
    <row r="617" spans="1:25" x14ac:dyDescent="0.25">
      <c r="A617" s="4">
        <v>1055</v>
      </c>
      <c r="B617" s="9" t="s">
        <v>1104</v>
      </c>
      <c r="C617" s="8" t="s">
        <v>1095</v>
      </c>
      <c r="D617" s="6" t="s">
        <v>60</v>
      </c>
      <c r="E617" s="10">
        <v>5</v>
      </c>
      <c r="F617">
        <v>1.1280067266012801</v>
      </c>
      <c r="G617">
        <v>0.30591690806357003</v>
      </c>
      <c r="H617" t="s">
        <v>398</v>
      </c>
      <c r="I617" t="s">
        <v>266</v>
      </c>
      <c r="J617" t="s">
        <v>267</v>
      </c>
      <c r="K617" t="s">
        <v>1276</v>
      </c>
      <c r="L617">
        <v>296</v>
      </c>
      <c r="M617" t="s">
        <v>1798</v>
      </c>
      <c r="N617">
        <v>300</v>
      </c>
      <c r="O617" t="s">
        <v>1088</v>
      </c>
      <c r="P617" s="1" t="s">
        <v>1105</v>
      </c>
      <c r="Q617" s="25">
        <v>50.574950999999999</v>
      </c>
      <c r="R617" s="25">
        <v>15.272573</v>
      </c>
      <c r="S617">
        <v>4.5778999999999996</v>
      </c>
      <c r="T617">
        <v>22.327000000000002</v>
      </c>
      <c r="U617">
        <v>4.5778999999999996</v>
      </c>
      <c r="V617" t="s">
        <v>1538</v>
      </c>
      <c r="W617" t="s">
        <v>15</v>
      </c>
      <c r="X617" t="s">
        <v>17</v>
      </c>
      <c r="Y617" s="1" t="s">
        <v>1091</v>
      </c>
    </row>
    <row r="618" spans="1:25" x14ac:dyDescent="0.25">
      <c r="A618" s="4">
        <v>1057</v>
      </c>
      <c r="B618" s="9" t="s">
        <v>1097</v>
      </c>
      <c r="C618" s="8" t="s">
        <v>1095</v>
      </c>
      <c r="D618" s="6" t="s">
        <v>1093</v>
      </c>
      <c r="E618" s="10">
        <v>6</v>
      </c>
      <c r="F618">
        <v>18.0056591148936</v>
      </c>
      <c r="G618">
        <v>9.4000276797076996</v>
      </c>
      <c r="H618" t="s">
        <v>398</v>
      </c>
      <c r="I618" t="s">
        <v>266</v>
      </c>
      <c r="J618" t="s">
        <v>267</v>
      </c>
      <c r="K618" t="s">
        <v>1452</v>
      </c>
      <c r="L618">
        <v>294</v>
      </c>
      <c r="M618" t="s">
        <v>1798</v>
      </c>
      <c r="N618">
        <v>300</v>
      </c>
      <c r="O618" t="s">
        <v>1088</v>
      </c>
      <c r="P618" s="1" t="s">
        <v>1087</v>
      </c>
      <c r="Q618" s="25">
        <v>50.558453</v>
      </c>
      <c r="R618" s="25">
        <v>15.68333</v>
      </c>
      <c r="S618">
        <v>4.6562000000000001</v>
      </c>
      <c r="T618">
        <v>22.577200000000001</v>
      </c>
      <c r="U618">
        <v>4.6562000000000001</v>
      </c>
      <c r="V618" t="s">
        <v>1538</v>
      </c>
      <c r="W618" t="s">
        <v>15</v>
      </c>
      <c r="X618" t="s">
        <v>17</v>
      </c>
      <c r="Y618" s="1" t="s">
        <v>1091</v>
      </c>
    </row>
    <row r="619" spans="1:25" x14ac:dyDescent="0.25">
      <c r="A619" s="4">
        <v>1058</v>
      </c>
      <c r="B619" s="9" t="s">
        <v>1099</v>
      </c>
      <c r="C619" s="8" t="s">
        <v>1095</v>
      </c>
      <c r="D619" s="6" t="s">
        <v>1094</v>
      </c>
      <c r="E619" s="10">
        <v>6</v>
      </c>
      <c r="F619">
        <v>9.4874184090705906</v>
      </c>
      <c r="G619">
        <v>6.1510733986643302</v>
      </c>
      <c r="H619" t="s">
        <v>398</v>
      </c>
      <c r="I619" t="s">
        <v>266</v>
      </c>
      <c r="J619" t="s">
        <v>267</v>
      </c>
      <c r="K619" t="s">
        <v>1452</v>
      </c>
      <c r="L619">
        <v>294</v>
      </c>
      <c r="M619" t="s">
        <v>1798</v>
      </c>
      <c r="N619">
        <v>300</v>
      </c>
      <c r="O619" t="s">
        <v>1088</v>
      </c>
      <c r="P619" s="1" t="s">
        <v>1087</v>
      </c>
      <c r="Q619" s="25">
        <v>50.558453</v>
      </c>
      <c r="R619" s="25">
        <v>15.68333</v>
      </c>
      <c r="S619">
        <v>4.6562000000000001</v>
      </c>
      <c r="T619">
        <v>22.577200000000001</v>
      </c>
      <c r="U619">
        <v>4.6562000000000001</v>
      </c>
      <c r="V619" t="s">
        <v>1538</v>
      </c>
      <c r="W619" t="s">
        <v>15</v>
      </c>
      <c r="X619" t="s">
        <v>17</v>
      </c>
      <c r="Y619" s="1" t="s">
        <v>1091</v>
      </c>
    </row>
    <row r="620" spans="1:25" x14ac:dyDescent="0.25">
      <c r="A620" s="4">
        <v>1059</v>
      </c>
      <c r="B620" s="9" t="s">
        <v>1100</v>
      </c>
      <c r="C620" s="8" t="s">
        <v>1095</v>
      </c>
      <c r="D620" s="6" t="s">
        <v>1094</v>
      </c>
      <c r="E620" s="10">
        <v>6</v>
      </c>
      <c r="F620">
        <v>10.7046916868973</v>
      </c>
      <c r="G620">
        <v>7.3461559174949098</v>
      </c>
      <c r="H620" t="s">
        <v>398</v>
      </c>
      <c r="I620" t="s">
        <v>266</v>
      </c>
      <c r="J620" t="s">
        <v>267</v>
      </c>
      <c r="K620" t="s">
        <v>1452</v>
      </c>
      <c r="L620">
        <v>294</v>
      </c>
      <c r="M620" t="s">
        <v>1798</v>
      </c>
      <c r="N620">
        <v>300</v>
      </c>
      <c r="O620" t="s">
        <v>1088</v>
      </c>
      <c r="P620" s="1" t="s">
        <v>1087</v>
      </c>
      <c r="Q620" s="25">
        <v>50.558453</v>
      </c>
      <c r="R620" s="25">
        <v>15.68333</v>
      </c>
      <c r="S620">
        <v>4.6562000000000001</v>
      </c>
      <c r="T620">
        <v>22.577200000000001</v>
      </c>
      <c r="U620">
        <v>4.6562000000000001</v>
      </c>
      <c r="V620" t="s">
        <v>1538</v>
      </c>
      <c r="W620" t="s">
        <v>15</v>
      </c>
      <c r="X620" t="s">
        <v>17</v>
      </c>
      <c r="Y620" s="1" t="s">
        <v>1091</v>
      </c>
    </row>
    <row r="621" spans="1:25" x14ac:dyDescent="0.25">
      <c r="A621" s="4">
        <v>1060</v>
      </c>
      <c r="B621" s="9" t="s">
        <v>1107</v>
      </c>
      <c r="C621" s="8" t="s">
        <v>1095</v>
      </c>
      <c r="D621" s="6" t="s">
        <v>1106</v>
      </c>
      <c r="E621" s="10">
        <v>6</v>
      </c>
      <c r="F621">
        <v>14.327482976819899</v>
      </c>
      <c r="G621">
        <v>5.0427481996933299</v>
      </c>
      <c r="H621" t="s">
        <v>398</v>
      </c>
      <c r="I621" t="s">
        <v>266</v>
      </c>
      <c r="J621" t="s">
        <v>267</v>
      </c>
      <c r="K621" t="s">
        <v>1452</v>
      </c>
      <c r="L621">
        <v>294</v>
      </c>
      <c r="M621" t="s">
        <v>1798</v>
      </c>
      <c r="N621">
        <v>300</v>
      </c>
      <c r="O621" t="s">
        <v>1088</v>
      </c>
      <c r="P621" s="1" t="s">
        <v>1087</v>
      </c>
      <c r="Q621" s="25">
        <v>50.558453</v>
      </c>
      <c r="R621" s="25">
        <v>15.68333</v>
      </c>
      <c r="S621">
        <v>4.6562000000000001</v>
      </c>
      <c r="T621">
        <v>22.577200000000001</v>
      </c>
      <c r="U621">
        <v>4.6562000000000001</v>
      </c>
      <c r="V621" t="s">
        <v>1538</v>
      </c>
      <c r="W621" t="s">
        <v>15</v>
      </c>
      <c r="X621" t="s">
        <v>17</v>
      </c>
      <c r="Y621" s="1" t="s">
        <v>1091</v>
      </c>
    </row>
    <row r="622" spans="1:25" x14ac:dyDescent="0.25">
      <c r="A622" s="4">
        <v>1061</v>
      </c>
      <c r="B622" s="9" t="s">
        <v>1108</v>
      </c>
      <c r="C622" s="8" t="s">
        <v>1095</v>
      </c>
      <c r="D622" s="6" t="s">
        <v>1109</v>
      </c>
      <c r="E622" s="10">
        <v>6</v>
      </c>
      <c r="F622">
        <v>10.762177494365501</v>
      </c>
      <c r="G622">
        <v>3.94660078409441</v>
      </c>
      <c r="H622" t="s">
        <v>398</v>
      </c>
      <c r="I622" t="s">
        <v>266</v>
      </c>
      <c r="J622" t="s">
        <v>267</v>
      </c>
      <c r="K622" t="s">
        <v>1452</v>
      </c>
      <c r="L622">
        <v>294</v>
      </c>
      <c r="M622" t="s">
        <v>1798</v>
      </c>
      <c r="N622">
        <v>300</v>
      </c>
      <c r="O622" t="s">
        <v>1088</v>
      </c>
      <c r="P622" s="1" t="s">
        <v>1087</v>
      </c>
      <c r="Q622" s="25">
        <v>50.558453</v>
      </c>
      <c r="R622" s="25">
        <v>15.68333</v>
      </c>
      <c r="S622">
        <v>4.6562000000000001</v>
      </c>
      <c r="T622">
        <v>22.577200000000001</v>
      </c>
      <c r="U622">
        <v>4.6562000000000001</v>
      </c>
      <c r="V622" t="s">
        <v>1538</v>
      </c>
      <c r="W622" t="s">
        <v>15</v>
      </c>
      <c r="X622" t="s">
        <v>17</v>
      </c>
      <c r="Y622" s="1" t="s">
        <v>1091</v>
      </c>
    </row>
    <row r="623" spans="1:25" x14ac:dyDescent="0.25">
      <c r="A623" s="4">
        <v>1062</v>
      </c>
      <c r="B623" s="9" t="s">
        <v>1110</v>
      </c>
      <c r="C623" s="8" t="s">
        <v>1095</v>
      </c>
      <c r="D623" s="6" t="s">
        <v>1109</v>
      </c>
      <c r="E623" s="10">
        <v>6</v>
      </c>
      <c r="F623">
        <v>13.21068800043</v>
      </c>
      <c r="G623">
        <v>5.9759222858707801</v>
      </c>
      <c r="H623" t="s">
        <v>398</v>
      </c>
      <c r="I623" t="s">
        <v>266</v>
      </c>
      <c r="J623" t="s">
        <v>267</v>
      </c>
      <c r="K623" t="s">
        <v>1452</v>
      </c>
      <c r="L623">
        <v>294</v>
      </c>
      <c r="M623" t="s">
        <v>1798</v>
      </c>
      <c r="N623">
        <v>300</v>
      </c>
      <c r="O623" t="s">
        <v>1088</v>
      </c>
      <c r="P623" s="1" t="s">
        <v>1087</v>
      </c>
      <c r="Q623" s="25">
        <v>50.558453</v>
      </c>
      <c r="R623" s="25">
        <v>15.68333</v>
      </c>
      <c r="S623">
        <v>4.6562000000000001</v>
      </c>
      <c r="T623">
        <v>22.577200000000001</v>
      </c>
      <c r="U623">
        <v>4.6562000000000001</v>
      </c>
      <c r="V623" t="s">
        <v>1538</v>
      </c>
      <c r="W623" t="s">
        <v>15</v>
      </c>
      <c r="X623" t="s">
        <v>17</v>
      </c>
      <c r="Y623" s="1" t="s">
        <v>1091</v>
      </c>
    </row>
    <row r="624" spans="1:25" x14ac:dyDescent="0.25">
      <c r="A624" s="4">
        <v>1063</v>
      </c>
      <c r="B624" s="9" t="s">
        <v>1111</v>
      </c>
      <c r="C624" s="8" t="s">
        <v>1095</v>
      </c>
      <c r="D624" s="6" t="s">
        <v>60</v>
      </c>
      <c r="E624" s="10">
        <v>5</v>
      </c>
      <c r="F624">
        <v>2.8101472857049101</v>
      </c>
      <c r="G624">
        <v>1.1256121953225799</v>
      </c>
      <c r="H624" t="s">
        <v>398</v>
      </c>
      <c r="I624" t="s">
        <v>266</v>
      </c>
      <c r="J624" t="s">
        <v>267</v>
      </c>
      <c r="K624" t="s">
        <v>1452</v>
      </c>
      <c r="L624">
        <v>294</v>
      </c>
      <c r="M624" t="s">
        <v>1798</v>
      </c>
      <c r="N624">
        <v>300</v>
      </c>
      <c r="O624" t="s">
        <v>1088</v>
      </c>
      <c r="P624" s="1" t="s">
        <v>1087</v>
      </c>
      <c r="Q624" s="25">
        <v>50.558453</v>
      </c>
      <c r="R624" s="25">
        <v>15.68333</v>
      </c>
      <c r="S624">
        <v>4.6562000000000001</v>
      </c>
      <c r="T624">
        <v>22.577200000000001</v>
      </c>
      <c r="U624">
        <v>4.6562000000000001</v>
      </c>
      <c r="V624" t="s">
        <v>1538</v>
      </c>
      <c r="W624" t="s">
        <v>15</v>
      </c>
      <c r="X624" t="s">
        <v>17</v>
      </c>
      <c r="Y624" s="1" t="s">
        <v>1091</v>
      </c>
    </row>
    <row r="625" spans="1:25" x14ac:dyDescent="0.25">
      <c r="A625" s="4">
        <v>1064</v>
      </c>
      <c r="B625" s="9" t="s">
        <v>1110</v>
      </c>
      <c r="C625" s="8" t="s">
        <v>1095</v>
      </c>
      <c r="D625" s="6" t="s">
        <v>534</v>
      </c>
      <c r="E625" s="10">
        <v>6</v>
      </c>
      <c r="F625">
        <v>19.8313838095535</v>
      </c>
      <c r="G625">
        <v>12.6047865056499</v>
      </c>
      <c r="H625" t="s">
        <v>398</v>
      </c>
      <c r="I625" t="s">
        <v>266</v>
      </c>
      <c r="J625" t="s">
        <v>267</v>
      </c>
      <c r="K625" t="s">
        <v>1452</v>
      </c>
      <c r="L625">
        <v>294</v>
      </c>
      <c r="M625" t="s">
        <v>1798</v>
      </c>
      <c r="N625">
        <v>300</v>
      </c>
      <c r="O625" t="s">
        <v>1088</v>
      </c>
      <c r="P625" s="1" t="s">
        <v>1087</v>
      </c>
      <c r="Q625" s="25">
        <v>50.558453</v>
      </c>
      <c r="R625" s="25">
        <v>15.68333</v>
      </c>
      <c r="S625">
        <v>4.6562000000000001</v>
      </c>
      <c r="T625">
        <v>22.577200000000001</v>
      </c>
      <c r="U625">
        <v>4.6562000000000001</v>
      </c>
      <c r="V625" t="s">
        <v>1538</v>
      </c>
      <c r="W625" t="s">
        <v>15</v>
      </c>
      <c r="X625" t="s">
        <v>17</v>
      </c>
      <c r="Y625" s="1" t="s">
        <v>1091</v>
      </c>
    </row>
    <row r="626" spans="1:25" x14ac:dyDescent="0.25">
      <c r="A626" s="4">
        <v>1065</v>
      </c>
      <c r="B626" s="9" t="s">
        <v>1112</v>
      </c>
      <c r="C626" s="8" t="s">
        <v>1095</v>
      </c>
      <c r="D626" s="6" t="s">
        <v>534</v>
      </c>
      <c r="E626" s="10">
        <v>6</v>
      </c>
      <c r="F626">
        <v>31.4786284589517</v>
      </c>
      <c r="G626">
        <v>17.676794093553401</v>
      </c>
      <c r="H626" t="s">
        <v>398</v>
      </c>
      <c r="I626" t="s">
        <v>266</v>
      </c>
      <c r="J626" t="s">
        <v>267</v>
      </c>
      <c r="K626" t="s">
        <v>1452</v>
      </c>
      <c r="L626">
        <v>294</v>
      </c>
      <c r="M626" t="s">
        <v>1798</v>
      </c>
      <c r="N626">
        <v>300</v>
      </c>
      <c r="O626" t="s">
        <v>1088</v>
      </c>
      <c r="P626" s="1" t="s">
        <v>1087</v>
      </c>
      <c r="Q626" s="25">
        <v>50.558453</v>
      </c>
      <c r="R626" s="25">
        <v>15.68333</v>
      </c>
      <c r="S626">
        <v>4.6562000000000001</v>
      </c>
      <c r="T626">
        <v>22.577200000000001</v>
      </c>
      <c r="U626">
        <v>4.6562000000000001</v>
      </c>
      <c r="V626" t="s">
        <v>1538</v>
      </c>
      <c r="W626" t="s">
        <v>15</v>
      </c>
      <c r="X626" t="s">
        <v>17</v>
      </c>
      <c r="Y626" s="1" t="s">
        <v>1091</v>
      </c>
    </row>
    <row r="627" spans="1:25" x14ac:dyDescent="0.25">
      <c r="A627" s="4">
        <v>1066</v>
      </c>
      <c r="B627" s="9" t="s">
        <v>1113</v>
      </c>
      <c r="C627" s="8" t="s">
        <v>1095</v>
      </c>
      <c r="D627" s="6" t="s">
        <v>534</v>
      </c>
      <c r="E627" s="10">
        <v>6</v>
      </c>
      <c r="F627">
        <v>34.818183611151802</v>
      </c>
      <c r="G627">
        <v>22.335408565623101</v>
      </c>
      <c r="H627" t="s">
        <v>398</v>
      </c>
      <c r="I627" t="s">
        <v>266</v>
      </c>
      <c r="J627" t="s">
        <v>267</v>
      </c>
      <c r="K627" t="s">
        <v>1452</v>
      </c>
      <c r="L627">
        <v>294</v>
      </c>
      <c r="M627" t="s">
        <v>1798</v>
      </c>
      <c r="N627">
        <v>300</v>
      </c>
      <c r="O627" t="s">
        <v>1088</v>
      </c>
      <c r="P627" s="1" t="s">
        <v>1087</v>
      </c>
      <c r="Q627" s="25">
        <v>50.558453</v>
      </c>
      <c r="R627" s="25">
        <v>15.68333</v>
      </c>
      <c r="S627">
        <v>4.6562000000000001</v>
      </c>
      <c r="T627">
        <v>22.577200000000001</v>
      </c>
      <c r="U627">
        <v>4.6562000000000001</v>
      </c>
      <c r="V627" t="s">
        <v>1538</v>
      </c>
      <c r="W627" t="s">
        <v>15</v>
      </c>
      <c r="X627" t="s">
        <v>17</v>
      </c>
      <c r="Y627" s="1" t="s">
        <v>1091</v>
      </c>
    </row>
    <row r="628" spans="1:25" x14ac:dyDescent="0.25">
      <c r="A628" s="4">
        <v>1067</v>
      </c>
      <c r="B628" s="9" t="s">
        <v>49</v>
      </c>
      <c r="C628" s="8" t="s">
        <v>1095</v>
      </c>
      <c r="D628" s="6" t="s">
        <v>534</v>
      </c>
      <c r="E628" s="10">
        <v>6</v>
      </c>
      <c r="F628">
        <v>31.276751561267002</v>
      </c>
      <c r="G628">
        <v>16.651155441400402</v>
      </c>
      <c r="H628" t="s">
        <v>398</v>
      </c>
      <c r="I628" t="s">
        <v>266</v>
      </c>
      <c r="J628" t="s">
        <v>267</v>
      </c>
      <c r="K628" t="s">
        <v>1452</v>
      </c>
      <c r="L628">
        <v>294</v>
      </c>
      <c r="M628" t="s">
        <v>1798</v>
      </c>
      <c r="N628">
        <v>300</v>
      </c>
      <c r="O628" t="s">
        <v>1088</v>
      </c>
      <c r="P628" s="1" t="s">
        <v>1087</v>
      </c>
      <c r="Q628" s="25">
        <v>50.558453</v>
      </c>
      <c r="R628" s="25">
        <v>15.68333</v>
      </c>
      <c r="S628">
        <v>4.6562000000000001</v>
      </c>
      <c r="T628">
        <v>22.577200000000001</v>
      </c>
      <c r="U628">
        <v>4.6562000000000001</v>
      </c>
      <c r="V628" t="s">
        <v>1538</v>
      </c>
      <c r="W628" t="s">
        <v>15</v>
      </c>
      <c r="X628" t="s">
        <v>17</v>
      </c>
      <c r="Y628" s="1" t="s">
        <v>1091</v>
      </c>
    </row>
    <row r="629" spans="1:25" x14ac:dyDescent="0.25">
      <c r="A629" s="4">
        <v>1068</v>
      </c>
      <c r="B629" s="9" t="s">
        <v>1114</v>
      </c>
      <c r="C629" s="8" t="s">
        <v>1095</v>
      </c>
      <c r="D629" s="6" t="s">
        <v>219</v>
      </c>
      <c r="E629" s="10">
        <v>6</v>
      </c>
      <c r="F629">
        <v>17.757224716441499</v>
      </c>
      <c r="G629">
        <v>7.8848899665513503</v>
      </c>
      <c r="H629" t="s">
        <v>398</v>
      </c>
      <c r="I629" t="s">
        <v>266</v>
      </c>
      <c r="J629" t="s">
        <v>267</v>
      </c>
      <c r="K629" t="s">
        <v>1452</v>
      </c>
      <c r="L629">
        <v>294</v>
      </c>
      <c r="M629" t="s">
        <v>1798</v>
      </c>
      <c r="N629">
        <v>300</v>
      </c>
      <c r="O629" t="s">
        <v>1088</v>
      </c>
      <c r="P629" s="1" t="s">
        <v>1087</v>
      </c>
      <c r="Q629" s="25">
        <v>50.558453</v>
      </c>
      <c r="R629" s="25">
        <v>15.68333</v>
      </c>
      <c r="S629">
        <v>4.6562000000000001</v>
      </c>
      <c r="T629">
        <v>22.577200000000001</v>
      </c>
      <c r="U629">
        <v>4.6562000000000001</v>
      </c>
      <c r="V629" t="s">
        <v>1538</v>
      </c>
      <c r="W629" t="s">
        <v>15</v>
      </c>
      <c r="X629" t="s">
        <v>17</v>
      </c>
      <c r="Y629" s="1" t="s">
        <v>1091</v>
      </c>
    </row>
    <row r="630" spans="1:25" x14ac:dyDescent="0.25">
      <c r="A630" s="4">
        <v>1069</v>
      </c>
      <c r="B630" s="9" t="s">
        <v>1117</v>
      </c>
      <c r="C630" s="8" t="s">
        <v>1095</v>
      </c>
      <c r="D630" s="6" t="s">
        <v>219</v>
      </c>
      <c r="E630" s="10">
        <v>6</v>
      </c>
      <c r="F630">
        <v>9.8750964545110094</v>
      </c>
      <c r="G630">
        <v>4.9375482272554896</v>
      </c>
      <c r="H630" t="s">
        <v>398</v>
      </c>
      <c r="I630" t="s">
        <v>266</v>
      </c>
      <c r="J630" t="s">
        <v>267</v>
      </c>
      <c r="K630" t="s">
        <v>1452</v>
      </c>
      <c r="L630">
        <v>294</v>
      </c>
      <c r="M630" t="s">
        <v>1798</v>
      </c>
      <c r="N630">
        <v>300</v>
      </c>
      <c r="O630" t="s">
        <v>1088</v>
      </c>
      <c r="P630" s="1" t="s">
        <v>1087</v>
      </c>
      <c r="Q630" s="25">
        <v>50.558453</v>
      </c>
      <c r="R630" s="25">
        <v>15.68333</v>
      </c>
      <c r="S630">
        <v>4.6562000000000001</v>
      </c>
      <c r="T630">
        <v>22.577200000000001</v>
      </c>
      <c r="U630">
        <v>4.6562000000000001</v>
      </c>
      <c r="V630" t="s">
        <v>1538</v>
      </c>
      <c r="W630" t="s">
        <v>15</v>
      </c>
      <c r="X630" t="s">
        <v>17</v>
      </c>
      <c r="Y630" s="1" t="s">
        <v>1091</v>
      </c>
    </row>
    <row r="631" spans="1:25" x14ac:dyDescent="0.25">
      <c r="A631" s="4">
        <v>1070</v>
      </c>
      <c r="B631" s="9" t="s">
        <v>1118</v>
      </c>
      <c r="C631" s="8" t="s">
        <v>1095</v>
      </c>
      <c r="D631" s="6" t="s">
        <v>219</v>
      </c>
      <c r="E631" s="10">
        <v>6</v>
      </c>
      <c r="F631">
        <v>10.297001702220999</v>
      </c>
      <c r="G631">
        <v>3.1826644946232698</v>
      </c>
      <c r="H631" t="s">
        <v>398</v>
      </c>
      <c r="I631" t="s">
        <v>266</v>
      </c>
      <c r="J631" t="s">
        <v>267</v>
      </c>
      <c r="K631" t="s">
        <v>1452</v>
      </c>
      <c r="L631">
        <v>294</v>
      </c>
      <c r="M631" t="s">
        <v>1798</v>
      </c>
      <c r="N631">
        <v>300</v>
      </c>
      <c r="O631" t="s">
        <v>1088</v>
      </c>
      <c r="P631" s="1" t="s">
        <v>1087</v>
      </c>
      <c r="Q631" s="25">
        <v>50.558453</v>
      </c>
      <c r="R631" s="25">
        <v>15.68333</v>
      </c>
      <c r="S631">
        <v>4.6562000000000001</v>
      </c>
      <c r="T631">
        <v>22.577200000000001</v>
      </c>
      <c r="U631">
        <v>4.6562000000000001</v>
      </c>
      <c r="V631" t="s">
        <v>1538</v>
      </c>
      <c r="W631" t="s">
        <v>15</v>
      </c>
      <c r="X631" t="s">
        <v>17</v>
      </c>
      <c r="Y631" s="1" t="s">
        <v>1091</v>
      </c>
    </row>
    <row r="632" spans="1:25" x14ac:dyDescent="0.25">
      <c r="A632" s="4">
        <v>1071</v>
      </c>
      <c r="B632" s="9" t="s">
        <v>1119</v>
      </c>
      <c r="C632" s="8" t="s">
        <v>1095</v>
      </c>
      <c r="D632" s="6" t="s">
        <v>534</v>
      </c>
      <c r="E632" s="10">
        <v>6</v>
      </c>
      <c r="F632">
        <v>14.2455726030816</v>
      </c>
      <c r="G632">
        <v>6.6468288112768104</v>
      </c>
      <c r="H632" t="s">
        <v>398</v>
      </c>
      <c r="I632" t="s">
        <v>266</v>
      </c>
      <c r="J632" t="s">
        <v>267</v>
      </c>
      <c r="K632" t="s">
        <v>1452</v>
      </c>
      <c r="L632">
        <v>294</v>
      </c>
      <c r="M632" t="s">
        <v>1798</v>
      </c>
      <c r="N632">
        <v>300</v>
      </c>
      <c r="O632" t="s">
        <v>1088</v>
      </c>
      <c r="P632" s="1" t="s">
        <v>1087</v>
      </c>
      <c r="Q632" s="25">
        <v>50.558453</v>
      </c>
      <c r="R632" s="25">
        <v>15.68333</v>
      </c>
      <c r="S632">
        <v>4.6562000000000001</v>
      </c>
      <c r="T632">
        <v>22.577200000000001</v>
      </c>
      <c r="U632">
        <v>4.6562000000000001</v>
      </c>
      <c r="V632" t="s">
        <v>1538</v>
      </c>
      <c r="W632" t="s">
        <v>15</v>
      </c>
      <c r="X632" t="s">
        <v>17</v>
      </c>
      <c r="Y632" s="1" t="s">
        <v>1091</v>
      </c>
    </row>
    <row r="633" spans="1:25" x14ac:dyDescent="0.25">
      <c r="A633" s="4">
        <v>1073</v>
      </c>
      <c r="B633" s="9" t="s">
        <v>1124</v>
      </c>
      <c r="C633" s="8" t="s">
        <v>1095</v>
      </c>
      <c r="D633" s="6" t="s">
        <v>1123</v>
      </c>
      <c r="E633" s="10">
        <v>6</v>
      </c>
      <c r="F633">
        <v>8.5001956397551908</v>
      </c>
      <c r="G633">
        <v>2.2680181889581701</v>
      </c>
      <c r="H633" t="s">
        <v>398</v>
      </c>
      <c r="I633" t="s">
        <v>266</v>
      </c>
      <c r="J633" t="s">
        <v>267</v>
      </c>
      <c r="K633" t="s">
        <v>1452</v>
      </c>
      <c r="L633">
        <v>294</v>
      </c>
      <c r="M633" t="s">
        <v>1798</v>
      </c>
      <c r="N633">
        <v>300</v>
      </c>
      <c r="O633" t="s">
        <v>1088</v>
      </c>
      <c r="P633" s="1" t="s">
        <v>1087</v>
      </c>
      <c r="Q633" s="25">
        <v>50.558453</v>
      </c>
      <c r="R633" s="25">
        <v>15.68333</v>
      </c>
      <c r="S633">
        <v>4.6562000000000001</v>
      </c>
      <c r="T633">
        <v>22.577200000000001</v>
      </c>
      <c r="U633">
        <v>4.6562000000000001</v>
      </c>
      <c r="V633" t="s">
        <v>1538</v>
      </c>
      <c r="W633" t="s">
        <v>15</v>
      </c>
      <c r="X633" t="s">
        <v>17</v>
      </c>
      <c r="Y633" s="1" t="s">
        <v>1091</v>
      </c>
    </row>
    <row r="634" spans="1:25" x14ac:dyDescent="0.25">
      <c r="A634" s="4">
        <v>1075</v>
      </c>
      <c r="B634" s="9" t="s">
        <v>1125</v>
      </c>
      <c r="C634" s="8" t="s">
        <v>1095</v>
      </c>
      <c r="D634" s="6" t="s">
        <v>1123</v>
      </c>
      <c r="E634" s="10">
        <v>6</v>
      </c>
      <c r="F634">
        <v>7.8875360235759002</v>
      </c>
      <c r="G634">
        <v>2.99487651990174</v>
      </c>
      <c r="H634" t="s">
        <v>398</v>
      </c>
      <c r="I634" t="s">
        <v>266</v>
      </c>
      <c r="J634" t="s">
        <v>267</v>
      </c>
      <c r="K634" t="s">
        <v>1452</v>
      </c>
      <c r="L634">
        <v>294</v>
      </c>
      <c r="M634" t="s">
        <v>1798</v>
      </c>
      <c r="N634">
        <v>300</v>
      </c>
      <c r="O634" t="s">
        <v>1088</v>
      </c>
      <c r="P634" s="1" t="s">
        <v>1087</v>
      </c>
      <c r="Q634" s="25">
        <v>50.558453</v>
      </c>
      <c r="R634" s="25">
        <v>15.68333</v>
      </c>
      <c r="S634">
        <v>4.6562000000000001</v>
      </c>
      <c r="T634">
        <v>22.577200000000001</v>
      </c>
      <c r="U634">
        <v>4.6562000000000001</v>
      </c>
      <c r="V634" t="s">
        <v>1538</v>
      </c>
      <c r="W634" t="s">
        <v>15</v>
      </c>
      <c r="X634" t="s">
        <v>17</v>
      </c>
      <c r="Y634" s="1" t="s">
        <v>1091</v>
      </c>
    </row>
    <row r="635" spans="1:25" x14ac:dyDescent="0.25">
      <c r="A635" s="4">
        <v>1076</v>
      </c>
      <c r="B635" s="9" t="s">
        <v>1126</v>
      </c>
      <c r="C635" s="8" t="s">
        <v>1095</v>
      </c>
      <c r="D635" s="6" t="s">
        <v>219</v>
      </c>
      <c r="E635" s="10">
        <v>6</v>
      </c>
      <c r="F635">
        <v>11.7461321522012</v>
      </c>
      <c r="G635">
        <v>6.4817462775322596</v>
      </c>
      <c r="H635" t="s">
        <v>398</v>
      </c>
      <c r="I635" t="s">
        <v>266</v>
      </c>
      <c r="J635" t="s">
        <v>267</v>
      </c>
      <c r="K635" t="s">
        <v>1452</v>
      </c>
      <c r="L635">
        <v>294</v>
      </c>
      <c r="M635" t="s">
        <v>1798</v>
      </c>
      <c r="N635">
        <v>300</v>
      </c>
      <c r="O635" t="s">
        <v>1088</v>
      </c>
      <c r="P635" s="1" t="s">
        <v>1087</v>
      </c>
      <c r="Q635" s="25">
        <v>50.558453</v>
      </c>
      <c r="R635" s="25">
        <v>15.68333</v>
      </c>
      <c r="S635">
        <v>4.6562000000000001</v>
      </c>
      <c r="T635">
        <v>22.577200000000001</v>
      </c>
      <c r="U635">
        <v>4.6562000000000001</v>
      </c>
      <c r="V635" t="s">
        <v>1538</v>
      </c>
      <c r="W635" t="s">
        <v>15</v>
      </c>
      <c r="X635" t="s">
        <v>17</v>
      </c>
      <c r="Y635" s="1" t="s">
        <v>1091</v>
      </c>
    </row>
    <row r="636" spans="1:25" x14ac:dyDescent="0.25">
      <c r="A636" s="4">
        <v>1077</v>
      </c>
      <c r="B636" s="9">
        <v>615</v>
      </c>
      <c r="C636" s="8" t="s">
        <v>1238</v>
      </c>
      <c r="D636" s="6" t="s">
        <v>28</v>
      </c>
      <c r="E636" s="10">
        <v>6</v>
      </c>
      <c r="F636">
        <v>29.322000591362499</v>
      </c>
      <c r="G636">
        <v>19.658303496659101</v>
      </c>
      <c r="H636" t="s">
        <v>588</v>
      </c>
      <c r="I636" t="s">
        <v>24</v>
      </c>
      <c r="J636" t="s">
        <v>185</v>
      </c>
      <c r="K636" t="s">
        <v>313</v>
      </c>
      <c r="L636">
        <v>301</v>
      </c>
      <c r="M636" t="s">
        <v>1798</v>
      </c>
      <c r="N636">
        <v>300</v>
      </c>
      <c r="O636" s="1" t="s">
        <v>1435</v>
      </c>
      <c r="P636" s="1" t="s">
        <v>1235</v>
      </c>
      <c r="Q636" s="25">
        <v>50.647463999999999</v>
      </c>
      <c r="R636" s="25">
        <v>10.857742999999999</v>
      </c>
      <c r="S636">
        <v>3.7212999999999998</v>
      </c>
      <c r="T636">
        <v>19.652000000000001</v>
      </c>
      <c r="U636">
        <v>3.7212999999999998</v>
      </c>
      <c r="V636" t="s">
        <v>1538</v>
      </c>
      <c r="W636" t="s">
        <v>14</v>
      </c>
      <c r="X636" t="s">
        <v>17</v>
      </c>
      <c r="Y636" s="1" t="s">
        <v>1236</v>
      </c>
    </row>
    <row r="637" spans="1:25" x14ac:dyDescent="0.25">
      <c r="A637" s="4">
        <v>1078</v>
      </c>
      <c r="B637" s="9" t="s">
        <v>1253</v>
      </c>
      <c r="C637" s="8" t="s">
        <v>1252</v>
      </c>
      <c r="D637" s="6" t="s">
        <v>28</v>
      </c>
      <c r="E637" s="10">
        <v>6</v>
      </c>
      <c r="F637">
        <v>331.93191800189197</v>
      </c>
      <c r="G637">
        <v>142.437078714465</v>
      </c>
      <c r="H637" t="s">
        <v>92</v>
      </c>
      <c r="I637" t="s">
        <v>24</v>
      </c>
      <c r="J637" t="s">
        <v>185</v>
      </c>
      <c r="K637" t="s">
        <v>313</v>
      </c>
      <c r="L637">
        <v>301</v>
      </c>
      <c r="M637" t="s">
        <v>1798</v>
      </c>
      <c r="N637">
        <v>300</v>
      </c>
      <c r="O637" t="s">
        <v>97</v>
      </c>
      <c r="P637" s="1" t="s">
        <v>1250</v>
      </c>
      <c r="Q637" s="25">
        <v>38.34308</v>
      </c>
      <c r="R637" s="25">
        <v>-82.599798000000007</v>
      </c>
      <c r="S637">
        <v>-6.8112000000000004</v>
      </c>
      <c r="T637">
        <v>-18.515999999999998</v>
      </c>
      <c r="U637">
        <v>6.8112000000000004</v>
      </c>
      <c r="V637" t="s">
        <v>1538</v>
      </c>
      <c r="W637" t="s">
        <v>15</v>
      </c>
      <c r="X637" t="s">
        <v>18</v>
      </c>
      <c r="Y637" s="1" t="s">
        <v>1249</v>
      </c>
    </row>
    <row r="638" spans="1:25" x14ac:dyDescent="0.25">
      <c r="A638" s="4">
        <v>1079</v>
      </c>
      <c r="B638" s="9" t="s">
        <v>1254</v>
      </c>
      <c r="C638" s="8" t="s">
        <v>1252</v>
      </c>
      <c r="D638" s="6" t="s">
        <v>28</v>
      </c>
      <c r="E638" s="10">
        <v>6</v>
      </c>
      <c r="F638">
        <v>358.79544345421903</v>
      </c>
      <c r="G638">
        <v>249.635246293432</v>
      </c>
      <c r="H638" t="s">
        <v>92</v>
      </c>
      <c r="I638" t="s">
        <v>24</v>
      </c>
      <c r="J638" t="s">
        <v>185</v>
      </c>
      <c r="K638" t="s">
        <v>313</v>
      </c>
      <c r="L638">
        <v>301</v>
      </c>
      <c r="M638" t="s">
        <v>1798</v>
      </c>
      <c r="N638">
        <v>300</v>
      </c>
      <c r="O638" t="s">
        <v>97</v>
      </c>
      <c r="P638" s="1" t="s">
        <v>1250</v>
      </c>
      <c r="Q638" s="25">
        <v>38.34308</v>
      </c>
      <c r="R638" s="25">
        <v>-82.599798000000007</v>
      </c>
      <c r="S638">
        <v>-6.8112000000000004</v>
      </c>
      <c r="T638">
        <v>-18.515999999999998</v>
      </c>
      <c r="U638">
        <v>6.8112000000000004</v>
      </c>
      <c r="V638" t="s">
        <v>1538</v>
      </c>
      <c r="W638" t="s">
        <v>15</v>
      </c>
      <c r="X638" t="s">
        <v>18</v>
      </c>
      <c r="Y638" s="1" t="s">
        <v>1249</v>
      </c>
    </row>
    <row r="639" spans="1:25" x14ac:dyDescent="0.25">
      <c r="A639" s="4">
        <v>1080</v>
      </c>
      <c r="B639" s="9" t="s">
        <v>1254</v>
      </c>
      <c r="C639" s="8" t="s">
        <v>1252</v>
      </c>
      <c r="D639" s="6" t="s">
        <v>28</v>
      </c>
      <c r="E639" s="10">
        <v>6</v>
      </c>
      <c r="F639">
        <v>260.87635480791801</v>
      </c>
      <c r="G639">
        <v>173.02122585927501</v>
      </c>
      <c r="H639" t="s">
        <v>92</v>
      </c>
      <c r="I639" t="s">
        <v>24</v>
      </c>
      <c r="J639" t="s">
        <v>185</v>
      </c>
      <c r="K639" t="s">
        <v>313</v>
      </c>
      <c r="L639">
        <v>301</v>
      </c>
      <c r="M639" t="s">
        <v>1798</v>
      </c>
      <c r="N639">
        <v>300</v>
      </c>
      <c r="O639" t="s">
        <v>97</v>
      </c>
      <c r="P639" s="1" t="s">
        <v>1250</v>
      </c>
      <c r="Q639" s="25">
        <v>38.34308</v>
      </c>
      <c r="R639" s="25">
        <v>-82.599798000000007</v>
      </c>
      <c r="S639">
        <v>-6.8112000000000004</v>
      </c>
      <c r="T639">
        <v>-18.515999999999998</v>
      </c>
      <c r="U639">
        <v>6.8112000000000004</v>
      </c>
      <c r="V639" t="s">
        <v>1538</v>
      </c>
      <c r="W639" t="s">
        <v>15</v>
      </c>
      <c r="X639" t="s">
        <v>18</v>
      </c>
      <c r="Y639" s="1" t="s">
        <v>1249</v>
      </c>
    </row>
    <row r="640" spans="1:25" x14ac:dyDescent="0.25">
      <c r="A640" s="4">
        <v>1081</v>
      </c>
      <c r="B640" s="9" t="s">
        <v>1255</v>
      </c>
      <c r="C640" s="8" t="s">
        <v>1252</v>
      </c>
      <c r="D640" s="6" t="s">
        <v>28</v>
      </c>
      <c r="E640" s="10">
        <v>6</v>
      </c>
      <c r="F640">
        <v>183.821542238517</v>
      </c>
      <c r="G640">
        <v>133.924638958461</v>
      </c>
      <c r="H640" t="s">
        <v>92</v>
      </c>
      <c r="I640" t="s">
        <v>24</v>
      </c>
      <c r="J640" t="s">
        <v>185</v>
      </c>
      <c r="K640" t="s">
        <v>313</v>
      </c>
      <c r="L640">
        <v>301</v>
      </c>
      <c r="M640" t="s">
        <v>1798</v>
      </c>
      <c r="N640">
        <v>300</v>
      </c>
      <c r="O640" t="s">
        <v>97</v>
      </c>
      <c r="P640" s="1" t="s">
        <v>1250</v>
      </c>
      <c r="Q640" s="25">
        <v>38.34308</v>
      </c>
      <c r="R640" s="25">
        <v>-82.599798000000007</v>
      </c>
      <c r="S640">
        <v>-6.8112000000000004</v>
      </c>
      <c r="T640">
        <v>-18.515999999999998</v>
      </c>
      <c r="U640">
        <v>6.8112000000000004</v>
      </c>
      <c r="V640" t="s">
        <v>1538</v>
      </c>
      <c r="W640" t="s">
        <v>15</v>
      </c>
      <c r="X640" t="s">
        <v>18</v>
      </c>
      <c r="Y640" s="1" t="s">
        <v>1249</v>
      </c>
    </row>
    <row r="641" spans="1:25" x14ac:dyDescent="0.25">
      <c r="A641" s="4">
        <v>1084</v>
      </c>
      <c r="B641" s="9" t="s">
        <v>1258</v>
      </c>
      <c r="C641" s="8" t="s">
        <v>304</v>
      </c>
      <c r="D641" s="6" t="s">
        <v>59</v>
      </c>
      <c r="E641" s="10">
        <v>5</v>
      </c>
      <c r="F641">
        <v>5.4517198492831804</v>
      </c>
      <c r="G641">
        <v>1.8894371126713301</v>
      </c>
      <c r="H641" t="s">
        <v>92</v>
      </c>
      <c r="I641" t="s">
        <v>24</v>
      </c>
      <c r="J641" t="s">
        <v>185</v>
      </c>
      <c r="L641">
        <v>310</v>
      </c>
      <c r="M641" t="s">
        <v>1798</v>
      </c>
      <c r="N641">
        <v>300</v>
      </c>
      <c r="O641" s="1" t="s">
        <v>383</v>
      </c>
      <c r="P641" s="1" t="s">
        <v>381</v>
      </c>
      <c r="Q641" s="25">
        <v>36.219842</v>
      </c>
      <c r="R641" s="25">
        <v>-106.3253</v>
      </c>
      <c r="S641">
        <v>2.9462999999999999</v>
      </c>
      <c r="T641">
        <v>-39.148299999999999</v>
      </c>
      <c r="U641">
        <v>2.9462999999999999</v>
      </c>
      <c r="V641" t="s">
        <v>1538</v>
      </c>
      <c r="W641" t="s">
        <v>15</v>
      </c>
      <c r="X641" t="s">
        <v>17</v>
      </c>
      <c r="Y641" s="1" t="s">
        <v>1257</v>
      </c>
    </row>
    <row r="642" spans="1:25" x14ac:dyDescent="0.25">
      <c r="A642" s="4">
        <v>1086</v>
      </c>
      <c r="B642" s="9" t="s">
        <v>1258</v>
      </c>
      <c r="C642" s="8" t="s">
        <v>304</v>
      </c>
      <c r="D642" s="6" t="s">
        <v>28</v>
      </c>
      <c r="E642" s="10">
        <v>6</v>
      </c>
      <c r="F642">
        <v>7.6025169011898104</v>
      </c>
      <c r="G642">
        <v>3.4954862479473499</v>
      </c>
      <c r="H642" t="s">
        <v>92</v>
      </c>
      <c r="I642" t="s">
        <v>24</v>
      </c>
      <c r="J642" t="s">
        <v>185</v>
      </c>
      <c r="L642">
        <v>310</v>
      </c>
      <c r="M642" t="s">
        <v>1798</v>
      </c>
      <c r="N642">
        <v>300</v>
      </c>
      <c r="O642" s="1" t="s">
        <v>383</v>
      </c>
      <c r="P642" s="1" t="s">
        <v>381</v>
      </c>
      <c r="Q642" s="25">
        <v>36.219842</v>
      </c>
      <c r="R642" s="25">
        <v>-106.3253</v>
      </c>
      <c r="S642">
        <v>2.9462999999999999</v>
      </c>
      <c r="T642">
        <v>-39.148299999999999</v>
      </c>
      <c r="U642">
        <v>2.9462999999999999</v>
      </c>
      <c r="V642" t="s">
        <v>1538</v>
      </c>
      <c r="W642" t="s">
        <v>15</v>
      </c>
      <c r="X642" t="s">
        <v>17</v>
      </c>
      <c r="Y642" s="1" t="s">
        <v>1257</v>
      </c>
    </row>
    <row r="643" spans="1:25" x14ac:dyDescent="0.25">
      <c r="A643" s="4">
        <v>1087</v>
      </c>
      <c r="B643" s="9" t="s">
        <v>1259</v>
      </c>
      <c r="C643" s="8" t="s">
        <v>304</v>
      </c>
      <c r="D643" s="6" t="s">
        <v>28</v>
      </c>
      <c r="E643" s="10">
        <v>6</v>
      </c>
      <c r="F643">
        <v>5.0744633939399302</v>
      </c>
      <c r="G643">
        <v>3.44527686504617</v>
      </c>
      <c r="H643" t="s">
        <v>92</v>
      </c>
      <c r="I643" t="s">
        <v>24</v>
      </c>
      <c r="J643" t="s">
        <v>185</v>
      </c>
      <c r="L643">
        <v>310</v>
      </c>
      <c r="M643" t="s">
        <v>1798</v>
      </c>
      <c r="N643">
        <v>300</v>
      </c>
      <c r="O643" s="1" t="s">
        <v>383</v>
      </c>
      <c r="P643" s="1" t="s">
        <v>381</v>
      </c>
      <c r="Q643" s="25">
        <v>36.219842</v>
      </c>
      <c r="R643" s="25">
        <v>-106.3253</v>
      </c>
      <c r="S643">
        <v>2.9462999999999999</v>
      </c>
      <c r="T643">
        <v>-39.148299999999999</v>
      </c>
      <c r="U643">
        <v>2.9462999999999999</v>
      </c>
      <c r="V643" t="s">
        <v>1538</v>
      </c>
      <c r="W643" t="s">
        <v>15</v>
      </c>
      <c r="X643" t="s">
        <v>17</v>
      </c>
      <c r="Y643" s="1" t="s">
        <v>1257</v>
      </c>
    </row>
    <row r="644" spans="1:25" x14ac:dyDescent="0.25">
      <c r="A644" s="4">
        <v>1088</v>
      </c>
      <c r="B644" s="9" t="s">
        <v>1260</v>
      </c>
      <c r="C644" s="8" t="s">
        <v>304</v>
      </c>
      <c r="D644" s="6" t="s">
        <v>157</v>
      </c>
      <c r="E644" s="10">
        <v>6</v>
      </c>
      <c r="F644">
        <v>6.5366338868647196</v>
      </c>
      <c r="G644">
        <v>2.93303796647217</v>
      </c>
      <c r="H644" t="s">
        <v>92</v>
      </c>
      <c r="I644" t="s">
        <v>24</v>
      </c>
      <c r="J644" t="s">
        <v>185</v>
      </c>
      <c r="L644">
        <v>310</v>
      </c>
      <c r="M644" t="s">
        <v>1798</v>
      </c>
      <c r="N644">
        <v>300</v>
      </c>
      <c r="O644" s="1" t="s">
        <v>383</v>
      </c>
      <c r="P644" s="1" t="s">
        <v>381</v>
      </c>
      <c r="Q644" s="25">
        <v>36.219842</v>
      </c>
      <c r="R644" s="25">
        <v>-106.3253</v>
      </c>
      <c r="S644">
        <v>2.9462999999999999</v>
      </c>
      <c r="T644">
        <v>-39.148299999999999</v>
      </c>
      <c r="U644">
        <v>2.9462999999999999</v>
      </c>
      <c r="V644" t="s">
        <v>1538</v>
      </c>
      <c r="W644" t="s">
        <v>15</v>
      </c>
      <c r="X644" t="s">
        <v>17</v>
      </c>
      <c r="Y644" s="1" t="s">
        <v>1257</v>
      </c>
    </row>
    <row r="645" spans="1:25" x14ac:dyDescent="0.25">
      <c r="A645" s="4">
        <v>1090</v>
      </c>
      <c r="B645" s="9">
        <v>607</v>
      </c>
      <c r="C645" s="8" t="s">
        <v>1238</v>
      </c>
      <c r="D645" s="6" t="s">
        <v>28</v>
      </c>
      <c r="E645" s="10">
        <v>6</v>
      </c>
      <c r="F645">
        <v>22.3642144999565</v>
      </c>
      <c r="G645">
        <v>10.9861913274672</v>
      </c>
      <c r="H645" t="s">
        <v>588</v>
      </c>
      <c r="I645" t="s">
        <v>24</v>
      </c>
      <c r="J645" t="s">
        <v>185</v>
      </c>
      <c r="K645" t="s">
        <v>313</v>
      </c>
      <c r="L645">
        <v>301</v>
      </c>
      <c r="M645" t="s">
        <v>1798</v>
      </c>
      <c r="N645">
        <v>300</v>
      </c>
      <c r="O645" s="1" t="s">
        <v>1435</v>
      </c>
      <c r="P645" s="1" t="s">
        <v>1235</v>
      </c>
      <c r="Q645" s="25">
        <v>50.647463999999999</v>
      </c>
      <c r="R645" s="25">
        <v>10.857742999999999</v>
      </c>
      <c r="S645">
        <v>3.7212999999999998</v>
      </c>
      <c r="T645">
        <v>19.652000000000001</v>
      </c>
      <c r="U645">
        <v>3.7212999999999998</v>
      </c>
      <c r="V645" t="s">
        <v>1538</v>
      </c>
      <c r="W645" t="s">
        <v>14</v>
      </c>
      <c r="X645" t="s">
        <v>17</v>
      </c>
      <c r="Y645" s="1" t="s">
        <v>1262</v>
      </c>
    </row>
    <row r="646" spans="1:25" x14ac:dyDescent="0.25">
      <c r="A646" s="4">
        <v>1091</v>
      </c>
      <c r="B646" s="9" t="s">
        <v>168</v>
      </c>
      <c r="C646" s="8" t="s">
        <v>49</v>
      </c>
      <c r="D646" s="6" t="s">
        <v>72</v>
      </c>
      <c r="E646" s="10">
        <v>6</v>
      </c>
      <c r="F646">
        <v>15.156616266513501</v>
      </c>
      <c r="G646">
        <v>12.088180092271701</v>
      </c>
      <c r="H646" t="s">
        <v>52</v>
      </c>
      <c r="I646" t="s">
        <v>24</v>
      </c>
      <c r="J646" t="s">
        <v>185</v>
      </c>
      <c r="L646">
        <v>310</v>
      </c>
      <c r="M646" t="s">
        <v>1798</v>
      </c>
      <c r="N646">
        <v>300</v>
      </c>
      <c r="O646" s="1" t="s">
        <v>54</v>
      </c>
      <c r="P646" s="1" t="s">
        <v>166</v>
      </c>
      <c r="Q646" s="25">
        <v>-27.923822999999999</v>
      </c>
      <c r="R646" s="25">
        <v>-68.211618000000001</v>
      </c>
      <c r="S646">
        <v>-43.362099999999998</v>
      </c>
      <c r="T646">
        <v>-57.399799999999999</v>
      </c>
      <c r="U646">
        <v>43.362099999999998</v>
      </c>
      <c r="V646" t="s">
        <v>1537</v>
      </c>
      <c r="W646" t="s">
        <v>15</v>
      </c>
      <c r="X646" t="s">
        <v>16</v>
      </c>
      <c r="Y646" t="s">
        <v>167</v>
      </c>
    </row>
    <row r="647" spans="1:25" x14ac:dyDescent="0.25">
      <c r="A647" s="4">
        <v>1092</v>
      </c>
      <c r="B647" s="9">
        <v>13803</v>
      </c>
      <c r="C647" s="8" t="s">
        <v>70</v>
      </c>
      <c r="D647" s="6" t="s">
        <v>64</v>
      </c>
      <c r="E647" s="10">
        <v>8</v>
      </c>
      <c r="F647">
        <v>4.0274632803613102</v>
      </c>
      <c r="G647">
        <v>0.24513209588715801</v>
      </c>
      <c r="H647" t="s">
        <v>52</v>
      </c>
      <c r="I647" t="s">
        <v>24</v>
      </c>
      <c r="J647" t="s">
        <v>185</v>
      </c>
      <c r="L647">
        <v>310</v>
      </c>
      <c r="M647" t="s">
        <v>1798</v>
      </c>
      <c r="N647">
        <v>300</v>
      </c>
      <c r="O647" s="1" t="s">
        <v>54</v>
      </c>
      <c r="P647" s="1" t="s">
        <v>166</v>
      </c>
      <c r="Q647" s="25">
        <v>-27.923822999999999</v>
      </c>
      <c r="R647" s="25">
        <v>-68.211618000000001</v>
      </c>
      <c r="S647">
        <v>-43.362099999999998</v>
      </c>
      <c r="T647">
        <v>-57.399799999999999</v>
      </c>
      <c r="U647">
        <v>43.362099999999998</v>
      </c>
      <c r="V647" t="s">
        <v>1537</v>
      </c>
      <c r="W647" t="s">
        <v>15</v>
      </c>
      <c r="X647" t="s">
        <v>16</v>
      </c>
      <c r="Y647" t="s">
        <v>167</v>
      </c>
    </row>
    <row r="648" spans="1:25" x14ac:dyDescent="0.25">
      <c r="A648" s="4">
        <v>1093</v>
      </c>
      <c r="B648" s="9">
        <v>12152</v>
      </c>
      <c r="C648" s="8" t="s">
        <v>216</v>
      </c>
      <c r="D648" s="6" t="s">
        <v>28</v>
      </c>
      <c r="E648" s="10">
        <v>6</v>
      </c>
      <c r="F648">
        <v>5.0073295995475098</v>
      </c>
      <c r="G648">
        <v>3.3419730637279801</v>
      </c>
      <c r="H648" t="s">
        <v>52</v>
      </c>
      <c r="I648" t="s">
        <v>24</v>
      </c>
      <c r="J648" t="s">
        <v>185</v>
      </c>
      <c r="L648">
        <v>310</v>
      </c>
      <c r="M648" t="s">
        <v>1798</v>
      </c>
      <c r="N648">
        <v>300</v>
      </c>
      <c r="O648" s="1" t="s">
        <v>78</v>
      </c>
      <c r="P648" s="1" t="s">
        <v>214</v>
      </c>
      <c r="Q648" s="25">
        <v>-36.013750000000002</v>
      </c>
      <c r="R648" s="25">
        <v>-68.464839999999995</v>
      </c>
      <c r="S648">
        <v>-48.7654</v>
      </c>
      <c r="T648">
        <v>-63.4298</v>
      </c>
      <c r="U648">
        <v>48.7654</v>
      </c>
      <c r="V648" t="s">
        <v>1537</v>
      </c>
      <c r="W648" t="s">
        <v>13</v>
      </c>
      <c r="X648" t="s">
        <v>16</v>
      </c>
      <c r="Y648" t="s">
        <v>215</v>
      </c>
    </row>
    <row r="649" spans="1:25" x14ac:dyDescent="0.25">
      <c r="A649" s="4">
        <v>1094</v>
      </c>
      <c r="B649" s="9">
        <v>12152</v>
      </c>
      <c r="C649" s="8" t="s">
        <v>216</v>
      </c>
      <c r="D649" s="6" t="s">
        <v>161</v>
      </c>
      <c r="E649" s="10">
        <v>7</v>
      </c>
      <c r="F649">
        <v>6.1640177153516102</v>
      </c>
      <c r="G649">
        <v>1.83023507658607</v>
      </c>
      <c r="H649" t="s">
        <v>52</v>
      </c>
      <c r="I649" t="s">
        <v>24</v>
      </c>
      <c r="J649" t="s">
        <v>185</v>
      </c>
      <c r="L649">
        <v>310</v>
      </c>
      <c r="M649" t="s">
        <v>1798</v>
      </c>
      <c r="N649">
        <v>300</v>
      </c>
      <c r="O649" s="1" t="s">
        <v>78</v>
      </c>
      <c r="P649" s="1" t="s">
        <v>214</v>
      </c>
      <c r="Q649" s="25">
        <v>-36.013750000000002</v>
      </c>
      <c r="R649" s="25">
        <v>-68.464839999999995</v>
      </c>
      <c r="S649">
        <v>-48.7654</v>
      </c>
      <c r="T649">
        <v>-63.4298</v>
      </c>
      <c r="U649">
        <v>48.7654</v>
      </c>
      <c r="V649" t="s">
        <v>1537</v>
      </c>
      <c r="W649" t="s">
        <v>13</v>
      </c>
      <c r="X649" t="s">
        <v>16</v>
      </c>
      <c r="Y649" t="s">
        <v>215</v>
      </c>
    </row>
    <row r="650" spans="1:25" x14ac:dyDescent="0.25">
      <c r="A650" s="4">
        <v>1096</v>
      </c>
      <c r="B650" s="9">
        <v>12237</v>
      </c>
      <c r="C650" s="8" t="s">
        <v>216</v>
      </c>
      <c r="D650" s="6" t="s">
        <v>161</v>
      </c>
      <c r="E650" s="10">
        <v>7</v>
      </c>
      <c r="F650">
        <v>6.8892069163179297</v>
      </c>
      <c r="G650">
        <v>2.8400138919992299</v>
      </c>
      <c r="H650" t="s">
        <v>52</v>
      </c>
      <c r="I650" t="s">
        <v>24</v>
      </c>
      <c r="J650" t="s">
        <v>185</v>
      </c>
      <c r="L650">
        <v>310</v>
      </c>
      <c r="M650" t="s">
        <v>1798</v>
      </c>
      <c r="N650">
        <v>300</v>
      </c>
      <c r="O650" s="1" t="s">
        <v>78</v>
      </c>
      <c r="P650" s="1" t="s">
        <v>214</v>
      </c>
      <c r="Q650" s="25">
        <v>-36.013750000000002</v>
      </c>
      <c r="R650" s="25">
        <v>-68.464839999999995</v>
      </c>
      <c r="S650">
        <v>-48.7654</v>
      </c>
      <c r="T650">
        <v>-63.4298</v>
      </c>
      <c r="U650">
        <v>48.7654</v>
      </c>
      <c r="V650" t="s">
        <v>1537</v>
      </c>
      <c r="W650" t="s">
        <v>13</v>
      </c>
      <c r="X650" t="s">
        <v>16</v>
      </c>
      <c r="Y650" t="s">
        <v>215</v>
      </c>
    </row>
    <row r="651" spans="1:25" x14ac:dyDescent="0.25">
      <c r="A651" s="4">
        <v>1099</v>
      </c>
      <c r="B651" s="9">
        <v>12090</v>
      </c>
      <c r="C651" s="8" t="s">
        <v>216</v>
      </c>
      <c r="D651" s="6" t="s">
        <v>161</v>
      </c>
      <c r="E651" s="10">
        <v>7</v>
      </c>
      <c r="F651">
        <v>9.1182345788459696</v>
      </c>
      <c r="G651">
        <v>2.8515179790684799</v>
      </c>
      <c r="H651" t="s">
        <v>52</v>
      </c>
      <c r="I651" t="s">
        <v>24</v>
      </c>
      <c r="J651" t="s">
        <v>185</v>
      </c>
      <c r="L651">
        <v>310</v>
      </c>
      <c r="M651" t="s">
        <v>1798</v>
      </c>
      <c r="N651">
        <v>300</v>
      </c>
      <c r="O651" s="1" t="s">
        <v>78</v>
      </c>
      <c r="P651" s="1" t="s">
        <v>214</v>
      </c>
      <c r="Q651" s="25">
        <v>-36.013750000000002</v>
      </c>
      <c r="R651" s="25">
        <v>-68.464839999999995</v>
      </c>
      <c r="S651">
        <v>-48.7654</v>
      </c>
      <c r="T651">
        <v>-63.4298</v>
      </c>
      <c r="U651">
        <v>48.7654</v>
      </c>
      <c r="V651" t="s">
        <v>1537</v>
      </c>
      <c r="W651" t="s">
        <v>13</v>
      </c>
      <c r="X651" t="s">
        <v>16</v>
      </c>
      <c r="Y651" t="s">
        <v>215</v>
      </c>
    </row>
    <row r="652" spans="1:25" x14ac:dyDescent="0.25">
      <c r="A652" s="4">
        <v>1100</v>
      </c>
      <c r="B652" s="9">
        <v>12116</v>
      </c>
      <c r="C652" s="8" t="s">
        <v>216</v>
      </c>
      <c r="D652" s="6" t="s">
        <v>28</v>
      </c>
      <c r="E652" s="10">
        <v>6</v>
      </c>
      <c r="F652">
        <v>7.24420644435365</v>
      </c>
      <c r="G652">
        <v>4.5425202142685999</v>
      </c>
      <c r="H652" t="s">
        <v>52</v>
      </c>
      <c r="I652" t="s">
        <v>24</v>
      </c>
      <c r="J652" t="s">
        <v>185</v>
      </c>
      <c r="L652">
        <v>310</v>
      </c>
      <c r="M652" t="s">
        <v>1798</v>
      </c>
      <c r="N652">
        <v>300</v>
      </c>
      <c r="O652" s="1" t="s">
        <v>78</v>
      </c>
      <c r="P652" s="1" t="s">
        <v>214</v>
      </c>
      <c r="Q652" s="25">
        <v>-36.013750000000002</v>
      </c>
      <c r="R652" s="25">
        <v>-68.464839999999995</v>
      </c>
      <c r="S652">
        <v>-48.7654</v>
      </c>
      <c r="T652">
        <v>-63.4298</v>
      </c>
      <c r="U652">
        <v>48.7654</v>
      </c>
      <c r="V652" t="s">
        <v>1537</v>
      </c>
      <c r="W652" t="s">
        <v>13</v>
      </c>
      <c r="X652" t="s">
        <v>16</v>
      </c>
      <c r="Y652" t="s">
        <v>215</v>
      </c>
    </row>
    <row r="653" spans="1:25" x14ac:dyDescent="0.25">
      <c r="A653" s="4">
        <v>1101</v>
      </c>
      <c r="B653" s="9">
        <v>12116</v>
      </c>
      <c r="C653" s="8" t="s">
        <v>216</v>
      </c>
      <c r="D653" s="6" t="s">
        <v>161</v>
      </c>
      <c r="E653" s="10">
        <v>7</v>
      </c>
      <c r="F653">
        <v>7.0968915852765901</v>
      </c>
      <c r="G653">
        <v>4.2284941475581297</v>
      </c>
      <c r="H653" t="s">
        <v>52</v>
      </c>
      <c r="I653" t="s">
        <v>24</v>
      </c>
      <c r="J653" t="s">
        <v>185</v>
      </c>
      <c r="L653">
        <v>310</v>
      </c>
      <c r="M653" t="s">
        <v>1798</v>
      </c>
      <c r="N653">
        <v>300</v>
      </c>
      <c r="O653" s="1" t="s">
        <v>78</v>
      </c>
      <c r="P653" s="1" t="s">
        <v>214</v>
      </c>
      <c r="Q653" s="25">
        <v>-36.013750000000002</v>
      </c>
      <c r="R653" s="25">
        <v>-68.464839999999995</v>
      </c>
      <c r="S653">
        <v>-48.7654</v>
      </c>
      <c r="T653">
        <v>-63.4298</v>
      </c>
      <c r="U653">
        <v>48.7654</v>
      </c>
      <c r="V653" t="s">
        <v>1537</v>
      </c>
      <c r="W653" t="s">
        <v>13</v>
      </c>
      <c r="X653" t="s">
        <v>16</v>
      </c>
      <c r="Y653" t="s">
        <v>215</v>
      </c>
    </row>
    <row r="654" spans="1:25" x14ac:dyDescent="0.25">
      <c r="A654" s="4">
        <v>1102</v>
      </c>
      <c r="B654" s="9">
        <v>12252</v>
      </c>
      <c r="C654" s="8" t="s">
        <v>216</v>
      </c>
      <c r="D654" s="6" t="s">
        <v>220</v>
      </c>
      <c r="E654" s="10">
        <v>7</v>
      </c>
      <c r="F654">
        <v>7.6929227174243602</v>
      </c>
      <c r="G654">
        <v>4.8701540375212602</v>
      </c>
      <c r="H654" t="s">
        <v>52</v>
      </c>
      <c r="I654" t="s">
        <v>24</v>
      </c>
      <c r="J654" t="s">
        <v>185</v>
      </c>
      <c r="L654">
        <v>310</v>
      </c>
      <c r="M654" t="s">
        <v>1798</v>
      </c>
      <c r="N654">
        <v>300</v>
      </c>
      <c r="O654" s="1" t="s">
        <v>78</v>
      </c>
      <c r="P654" s="1" t="s">
        <v>214</v>
      </c>
      <c r="Q654" s="25">
        <v>-36.013750000000002</v>
      </c>
      <c r="R654" s="25">
        <v>-68.464839999999995</v>
      </c>
      <c r="S654">
        <v>-48.7654</v>
      </c>
      <c r="T654">
        <v>-63.4298</v>
      </c>
      <c r="U654">
        <v>48.7654</v>
      </c>
      <c r="V654" t="s">
        <v>1537</v>
      </c>
      <c r="W654" t="s">
        <v>13</v>
      </c>
      <c r="X654" t="s">
        <v>16</v>
      </c>
      <c r="Y654" t="s">
        <v>215</v>
      </c>
    </row>
    <row r="655" spans="1:25" x14ac:dyDescent="0.25">
      <c r="A655" s="4">
        <v>1103</v>
      </c>
      <c r="B655" s="9">
        <v>12252</v>
      </c>
      <c r="C655" s="8" t="s">
        <v>216</v>
      </c>
      <c r="D655" s="6" t="s">
        <v>73</v>
      </c>
      <c r="E655" s="10">
        <v>6</v>
      </c>
      <c r="F655">
        <v>4.3915558673807</v>
      </c>
      <c r="G655">
        <v>1.06910684572633</v>
      </c>
      <c r="H655" t="s">
        <v>52</v>
      </c>
      <c r="I655" t="s">
        <v>24</v>
      </c>
      <c r="J655" t="s">
        <v>185</v>
      </c>
      <c r="L655">
        <v>310</v>
      </c>
      <c r="M655" t="s">
        <v>1798</v>
      </c>
      <c r="N655">
        <v>300</v>
      </c>
      <c r="O655" s="1" t="s">
        <v>78</v>
      </c>
      <c r="P655" s="1" t="s">
        <v>214</v>
      </c>
      <c r="Q655" s="25">
        <v>-36.013750000000002</v>
      </c>
      <c r="R655" s="25">
        <v>-68.464839999999995</v>
      </c>
      <c r="S655">
        <v>-48.7654</v>
      </c>
      <c r="T655">
        <v>-63.4298</v>
      </c>
      <c r="U655">
        <v>48.7654</v>
      </c>
      <c r="V655" t="s">
        <v>1537</v>
      </c>
      <c r="W655" t="s">
        <v>13</v>
      </c>
      <c r="X655" t="s">
        <v>16</v>
      </c>
      <c r="Y655" t="s">
        <v>215</v>
      </c>
    </row>
    <row r="656" spans="1:25" x14ac:dyDescent="0.25">
      <c r="A656" s="4">
        <v>1105</v>
      </c>
      <c r="B656" s="9">
        <v>12238</v>
      </c>
      <c r="C656" s="8" t="s">
        <v>216</v>
      </c>
      <c r="D656" s="6" t="s">
        <v>219</v>
      </c>
      <c r="E656" s="10">
        <v>6</v>
      </c>
      <c r="F656">
        <v>6.3960713611711597</v>
      </c>
      <c r="G656">
        <v>3.0246958370385899</v>
      </c>
      <c r="H656" t="s">
        <v>52</v>
      </c>
      <c r="I656" t="s">
        <v>24</v>
      </c>
      <c r="J656" t="s">
        <v>185</v>
      </c>
      <c r="L656">
        <v>310</v>
      </c>
      <c r="M656" t="s">
        <v>1798</v>
      </c>
      <c r="N656">
        <v>300</v>
      </c>
      <c r="O656" s="1" t="s">
        <v>78</v>
      </c>
      <c r="P656" s="1" t="s">
        <v>214</v>
      </c>
      <c r="Q656" s="25">
        <v>-36.013750000000002</v>
      </c>
      <c r="R656" s="25">
        <v>-68.464839999999995</v>
      </c>
      <c r="S656">
        <v>-48.7654</v>
      </c>
      <c r="T656">
        <v>-63.4298</v>
      </c>
      <c r="U656">
        <v>48.7654</v>
      </c>
      <c r="V656" t="s">
        <v>1537</v>
      </c>
      <c r="W656" t="s">
        <v>13</v>
      </c>
      <c r="X656" t="s">
        <v>16</v>
      </c>
      <c r="Y656" t="s">
        <v>215</v>
      </c>
    </row>
    <row r="657" spans="1:25" x14ac:dyDescent="0.25">
      <c r="A657" s="4">
        <v>1107</v>
      </c>
      <c r="B657" s="9">
        <v>3427</v>
      </c>
      <c r="C657" s="8" t="s">
        <v>216</v>
      </c>
      <c r="D657" s="6" t="s">
        <v>28</v>
      </c>
      <c r="E657" s="10">
        <v>6</v>
      </c>
      <c r="F657">
        <v>4.8400669096061</v>
      </c>
      <c r="G657">
        <v>3.2247884625919001</v>
      </c>
      <c r="H657" t="s">
        <v>52</v>
      </c>
      <c r="I657" t="s">
        <v>24</v>
      </c>
      <c r="J657" t="s">
        <v>185</v>
      </c>
      <c r="L657">
        <v>310</v>
      </c>
      <c r="M657" t="s">
        <v>1798</v>
      </c>
      <c r="N657">
        <v>300</v>
      </c>
      <c r="O657" s="1" t="s">
        <v>78</v>
      </c>
      <c r="P657" s="1" t="s">
        <v>214</v>
      </c>
      <c r="Q657" s="25">
        <v>-36.013750000000002</v>
      </c>
      <c r="R657" s="25">
        <v>-68.464839999999995</v>
      </c>
      <c r="S657">
        <v>-48.7654</v>
      </c>
      <c r="T657">
        <v>-63.4298</v>
      </c>
      <c r="U657">
        <v>48.7654</v>
      </c>
      <c r="V657" t="s">
        <v>1537</v>
      </c>
      <c r="W657" t="s">
        <v>13</v>
      </c>
      <c r="X657" t="s">
        <v>16</v>
      </c>
      <c r="Y657" t="s">
        <v>215</v>
      </c>
    </row>
    <row r="658" spans="1:25" x14ac:dyDescent="0.25">
      <c r="A658" s="4">
        <v>1108</v>
      </c>
      <c r="B658" s="9">
        <v>24268</v>
      </c>
      <c r="C658" s="8" t="s">
        <v>898</v>
      </c>
      <c r="D658" s="6" t="s">
        <v>73</v>
      </c>
      <c r="E658" s="10">
        <v>6</v>
      </c>
      <c r="F658">
        <v>7.8630228623513201</v>
      </c>
      <c r="G658">
        <v>5.9259344866254402</v>
      </c>
      <c r="H658" t="s">
        <v>52</v>
      </c>
      <c r="I658" t="s">
        <v>24</v>
      </c>
      <c r="J658" t="s">
        <v>185</v>
      </c>
      <c r="L658">
        <v>310</v>
      </c>
      <c r="M658" t="s">
        <v>1798</v>
      </c>
      <c r="N658">
        <v>300</v>
      </c>
      <c r="O658" s="1" t="s">
        <v>78</v>
      </c>
      <c r="P658" s="1" t="s">
        <v>214</v>
      </c>
      <c r="Q658" s="25">
        <v>-36.013750000000002</v>
      </c>
      <c r="R658" s="25">
        <v>-68.464839999999995</v>
      </c>
      <c r="S658">
        <v>-48.7654</v>
      </c>
      <c r="T658">
        <v>-63.4298</v>
      </c>
      <c r="U658">
        <v>48.7654</v>
      </c>
      <c r="V658" t="s">
        <v>1537</v>
      </c>
      <c r="W658" t="s">
        <v>13</v>
      </c>
      <c r="X658" t="s">
        <v>16</v>
      </c>
      <c r="Y658" t="s">
        <v>215</v>
      </c>
    </row>
    <row r="659" spans="1:25" x14ac:dyDescent="0.25">
      <c r="A659" s="4">
        <v>1109</v>
      </c>
      <c r="B659" s="9">
        <v>24269</v>
      </c>
      <c r="C659" s="8" t="s">
        <v>898</v>
      </c>
      <c r="D659" s="6" t="s">
        <v>73</v>
      </c>
      <c r="E659" s="10">
        <v>6</v>
      </c>
      <c r="F659">
        <v>9.5678448652371308</v>
      </c>
      <c r="G659">
        <v>7.0732875260567099</v>
      </c>
      <c r="H659" t="s">
        <v>52</v>
      </c>
      <c r="I659" t="s">
        <v>24</v>
      </c>
      <c r="J659" t="s">
        <v>185</v>
      </c>
      <c r="L659">
        <v>310</v>
      </c>
      <c r="M659" t="s">
        <v>1798</v>
      </c>
      <c r="N659">
        <v>300</v>
      </c>
      <c r="O659" s="1" t="s">
        <v>78</v>
      </c>
      <c r="P659" s="1" t="s">
        <v>214</v>
      </c>
      <c r="Q659" s="25">
        <v>-36.013750000000002</v>
      </c>
      <c r="R659" s="25">
        <v>-68.464839999999995</v>
      </c>
      <c r="S659">
        <v>-48.7654</v>
      </c>
      <c r="T659">
        <v>-63.4298</v>
      </c>
      <c r="U659">
        <v>48.7654</v>
      </c>
      <c r="V659" t="s">
        <v>1537</v>
      </c>
      <c r="W659" t="s">
        <v>13</v>
      </c>
      <c r="X659" t="s">
        <v>16</v>
      </c>
      <c r="Y659" t="s">
        <v>215</v>
      </c>
    </row>
    <row r="660" spans="1:25" x14ac:dyDescent="0.25">
      <c r="A660" s="4">
        <v>1110</v>
      </c>
      <c r="B660" s="9">
        <v>12175</v>
      </c>
      <c r="C660" s="8" t="s">
        <v>216</v>
      </c>
      <c r="D660" s="6" t="s">
        <v>28</v>
      </c>
      <c r="E660" s="10">
        <v>6</v>
      </c>
      <c r="F660">
        <v>7.7106443139302403</v>
      </c>
      <c r="G660">
        <v>3.64577233298452</v>
      </c>
      <c r="H660" t="s">
        <v>52</v>
      </c>
      <c r="I660" t="s">
        <v>24</v>
      </c>
      <c r="J660" t="s">
        <v>185</v>
      </c>
      <c r="L660">
        <v>310</v>
      </c>
      <c r="M660" t="s">
        <v>1798</v>
      </c>
      <c r="N660">
        <v>300</v>
      </c>
      <c r="O660" s="1" t="s">
        <v>78</v>
      </c>
      <c r="P660" s="1" t="s">
        <v>214</v>
      </c>
      <c r="Q660" s="25">
        <v>-36.013750000000002</v>
      </c>
      <c r="R660" s="25">
        <v>-68.464839999999995</v>
      </c>
      <c r="S660">
        <v>-48.7654</v>
      </c>
      <c r="T660">
        <v>-63.4298</v>
      </c>
      <c r="U660">
        <v>48.7654</v>
      </c>
      <c r="V660" t="s">
        <v>1537</v>
      </c>
      <c r="W660" t="s">
        <v>13</v>
      </c>
      <c r="X660" t="s">
        <v>16</v>
      </c>
      <c r="Y660" t="s">
        <v>215</v>
      </c>
    </row>
    <row r="661" spans="1:25" x14ac:dyDescent="0.25">
      <c r="A661" s="4">
        <v>1111</v>
      </c>
      <c r="B661" s="9">
        <v>12156</v>
      </c>
      <c r="C661" s="8" t="s">
        <v>216</v>
      </c>
      <c r="D661" s="6" t="s">
        <v>28</v>
      </c>
      <c r="E661" s="10">
        <v>6</v>
      </c>
      <c r="F661">
        <v>8.8380061879813994</v>
      </c>
      <c r="G661">
        <v>4.9970108858128697</v>
      </c>
      <c r="H661" t="s">
        <v>52</v>
      </c>
      <c r="I661" t="s">
        <v>24</v>
      </c>
      <c r="J661" t="s">
        <v>185</v>
      </c>
      <c r="L661">
        <v>310</v>
      </c>
      <c r="M661" t="s">
        <v>1798</v>
      </c>
      <c r="N661">
        <v>300</v>
      </c>
      <c r="O661" s="1" t="s">
        <v>78</v>
      </c>
      <c r="P661" s="1" t="s">
        <v>214</v>
      </c>
      <c r="Q661" s="25">
        <v>-36.013750000000002</v>
      </c>
      <c r="R661" s="25">
        <v>-68.464839999999995</v>
      </c>
      <c r="S661">
        <v>-48.7654</v>
      </c>
      <c r="T661">
        <v>-63.4298</v>
      </c>
      <c r="U661">
        <v>48.7654</v>
      </c>
      <c r="V661" t="s">
        <v>1537</v>
      </c>
      <c r="W661" t="s">
        <v>13</v>
      </c>
      <c r="X661" t="s">
        <v>16</v>
      </c>
      <c r="Y661" t="s">
        <v>215</v>
      </c>
    </row>
    <row r="662" spans="1:25" x14ac:dyDescent="0.25">
      <c r="A662" s="4">
        <v>1113</v>
      </c>
      <c r="B662" s="9">
        <v>12162</v>
      </c>
      <c r="C662" s="8" t="s">
        <v>216</v>
      </c>
      <c r="D662" s="6" t="s">
        <v>220</v>
      </c>
      <c r="E662" s="10">
        <v>7</v>
      </c>
      <c r="F662">
        <v>7.6383999400970604</v>
      </c>
      <c r="G662">
        <v>5.0249371563782699</v>
      </c>
      <c r="H662" t="s">
        <v>52</v>
      </c>
      <c r="I662" t="s">
        <v>24</v>
      </c>
      <c r="J662" t="s">
        <v>185</v>
      </c>
      <c r="L662">
        <v>310</v>
      </c>
      <c r="M662" t="s">
        <v>1798</v>
      </c>
      <c r="N662">
        <v>300</v>
      </c>
      <c r="O662" s="1" t="s">
        <v>78</v>
      </c>
      <c r="P662" s="1" t="s">
        <v>214</v>
      </c>
      <c r="Q662" s="25">
        <v>-36.013750000000002</v>
      </c>
      <c r="R662" s="25">
        <v>-68.464839999999995</v>
      </c>
      <c r="S662">
        <v>-48.7654</v>
      </c>
      <c r="T662">
        <v>-63.4298</v>
      </c>
      <c r="U662">
        <v>48.7654</v>
      </c>
      <c r="V662" t="s">
        <v>1537</v>
      </c>
      <c r="W662" t="s">
        <v>13</v>
      </c>
      <c r="X662" t="s">
        <v>16</v>
      </c>
      <c r="Y662" t="s">
        <v>215</v>
      </c>
    </row>
    <row r="663" spans="1:25" x14ac:dyDescent="0.25">
      <c r="A663" s="4">
        <v>1114</v>
      </c>
      <c r="B663" s="9">
        <v>12162</v>
      </c>
      <c r="C663" s="8" t="s">
        <v>216</v>
      </c>
      <c r="D663" s="6" t="s">
        <v>28</v>
      </c>
      <c r="E663" s="10">
        <v>6</v>
      </c>
      <c r="F663">
        <v>1.3834355287090001</v>
      </c>
      <c r="G663">
        <v>0.26549802659315902</v>
      </c>
      <c r="H663" t="s">
        <v>52</v>
      </c>
      <c r="I663" t="s">
        <v>24</v>
      </c>
      <c r="J663" t="s">
        <v>185</v>
      </c>
      <c r="L663">
        <v>310</v>
      </c>
      <c r="M663" t="s">
        <v>1798</v>
      </c>
      <c r="N663">
        <v>300</v>
      </c>
      <c r="O663" s="1" t="s">
        <v>78</v>
      </c>
      <c r="P663" s="1" t="s">
        <v>214</v>
      </c>
      <c r="Q663" s="25">
        <v>-36.013750000000002</v>
      </c>
      <c r="R663" s="25">
        <v>-68.464839999999995</v>
      </c>
      <c r="S663">
        <v>-48.7654</v>
      </c>
      <c r="T663">
        <v>-63.4298</v>
      </c>
      <c r="U663">
        <v>48.7654</v>
      </c>
      <c r="V663" t="s">
        <v>1537</v>
      </c>
      <c r="W663" t="s">
        <v>13</v>
      </c>
      <c r="X663" t="s">
        <v>16</v>
      </c>
      <c r="Y663" t="s">
        <v>215</v>
      </c>
    </row>
    <row r="664" spans="1:25" x14ac:dyDescent="0.25">
      <c r="A664" s="4">
        <v>1116</v>
      </c>
      <c r="B664" s="9">
        <v>12162</v>
      </c>
      <c r="C664" s="8" t="s">
        <v>216</v>
      </c>
      <c r="D664" s="6" t="s">
        <v>28</v>
      </c>
      <c r="E664" s="10">
        <v>6</v>
      </c>
      <c r="F664">
        <v>1.4441432472624001</v>
      </c>
      <c r="G664">
        <v>0.35663817133363002</v>
      </c>
      <c r="H664" t="s">
        <v>52</v>
      </c>
      <c r="I664" t="s">
        <v>24</v>
      </c>
      <c r="J664" t="s">
        <v>185</v>
      </c>
      <c r="L664">
        <v>310</v>
      </c>
      <c r="M664" t="s">
        <v>1798</v>
      </c>
      <c r="N664">
        <v>300</v>
      </c>
      <c r="O664" s="1" t="s">
        <v>78</v>
      </c>
      <c r="P664" s="1" t="s">
        <v>214</v>
      </c>
      <c r="Q664" s="25">
        <v>-36.013750000000002</v>
      </c>
      <c r="R664" s="25">
        <v>-68.464839999999995</v>
      </c>
      <c r="S664">
        <v>-48.7654</v>
      </c>
      <c r="T664">
        <v>-63.4298</v>
      </c>
      <c r="U664">
        <v>48.7654</v>
      </c>
      <c r="V664" t="s">
        <v>1537</v>
      </c>
      <c r="W664" t="s">
        <v>13</v>
      </c>
      <c r="X664" t="s">
        <v>16</v>
      </c>
      <c r="Y664" t="s">
        <v>215</v>
      </c>
    </row>
    <row r="665" spans="1:25" x14ac:dyDescent="0.25">
      <c r="A665" s="4">
        <v>1120</v>
      </c>
      <c r="B665" s="9">
        <v>3478</v>
      </c>
      <c r="C665" s="8" t="s">
        <v>216</v>
      </c>
      <c r="D665" s="6" t="s">
        <v>161</v>
      </c>
      <c r="E665" s="10">
        <v>7</v>
      </c>
      <c r="F665">
        <v>11.8246300396729</v>
      </c>
      <c r="G665">
        <v>5.1172565077661796</v>
      </c>
      <c r="H665" t="s">
        <v>52</v>
      </c>
      <c r="I665" t="s">
        <v>24</v>
      </c>
      <c r="J665" t="s">
        <v>185</v>
      </c>
      <c r="L665">
        <v>310</v>
      </c>
      <c r="M665" t="s">
        <v>1798</v>
      </c>
      <c r="N665">
        <v>300</v>
      </c>
      <c r="O665" s="1" t="s">
        <v>78</v>
      </c>
      <c r="P665" s="1" t="s">
        <v>214</v>
      </c>
      <c r="Q665" s="25">
        <v>-36.013750000000002</v>
      </c>
      <c r="R665" s="25">
        <v>-68.464839999999995</v>
      </c>
      <c r="S665">
        <v>-48.7654</v>
      </c>
      <c r="T665">
        <v>-63.4298</v>
      </c>
      <c r="U665">
        <v>48.7654</v>
      </c>
      <c r="V665" t="s">
        <v>1537</v>
      </c>
      <c r="W665" t="s">
        <v>13</v>
      </c>
      <c r="X665" t="s">
        <v>16</v>
      </c>
      <c r="Y665" t="s">
        <v>215</v>
      </c>
    </row>
    <row r="666" spans="1:25" x14ac:dyDescent="0.25">
      <c r="A666" s="4">
        <v>1124</v>
      </c>
      <c r="B666" s="9" t="s">
        <v>224</v>
      </c>
      <c r="C666" s="8" t="s">
        <v>49</v>
      </c>
      <c r="D666" s="6" t="s">
        <v>60</v>
      </c>
      <c r="E666" s="10">
        <v>5</v>
      </c>
      <c r="F666">
        <v>2.5709589251082399</v>
      </c>
      <c r="G666">
        <v>0.26648110228747601</v>
      </c>
      <c r="H666" t="s">
        <v>221</v>
      </c>
      <c r="I666" t="s">
        <v>24</v>
      </c>
      <c r="J666" t="s">
        <v>185</v>
      </c>
      <c r="K666" t="s">
        <v>1449</v>
      </c>
      <c r="L666">
        <v>303</v>
      </c>
      <c r="M666" t="s">
        <v>1798</v>
      </c>
      <c r="N666">
        <v>300</v>
      </c>
      <c r="O666" s="1" t="s">
        <v>223</v>
      </c>
      <c r="P666" s="1" t="s">
        <v>1053</v>
      </c>
      <c r="Q666" s="25">
        <v>-26.119852999999999</v>
      </c>
      <c r="R666" s="25">
        <v>-49.733727999999999</v>
      </c>
      <c r="S666">
        <v>-50.980400000000003</v>
      </c>
      <c r="T666">
        <v>-35.991999999999997</v>
      </c>
      <c r="U666">
        <v>50.980400000000003</v>
      </c>
      <c r="V666" t="s">
        <v>1539</v>
      </c>
      <c r="W666" t="s">
        <v>13</v>
      </c>
      <c r="X666" t="s">
        <v>16</v>
      </c>
      <c r="Y666" t="s">
        <v>222</v>
      </c>
    </row>
    <row r="667" spans="1:25" x14ac:dyDescent="0.25">
      <c r="A667" s="4">
        <v>1126</v>
      </c>
      <c r="B667" s="9" t="s">
        <v>225</v>
      </c>
      <c r="C667" s="8" t="s">
        <v>49</v>
      </c>
      <c r="D667" s="6" t="s">
        <v>28</v>
      </c>
      <c r="E667" s="10">
        <v>6</v>
      </c>
      <c r="F667">
        <v>6.2139088586726396</v>
      </c>
      <c r="G667">
        <v>2.58084354276262</v>
      </c>
      <c r="H667" t="s">
        <v>221</v>
      </c>
      <c r="I667" t="s">
        <v>24</v>
      </c>
      <c r="J667" t="s">
        <v>185</v>
      </c>
      <c r="K667" t="s">
        <v>1449</v>
      </c>
      <c r="L667">
        <v>303</v>
      </c>
      <c r="M667" t="s">
        <v>1798</v>
      </c>
      <c r="N667">
        <v>300</v>
      </c>
      <c r="O667" s="1" t="s">
        <v>223</v>
      </c>
      <c r="P667" s="1" t="s">
        <v>1053</v>
      </c>
      <c r="Q667" s="25">
        <v>-26.119852999999999</v>
      </c>
      <c r="R667" s="25">
        <v>-49.733727999999999</v>
      </c>
      <c r="S667">
        <v>-50.980400000000003</v>
      </c>
      <c r="T667">
        <v>-35.991999999999997</v>
      </c>
      <c r="U667">
        <v>50.980400000000003</v>
      </c>
      <c r="V667" t="s">
        <v>1539</v>
      </c>
      <c r="W667" t="s">
        <v>13</v>
      </c>
      <c r="X667" t="s">
        <v>16</v>
      </c>
      <c r="Y667" t="s">
        <v>222</v>
      </c>
    </row>
    <row r="668" spans="1:25" x14ac:dyDescent="0.25">
      <c r="A668" s="4">
        <v>1127</v>
      </c>
      <c r="B668" s="9" t="s">
        <v>226</v>
      </c>
      <c r="C668" s="8" t="s">
        <v>49</v>
      </c>
      <c r="D668" s="6" t="s">
        <v>28</v>
      </c>
      <c r="E668" s="10">
        <v>6</v>
      </c>
      <c r="F668">
        <v>8.7215057040552004</v>
      </c>
      <c r="G668">
        <v>4.5278508741681804</v>
      </c>
      <c r="H668" t="s">
        <v>221</v>
      </c>
      <c r="I668" t="s">
        <v>24</v>
      </c>
      <c r="J668" t="s">
        <v>185</v>
      </c>
      <c r="K668" t="s">
        <v>1449</v>
      </c>
      <c r="L668">
        <v>303</v>
      </c>
      <c r="M668" t="s">
        <v>1798</v>
      </c>
      <c r="N668">
        <v>300</v>
      </c>
      <c r="O668" s="1" t="s">
        <v>223</v>
      </c>
      <c r="P668" s="1" t="s">
        <v>1053</v>
      </c>
      <c r="Q668" s="25">
        <v>-26.119852999999999</v>
      </c>
      <c r="R668" s="25">
        <v>-49.733727999999999</v>
      </c>
      <c r="S668">
        <v>-50.980400000000003</v>
      </c>
      <c r="T668">
        <v>-35.991999999999997</v>
      </c>
      <c r="U668">
        <v>50.980400000000003</v>
      </c>
      <c r="V668" t="s">
        <v>1539</v>
      </c>
      <c r="W668" t="s">
        <v>13</v>
      </c>
      <c r="X668" t="s">
        <v>16</v>
      </c>
      <c r="Y668" t="s">
        <v>222</v>
      </c>
    </row>
    <row r="669" spans="1:25" x14ac:dyDescent="0.25">
      <c r="A669" s="4">
        <v>1128</v>
      </c>
      <c r="B669" s="9" t="s">
        <v>226</v>
      </c>
      <c r="C669" s="8" t="s">
        <v>49</v>
      </c>
      <c r="D669" s="6" t="s">
        <v>64</v>
      </c>
      <c r="E669" s="10">
        <v>8</v>
      </c>
      <c r="F669">
        <v>2.2889128564223902</v>
      </c>
      <c r="G669">
        <v>0.785659549961091</v>
      </c>
      <c r="H669" t="s">
        <v>221</v>
      </c>
      <c r="I669" t="s">
        <v>24</v>
      </c>
      <c r="J669" t="s">
        <v>185</v>
      </c>
      <c r="K669" t="s">
        <v>1449</v>
      </c>
      <c r="L669">
        <v>303</v>
      </c>
      <c r="M669" t="s">
        <v>1798</v>
      </c>
      <c r="N669">
        <v>300</v>
      </c>
      <c r="O669" s="1" t="s">
        <v>223</v>
      </c>
      <c r="P669" s="1" t="s">
        <v>1053</v>
      </c>
      <c r="Q669" s="25">
        <v>-26.119852999999999</v>
      </c>
      <c r="R669" s="25">
        <v>-49.733727999999999</v>
      </c>
      <c r="S669">
        <v>-50.980400000000003</v>
      </c>
      <c r="T669">
        <v>-35.991999999999997</v>
      </c>
      <c r="U669">
        <v>50.980400000000003</v>
      </c>
      <c r="V669" t="s">
        <v>1539</v>
      </c>
      <c r="W669" t="s">
        <v>13</v>
      </c>
      <c r="X669" t="s">
        <v>16</v>
      </c>
      <c r="Y669" t="s">
        <v>222</v>
      </c>
    </row>
    <row r="670" spans="1:25" x14ac:dyDescent="0.25">
      <c r="A670" s="4">
        <v>1129</v>
      </c>
      <c r="B670" s="9" t="s">
        <v>227</v>
      </c>
      <c r="C670" s="8" t="s">
        <v>49</v>
      </c>
      <c r="D670" s="6" t="s">
        <v>64</v>
      </c>
      <c r="E670" s="10">
        <v>8</v>
      </c>
      <c r="F670">
        <v>9.4116904495561098</v>
      </c>
      <c r="G670">
        <v>2.8526852608239599</v>
      </c>
      <c r="H670" t="s">
        <v>221</v>
      </c>
      <c r="I670" t="s">
        <v>24</v>
      </c>
      <c r="J670" t="s">
        <v>185</v>
      </c>
      <c r="K670" t="s">
        <v>1449</v>
      </c>
      <c r="L670">
        <v>303</v>
      </c>
      <c r="M670" t="s">
        <v>1798</v>
      </c>
      <c r="N670">
        <v>300</v>
      </c>
      <c r="O670" s="1" t="s">
        <v>223</v>
      </c>
      <c r="P670" s="1" t="s">
        <v>1053</v>
      </c>
      <c r="Q670" s="25">
        <v>-26.119852999999999</v>
      </c>
      <c r="R670" s="25">
        <v>-49.733727999999999</v>
      </c>
      <c r="S670">
        <v>-50.980400000000003</v>
      </c>
      <c r="T670">
        <v>-35.991999999999997</v>
      </c>
      <c r="U670">
        <v>50.980400000000003</v>
      </c>
      <c r="V670" t="s">
        <v>1539</v>
      </c>
      <c r="W670" t="s">
        <v>13</v>
      </c>
      <c r="X670" t="s">
        <v>16</v>
      </c>
      <c r="Y670" t="s">
        <v>222</v>
      </c>
    </row>
    <row r="671" spans="1:25" x14ac:dyDescent="0.25">
      <c r="A671" s="4">
        <v>1130</v>
      </c>
      <c r="B671" s="9" t="s">
        <v>154</v>
      </c>
      <c r="C671" s="8" t="s">
        <v>49</v>
      </c>
      <c r="D671" s="6" t="s">
        <v>28</v>
      </c>
      <c r="E671" s="10">
        <v>6</v>
      </c>
      <c r="F671">
        <v>10.306417762132201</v>
      </c>
      <c r="G671">
        <v>5.1821831925169404</v>
      </c>
      <c r="H671" t="s">
        <v>221</v>
      </c>
      <c r="I671" t="s">
        <v>24</v>
      </c>
      <c r="J671" t="s">
        <v>185</v>
      </c>
      <c r="K671" t="s">
        <v>1449</v>
      </c>
      <c r="L671">
        <v>303</v>
      </c>
      <c r="M671" t="s">
        <v>1798</v>
      </c>
      <c r="N671">
        <v>300</v>
      </c>
      <c r="O671" s="1" t="s">
        <v>223</v>
      </c>
      <c r="P671" s="1" t="s">
        <v>1053</v>
      </c>
      <c r="Q671" s="25">
        <v>-26.119852999999999</v>
      </c>
      <c r="R671" s="25">
        <v>-49.733727999999999</v>
      </c>
      <c r="S671">
        <v>-50.980400000000003</v>
      </c>
      <c r="T671">
        <v>-35.991999999999997</v>
      </c>
      <c r="U671">
        <v>50.980400000000003</v>
      </c>
      <c r="V671" t="s">
        <v>1539</v>
      </c>
      <c r="W671" t="s">
        <v>13</v>
      </c>
      <c r="X671" t="s">
        <v>16</v>
      </c>
      <c r="Y671" t="s">
        <v>222</v>
      </c>
    </row>
    <row r="672" spans="1:25" x14ac:dyDescent="0.25">
      <c r="A672" s="4">
        <v>1131</v>
      </c>
      <c r="B672" s="9" t="s">
        <v>155</v>
      </c>
      <c r="C672" s="8" t="s">
        <v>49</v>
      </c>
      <c r="D672" s="6" t="s">
        <v>28</v>
      </c>
      <c r="E672" s="10">
        <v>6</v>
      </c>
      <c r="F672">
        <v>2.87030549814029</v>
      </c>
      <c r="G672">
        <v>0.72164615518795405</v>
      </c>
      <c r="H672" t="s">
        <v>221</v>
      </c>
      <c r="I672" t="s">
        <v>24</v>
      </c>
      <c r="J672" t="s">
        <v>185</v>
      </c>
      <c r="K672" t="s">
        <v>1449</v>
      </c>
      <c r="L672">
        <v>303</v>
      </c>
      <c r="M672" t="s">
        <v>1798</v>
      </c>
      <c r="N672">
        <v>300</v>
      </c>
      <c r="O672" s="1" t="s">
        <v>223</v>
      </c>
      <c r="P672" s="1" t="s">
        <v>1053</v>
      </c>
      <c r="Q672" s="25">
        <v>-26.119852999999999</v>
      </c>
      <c r="R672" s="25">
        <v>-49.733727999999999</v>
      </c>
      <c r="S672">
        <v>-50.980400000000003</v>
      </c>
      <c r="T672">
        <v>-35.991999999999997</v>
      </c>
      <c r="U672">
        <v>50.980400000000003</v>
      </c>
      <c r="V672" t="s">
        <v>1539</v>
      </c>
      <c r="W672" t="s">
        <v>13</v>
      </c>
      <c r="X672" t="s">
        <v>16</v>
      </c>
      <c r="Y672" t="s">
        <v>222</v>
      </c>
    </row>
    <row r="673" spans="1:25" x14ac:dyDescent="0.25">
      <c r="A673" s="4">
        <v>1136</v>
      </c>
      <c r="B673" s="9" t="s">
        <v>155</v>
      </c>
      <c r="C673" s="8" t="s">
        <v>49</v>
      </c>
      <c r="D673" s="6" t="s">
        <v>59</v>
      </c>
      <c r="E673" s="10">
        <v>5</v>
      </c>
      <c r="F673">
        <v>3.8638003926060298</v>
      </c>
      <c r="G673">
        <v>1.4562209795332499</v>
      </c>
      <c r="H673" t="s">
        <v>221</v>
      </c>
      <c r="I673" t="s">
        <v>24</v>
      </c>
      <c r="J673" t="s">
        <v>185</v>
      </c>
      <c r="K673" t="s">
        <v>1449</v>
      </c>
      <c r="L673">
        <v>303</v>
      </c>
      <c r="M673" t="s">
        <v>1798</v>
      </c>
      <c r="N673">
        <v>300</v>
      </c>
      <c r="O673" s="1" t="s">
        <v>223</v>
      </c>
      <c r="P673" s="1" t="s">
        <v>1053</v>
      </c>
      <c r="Q673" s="25">
        <v>-26.119852999999999</v>
      </c>
      <c r="R673" s="25">
        <v>-49.733727999999999</v>
      </c>
      <c r="S673">
        <v>-50.980400000000003</v>
      </c>
      <c r="T673">
        <v>-35.991999999999997</v>
      </c>
      <c r="U673">
        <v>50.980400000000003</v>
      </c>
      <c r="V673" t="s">
        <v>1539</v>
      </c>
      <c r="W673" t="s">
        <v>13</v>
      </c>
      <c r="X673" t="s">
        <v>16</v>
      </c>
      <c r="Y673" t="s">
        <v>222</v>
      </c>
    </row>
    <row r="674" spans="1:25" x14ac:dyDescent="0.25">
      <c r="A674" s="4">
        <v>1141</v>
      </c>
      <c r="B674" s="9" t="s">
        <v>159</v>
      </c>
      <c r="C674" s="8" t="s">
        <v>49</v>
      </c>
      <c r="D674" s="6" t="s">
        <v>59</v>
      </c>
      <c r="E674" s="10">
        <v>5</v>
      </c>
      <c r="F674">
        <v>5.4389996358203296</v>
      </c>
      <c r="G674">
        <v>2.0935887626626899</v>
      </c>
      <c r="H674" t="s">
        <v>221</v>
      </c>
      <c r="I674" t="s">
        <v>24</v>
      </c>
      <c r="J674" t="s">
        <v>185</v>
      </c>
      <c r="K674" t="s">
        <v>1449</v>
      </c>
      <c r="L674">
        <v>303</v>
      </c>
      <c r="M674" t="s">
        <v>1798</v>
      </c>
      <c r="N674">
        <v>300</v>
      </c>
      <c r="O674" s="1" t="s">
        <v>223</v>
      </c>
      <c r="P674" s="1" t="s">
        <v>1053</v>
      </c>
      <c r="Q674" s="25">
        <v>-26.119852999999999</v>
      </c>
      <c r="R674" s="25">
        <v>-49.733727999999999</v>
      </c>
      <c r="S674">
        <v>-50.980400000000003</v>
      </c>
      <c r="T674">
        <v>-35.991999999999997</v>
      </c>
      <c r="U674">
        <v>50.980400000000003</v>
      </c>
      <c r="V674" t="s">
        <v>1539</v>
      </c>
      <c r="W674" t="s">
        <v>13</v>
      </c>
      <c r="X674" t="s">
        <v>16</v>
      </c>
      <c r="Y674" t="s">
        <v>222</v>
      </c>
    </row>
    <row r="675" spans="1:25" x14ac:dyDescent="0.25">
      <c r="A675" s="4">
        <v>1142</v>
      </c>
      <c r="B675" s="9" t="s">
        <v>158</v>
      </c>
      <c r="C675" s="8" t="s">
        <v>49</v>
      </c>
      <c r="D675" s="6" t="s">
        <v>28</v>
      </c>
      <c r="E675" s="10">
        <v>6</v>
      </c>
      <c r="F675">
        <v>4.4112896705596096</v>
      </c>
      <c r="G675">
        <v>2.10005655223567</v>
      </c>
      <c r="H675" t="s">
        <v>221</v>
      </c>
      <c r="I675" t="s">
        <v>24</v>
      </c>
      <c r="J675" t="s">
        <v>185</v>
      </c>
      <c r="K675" t="s">
        <v>1449</v>
      </c>
      <c r="L675">
        <v>303</v>
      </c>
      <c r="M675" t="s">
        <v>1798</v>
      </c>
      <c r="N675">
        <v>300</v>
      </c>
      <c r="O675" s="1" t="s">
        <v>223</v>
      </c>
      <c r="P675" s="1" t="s">
        <v>1053</v>
      </c>
      <c r="Q675" s="25">
        <v>-26.119852999999999</v>
      </c>
      <c r="R675" s="25">
        <v>-49.733727999999999</v>
      </c>
      <c r="S675">
        <v>-50.980400000000003</v>
      </c>
      <c r="T675">
        <v>-35.991999999999997</v>
      </c>
      <c r="U675">
        <v>50.980400000000003</v>
      </c>
      <c r="V675" t="s">
        <v>1539</v>
      </c>
      <c r="W675" t="s">
        <v>13</v>
      </c>
      <c r="X675" t="s">
        <v>16</v>
      </c>
      <c r="Y675" t="s">
        <v>222</v>
      </c>
    </row>
    <row r="676" spans="1:25" x14ac:dyDescent="0.25">
      <c r="A676" s="4">
        <v>1143</v>
      </c>
      <c r="B676" s="9" t="s">
        <v>229</v>
      </c>
      <c r="C676" s="8" t="s">
        <v>49</v>
      </c>
      <c r="D676" s="6" t="s">
        <v>59</v>
      </c>
      <c r="E676" s="10">
        <v>5</v>
      </c>
      <c r="F676">
        <v>2.4712616473366502</v>
      </c>
      <c r="G676">
        <v>0.94668144845964697</v>
      </c>
      <c r="H676" t="s">
        <v>221</v>
      </c>
      <c r="I676" t="s">
        <v>24</v>
      </c>
      <c r="J676" t="s">
        <v>185</v>
      </c>
      <c r="K676" t="s">
        <v>1449</v>
      </c>
      <c r="L676">
        <v>303</v>
      </c>
      <c r="M676" t="s">
        <v>1798</v>
      </c>
      <c r="N676">
        <v>300</v>
      </c>
      <c r="O676" s="1" t="s">
        <v>223</v>
      </c>
      <c r="P676" s="1" t="s">
        <v>1053</v>
      </c>
      <c r="Q676" s="25">
        <v>-26.119852999999999</v>
      </c>
      <c r="R676" s="25">
        <v>-49.733727999999999</v>
      </c>
      <c r="S676">
        <v>-50.980400000000003</v>
      </c>
      <c r="T676">
        <v>-35.991999999999997</v>
      </c>
      <c r="U676">
        <v>50.980400000000003</v>
      </c>
      <c r="V676" t="s">
        <v>1539</v>
      </c>
      <c r="W676" t="s">
        <v>13</v>
      </c>
      <c r="X676" t="s">
        <v>16</v>
      </c>
      <c r="Y676" t="s">
        <v>222</v>
      </c>
    </row>
    <row r="677" spans="1:25" x14ac:dyDescent="0.25">
      <c r="A677" s="4">
        <v>1150</v>
      </c>
      <c r="B677" s="22" t="s">
        <v>228</v>
      </c>
      <c r="C677" s="23" t="s">
        <v>49</v>
      </c>
      <c r="D677" s="24" t="s">
        <v>73</v>
      </c>
      <c r="E677" s="10">
        <v>6</v>
      </c>
      <c r="F677" s="25">
        <v>20.1796365238263</v>
      </c>
      <c r="G677" s="25">
        <v>10.079342437087799</v>
      </c>
      <c r="H677" s="25" t="s">
        <v>221</v>
      </c>
      <c r="I677" s="25" t="s">
        <v>24</v>
      </c>
      <c r="J677" s="25" t="s">
        <v>185</v>
      </c>
      <c r="K677" s="25" t="s">
        <v>1449</v>
      </c>
      <c r="L677">
        <v>303</v>
      </c>
      <c r="M677" t="s">
        <v>1798</v>
      </c>
      <c r="N677">
        <v>300</v>
      </c>
      <c r="O677" s="26" t="s">
        <v>223</v>
      </c>
      <c r="P677" s="26" t="s">
        <v>1052</v>
      </c>
      <c r="Q677" s="25">
        <v>-27.288145</v>
      </c>
      <c r="R677" s="26">
        <v>-49.796455000000002</v>
      </c>
      <c r="S677">
        <v>-51.956000000000003</v>
      </c>
      <c r="T677">
        <v>-37.027700000000003</v>
      </c>
      <c r="U677">
        <v>51.956000000000003</v>
      </c>
      <c r="V677" t="s">
        <v>1539</v>
      </c>
      <c r="W677" s="25" t="s">
        <v>13</v>
      </c>
      <c r="X677" s="25" t="s">
        <v>16</v>
      </c>
      <c r="Y677" s="25" t="s">
        <v>222</v>
      </c>
    </row>
    <row r="678" spans="1:25" x14ac:dyDescent="0.25">
      <c r="A678" s="4">
        <v>1151</v>
      </c>
      <c r="B678" s="9" t="s">
        <v>228</v>
      </c>
      <c r="C678" s="8" t="s">
        <v>49</v>
      </c>
      <c r="D678" s="6" t="s">
        <v>67</v>
      </c>
      <c r="E678" s="10">
        <v>6</v>
      </c>
      <c r="F678">
        <v>20.351793346231101</v>
      </c>
      <c r="G678">
        <v>14.5691274336651</v>
      </c>
      <c r="H678" t="s">
        <v>221</v>
      </c>
      <c r="I678" t="s">
        <v>24</v>
      </c>
      <c r="J678" t="s">
        <v>185</v>
      </c>
      <c r="K678" s="25" t="s">
        <v>1449</v>
      </c>
      <c r="L678">
        <v>303</v>
      </c>
      <c r="M678" t="s">
        <v>1798</v>
      </c>
      <c r="N678">
        <v>300</v>
      </c>
      <c r="O678" s="1" t="s">
        <v>223</v>
      </c>
      <c r="P678" s="1" t="s">
        <v>1052</v>
      </c>
      <c r="Q678" s="25">
        <v>-27.288145</v>
      </c>
      <c r="R678" s="26">
        <v>-49.796455000000002</v>
      </c>
      <c r="S678">
        <v>-51.956000000000003</v>
      </c>
      <c r="T678">
        <v>-37.027700000000003</v>
      </c>
      <c r="U678">
        <v>51.956000000000003</v>
      </c>
      <c r="V678" t="s">
        <v>1539</v>
      </c>
      <c r="W678" t="s">
        <v>13</v>
      </c>
      <c r="X678" t="s">
        <v>16</v>
      </c>
      <c r="Y678" t="s">
        <v>222</v>
      </c>
    </row>
    <row r="679" spans="1:25" x14ac:dyDescent="0.25">
      <c r="A679" s="4">
        <v>1152</v>
      </c>
      <c r="B679" s="9" t="s">
        <v>228</v>
      </c>
      <c r="C679" s="8" t="s">
        <v>49</v>
      </c>
      <c r="D679" s="6" t="s">
        <v>28</v>
      </c>
      <c r="E679" s="10">
        <v>6</v>
      </c>
      <c r="F679">
        <v>5.3917327930346497</v>
      </c>
      <c r="G679">
        <v>2.99646097873427</v>
      </c>
      <c r="H679" t="s">
        <v>221</v>
      </c>
      <c r="I679" t="s">
        <v>24</v>
      </c>
      <c r="J679" t="s">
        <v>185</v>
      </c>
      <c r="K679" s="25" t="s">
        <v>1449</v>
      </c>
      <c r="L679">
        <v>303</v>
      </c>
      <c r="M679" t="s">
        <v>1798</v>
      </c>
      <c r="N679">
        <v>300</v>
      </c>
      <c r="O679" s="1" t="s">
        <v>223</v>
      </c>
      <c r="P679" s="1" t="s">
        <v>1052</v>
      </c>
      <c r="Q679" s="25">
        <v>-27.288145</v>
      </c>
      <c r="R679" s="26">
        <v>-49.796455000000002</v>
      </c>
      <c r="S679">
        <v>-51.956000000000003</v>
      </c>
      <c r="T679">
        <v>-37.027700000000003</v>
      </c>
      <c r="U679">
        <v>51.956000000000003</v>
      </c>
      <c r="V679" t="s">
        <v>1539</v>
      </c>
      <c r="W679" t="s">
        <v>13</v>
      </c>
      <c r="X679" t="s">
        <v>16</v>
      </c>
      <c r="Y679" t="s">
        <v>222</v>
      </c>
    </row>
    <row r="680" spans="1:25" x14ac:dyDescent="0.25">
      <c r="A680" s="4">
        <v>1155</v>
      </c>
      <c r="B680" s="9" t="s">
        <v>230</v>
      </c>
      <c r="C680" s="8" t="s">
        <v>49</v>
      </c>
      <c r="D680" s="6" t="s">
        <v>59</v>
      </c>
      <c r="E680" s="10">
        <v>5</v>
      </c>
      <c r="F680">
        <v>4.2970606641246896</v>
      </c>
      <c r="G680">
        <v>2.0579333629121299</v>
      </c>
      <c r="H680" t="s">
        <v>221</v>
      </c>
      <c r="I680" t="s">
        <v>24</v>
      </c>
      <c r="J680" t="s">
        <v>185</v>
      </c>
      <c r="K680" s="25" t="s">
        <v>1449</v>
      </c>
      <c r="L680">
        <v>303</v>
      </c>
      <c r="M680" t="s">
        <v>1798</v>
      </c>
      <c r="N680">
        <v>300</v>
      </c>
      <c r="O680" s="1" t="s">
        <v>223</v>
      </c>
      <c r="P680" s="1" t="s">
        <v>1052</v>
      </c>
      <c r="Q680" s="25">
        <v>-27.288145</v>
      </c>
      <c r="R680" s="26">
        <v>-49.796455000000002</v>
      </c>
      <c r="S680">
        <v>-51.956000000000003</v>
      </c>
      <c r="T680">
        <v>-37.027700000000003</v>
      </c>
      <c r="U680">
        <v>51.956000000000003</v>
      </c>
      <c r="V680" t="s">
        <v>1539</v>
      </c>
      <c r="W680" t="s">
        <v>13</v>
      </c>
      <c r="X680" t="s">
        <v>16</v>
      </c>
      <c r="Y680" t="s">
        <v>222</v>
      </c>
    </row>
    <row r="681" spans="1:25" x14ac:dyDescent="0.25">
      <c r="A681" s="4">
        <v>1160</v>
      </c>
      <c r="B681" s="9" t="s">
        <v>231</v>
      </c>
      <c r="C681" s="8" t="s">
        <v>49</v>
      </c>
      <c r="D681" s="6" t="s">
        <v>28</v>
      </c>
      <c r="E681" s="10">
        <v>6</v>
      </c>
      <c r="F681">
        <v>6.7235068381895697</v>
      </c>
      <c r="G681">
        <v>1.9163166251019501</v>
      </c>
      <c r="H681" t="s">
        <v>221</v>
      </c>
      <c r="I681" t="s">
        <v>24</v>
      </c>
      <c r="J681" t="s">
        <v>185</v>
      </c>
      <c r="K681" s="25" t="s">
        <v>1449</v>
      </c>
      <c r="L681">
        <v>303</v>
      </c>
      <c r="M681" t="s">
        <v>1798</v>
      </c>
      <c r="N681">
        <v>300</v>
      </c>
      <c r="O681" s="1" t="s">
        <v>223</v>
      </c>
      <c r="P681" s="1" t="s">
        <v>1052</v>
      </c>
      <c r="Q681" s="25">
        <v>-27.288145</v>
      </c>
      <c r="R681" s="26">
        <v>-49.796455000000002</v>
      </c>
      <c r="S681">
        <v>-51.956000000000003</v>
      </c>
      <c r="T681">
        <v>-37.027700000000003</v>
      </c>
      <c r="U681">
        <v>51.956000000000003</v>
      </c>
      <c r="V681" t="s">
        <v>1539</v>
      </c>
      <c r="W681" t="s">
        <v>13</v>
      </c>
      <c r="X681" t="s">
        <v>16</v>
      </c>
      <c r="Y681" t="s">
        <v>222</v>
      </c>
    </row>
    <row r="682" spans="1:25" x14ac:dyDescent="0.25">
      <c r="A682" s="4">
        <v>1161</v>
      </c>
      <c r="B682" s="9" t="s">
        <v>82</v>
      </c>
      <c r="C682" s="8" t="s">
        <v>29</v>
      </c>
      <c r="D682" s="6" t="s">
        <v>28</v>
      </c>
      <c r="E682" s="10">
        <v>6</v>
      </c>
      <c r="F682">
        <v>15.7953158376025</v>
      </c>
      <c r="G682">
        <v>6.7722140216925801</v>
      </c>
      <c r="H682" t="s">
        <v>221</v>
      </c>
      <c r="I682" t="s">
        <v>24</v>
      </c>
      <c r="J682" t="s">
        <v>185</v>
      </c>
      <c r="K682" s="25" t="s">
        <v>1449</v>
      </c>
      <c r="L682">
        <v>303</v>
      </c>
      <c r="M682" t="s">
        <v>1798</v>
      </c>
      <c r="N682">
        <v>300</v>
      </c>
      <c r="O682" s="1" t="s">
        <v>223</v>
      </c>
      <c r="P682" s="1" t="s">
        <v>1052</v>
      </c>
      <c r="Q682" s="25">
        <v>-27.288084000000001</v>
      </c>
      <c r="R682" s="25">
        <v>-49.796143000000001</v>
      </c>
      <c r="S682">
        <v>-51.956099999999999</v>
      </c>
      <c r="T682">
        <v>-37.027299999999997</v>
      </c>
      <c r="U682">
        <v>51.956099999999999</v>
      </c>
      <c r="V682" t="s">
        <v>1539</v>
      </c>
      <c r="W682" t="s">
        <v>15</v>
      </c>
      <c r="X682" t="s">
        <v>17</v>
      </c>
      <c r="Y682" s="1" t="s">
        <v>232</v>
      </c>
    </row>
    <row r="683" spans="1:25" x14ac:dyDescent="0.25">
      <c r="A683" s="4">
        <v>1169</v>
      </c>
      <c r="B683" s="9" t="s">
        <v>1373</v>
      </c>
      <c r="C683" s="18" t="s">
        <v>1372</v>
      </c>
      <c r="D683" s="6" t="s">
        <v>60</v>
      </c>
      <c r="E683" s="10">
        <v>5</v>
      </c>
      <c r="F683">
        <v>1.50046821943487</v>
      </c>
      <c r="G683">
        <v>0.20958124850587201</v>
      </c>
      <c r="H683" t="s">
        <v>221</v>
      </c>
      <c r="I683" t="s">
        <v>24</v>
      </c>
      <c r="J683" t="s">
        <v>185</v>
      </c>
      <c r="K683" s="25" t="s">
        <v>1449</v>
      </c>
      <c r="L683">
        <v>303</v>
      </c>
      <c r="M683" t="s">
        <v>1798</v>
      </c>
      <c r="N683">
        <v>300</v>
      </c>
      <c r="O683" s="1" t="s">
        <v>223</v>
      </c>
      <c r="P683" s="1" t="s">
        <v>1052</v>
      </c>
      <c r="Q683" s="25">
        <v>-27.288084000000001</v>
      </c>
      <c r="R683" s="25">
        <v>-49.796143000000001</v>
      </c>
      <c r="S683">
        <v>-51.956099999999999</v>
      </c>
      <c r="T683">
        <v>-37.027299999999997</v>
      </c>
      <c r="U683">
        <v>51.956099999999999</v>
      </c>
      <c r="V683" t="s">
        <v>1539</v>
      </c>
      <c r="W683" t="s">
        <v>15</v>
      </c>
      <c r="X683" t="s">
        <v>17</v>
      </c>
      <c r="Y683" s="1" t="s">
        <v>232</v>
      </c>
    </row>
    <row r="684" spans="1:25" x14ac:dyDescent="0.25">
      <c r="A684" s="4">
        <v>1171</v>
      </c>
      <c r="B684" s="9" t="s">
        <v>1374</v>
      </c>
      <c r="C684" s="18" t="s">
        <v>1372</v>
      </c>
      <c r="D684" s="6" t="s">
        <v>60</v>
      </c>
      <c r="E684" s="10">
        <v>5</v>
      </c>
      <c r="F684">
        <v>2.1042134668380599</v>
      </c>
      <c r="G684">
        <v>0.22987451239155801</v>
      </c>
      <c r="H684" t="s">
        <v>221</v>
      </c>
      <c r="I684" t="s">
        <v>24</v>
      </c>
      <c r="J684" t="s">
        <v>185</v>
      </c>
      <c r="K684" s="25" t="s">
        <v>1449</v>
      </c>
      <c r="L684">
        <v>303</v>
      </c>
      <c r="M684" t="s">
        <v>1798</v>
      </c>
      <c r="N684">
        <v>300</v>
      </c>
      <c r="O684" s="1" t="s">
        <v>223</v>
      </c>
      <c r="P684" s="1" t="s">
        <v>1052</v>
      </c>
      <c r="Q684" s="25">
        <v>-27.288084000000001</v>
      </c>
      <c r="R684" s="25">
        <v>-49.796143000000001</v>
      </c>
      <c r="S684">
        <v>-51.956099999999999</v>
      </c>
      <c r="T684">
        <v>-37.027299999999997</v>
      </c>
      <c r="U684">
        <v>51.956099999999999</v>
      </c>
      <c r="V684" t="s">
        <v>1539</v>
      </c>
      <c r="W684" t="s">
        <v>15</v>
      </c>
      <c r="X684" t="s">
        <v>17</v>
      </c>
      <c r="Y684" s="1" t="s">
        <v>232</v>
      </c>
    </row>
    <row r="685" spans="1:25" x14ac:dyDescent="0.25">
      <c r="A685" s="4">
        <v>1175</v>
      </c>
      <c r="B685" s="9" t="s">
        <v>1375</v>
      </c>
      <c r="C685" s="18" t="s">
        <v>1372</v>
      </c>
      <c r="D685" s="6" t="s">
        <v>28</v>
      </c>
      <c r="E685" s="10">
        <v>6</v>
      </c>
      <c r="F685">
        <v>4.3028572414604902</v>
      </c>
      <c r="G685">
        <v>2.34480605877823</v>
      </c>
      <c r="H685" t="s">
        <v>221</v>
      </c>
      <c r="I685" t="s">
        <v>24</v>
      </c>
      <c r="J685" t="s">
        <v>185</v>
      </c>
      <c r="K685" s="25" t="s">
        <v>1449</v>
      </c>
      <c r="L685">
        <v>303</v>
      </c>
      <c r="M685" t="s">
        <v>1798</v>
      </c>
      <c r="N685">
        <v>300</v>
      </c>
      <c r="O685" s="1" t="s">
        <v>223</v>
      </c>
      <c r="P685" s="1" t="s">
        <v>1052</v>
      </c>
      <c r="Q685" s="25">
        <v>-27.288084000000001</v>
      </c>
      <c r="R685" s="25">
        <v>-49.796143000000001</v>
      </c>
      <c r="S685">
        <v>-51.956099999999999</v>
      </c>
      <c r="T685">
        <v>-37.027299999999997</v>
      </c>
      <c r="U685">
        <v>51.956099999999999</v>
      </c>
      <c r="V685" t="s">
        <v>1539</v>
      </c>
      <c r="W685" t="s">
        <v>15</v>
      </c>
      <c r="X685" t="s">
        <v>17</v>
      </c>
      <c r="Y685" s="1" t="s">
        <v>232</v>
      </c>
    </row>
    <row r="686" spans="1:25" x14ac:dyDescent="0.25">
      <c r="A686" s="4">
        <v>1180</v>
      </c>
      <c r="B686" s="9" t="s">
        <v>1376</v>
      </c>
      <c r="C686" s="18" t="s">
        <v>1372</v>
      </c>
      <c r="D686" s="6" t="s">
        <v>28</v>
      </c>
      <c r="E686" s="10">
        <v>6</v>
      </c>
      <c r="F686">
        <v>18.860080168289301</v>
      </c>
      <c r="G686">
        <v>7.00058935928043</v>
      </c>
      <c r="H686" t="s">
        <v>221</v>
      </c>
      <c r="I686" t="s">
        <v>24</v>
      </c>
      <c r="J686" t="s">
        <v>185</v>
      </c>
      <c r="K686" s="25" t="s">
        <v>1449</v>
      </c>
      <c r="L686">
        <v>303</v>
      </c>
      <c r="M686" t="s">
        <v>1798</v>
      </c>
      <c r="N686">
        <v>300</v>
      </c>
      <c r="O686" s="1" t="s">
        <v>223</v>
      </c>
      <c r="P686" s="1" t="s">
        <v>1052</v>
      </c>
      <c r="Q686" s="25">
        <v>-27.288084000000001</v>
      </c>
      <c r="R686" s="25">
        <v>-49.796143000000001</v>
      </c>
      <c r="S686">
        <v>-51.956099999999999</v>
      </c>
      <c r="T686">
        <v>-37.027299999999997</v>
      </c>
      <c r="U686">
        <v>51.956099999999999</v>
      </c>
      <c r="V686" t="s">
        <v>1539</v>
      </c>
      <c r="W686" t="s">
        <v>15</v>
      </c>
      <c r="X686" t="s">
        <v>17</v>
      </c>
      <c r="Y686" s="1" t="s">
        <v>232</v>
      </c>
    </row>
    <row r="687" spans="1:25" x14ac:dyDescent="0.25">
      <c r="A687" s="4">
        <v>1181</v>
      </c>
      <c r="B687" s="9" t="s">
        <v>1376</v>
      </c>
      <c r="C687" s="18" t="s">
        <v>1372</v>
      </c>
      <c r="D687" s="6" t="s">
        <v>73</v>
      </c>
      <c r="E687" s="10">
        <v>6</v>
      </c>
      <c r="F687">
        <v>20.352026199231499</v>
      </c>
      <c r="G687">
        <v>8.5741795995266905</v>
      </c>
      <c r="H687" t="s">
        <v>221</v>
      </c>
      <c r="I687" t="s">
        <v>24</v>
      </c>
      <c r="J687" t="s">
        <v>185</v>
      </c>
      <c r="K687" s="25" t="s">
        <v>1449</v>
      </c>
      <c r="L687">
        <v>303</v>
      </c>
      <c r="M687" t="s">
        <v>1798</v>
      </c>
      <c r="N687">
        <v>300</v>
      </c>
      <c r="O687" s="1" t="s">
        <v>223</v>
      </c>
      <c r="P687" s="1" t="s">
        <v>1052</v>
      </c>
      <c r="Q687" s="25">
        <v>-27.288084000000001</v>
      </c>
      <c r="R687" s="25">
        <v>-49.796143000000001</v>
      </c>
      <c r="S687">
        <v>-51.956099999999999</v>
      </c>
      <c r="T687">
        <v>-37.027299999999997</v>
      </c>
      <c r="U687">
        <v>51.956099999999999</v>
      </c>
      <c r="V687" t="s">
        <v>1539</v>
      </c>
      <c r="W687" t="s">
        <v>15</v>
      </c>
      <c r="X687" t="s">
        <v>17</v>
      </c>
      <c r="Y687" s="1" t="s">
        <v>232</v>
      </c>
    </row>
    <row r="688" spans="1:25" x14ac:dyDescent="0.25">
      <c r="A688" s="4">
        <v>1182</v>
      </c>
      <c r="B688" s="9" t="s">
        <v>1377</v>
      </c>
      <c r="C688" s="18" t="s">
        <v>1372</v>
      </c>
      <c r="D688" s="6" t="s">
        <v>59</v>
      </c>
      <c r="E688" s="10">
        <v>5</v>
      </c>
      <c r="F688">
        <v>3.2060929371050202</v>
      </c>
      <c r="G688">
        <v>1.3750959716429401</v>
      </c>
      <c r="H688" t="s">
        <v>221</v>
      </c>
      <c r="I688" t="s">
        <v>24</v>
      </c>
      <c r="J688" t="s">
        <v>185</v>
      </c>
      <c r="K688" s="25" t="s">
        <v>1449</v>
      </c>
      <c r="L688">
        <v>303</v>
      </c>
      <c r="M688" t="s">
        <v>1798</v>
      </c>
      <c r="N688">
        <v>300</v>
      </c>
      <c r="O688" s="1" t="s">
        <v>223</v>
      </c>
      <c r="P688" s="1" t="s">
        <v>1052</v>
      </c>
      <c r="Q688" s="25">
        <v>-27.288084000000001</v>
      </c>
      <c r="R688" s="25">
        <v>-49.796143000000001</v>
      </c>
      <c r="S688">
        <v>-51.956099999999999</v>
      </c>
      <c r="T688">
        <v>-37.027299999999997</v>
      </c>
      <c r="U688">
        <v>51.956099999999999</v>
      </c>
      <c r="V688" t="s">
        <v>1539</v>
      </c>
      <c r="W688" t="s">
        <v>15</v>
      </c>
      <c r="X688" t="s">
        <v>17</v>
      </c>
      <c r="Y688" s="1" t="s">
        <v>232</v>
      </c>
    </row>
    <row r="689" spans="1:25" x14ac:dyDescent="0.25">
      <c r="A689" s="4">
        <v>1183</v>
      </c>
      <c r="B689" s="9" t="s">
        <v>1377</v>
      </c>
      <c r="C689" s="18" t="s">
        <v>1372</v>
      </c>
      <c r="D689" s="6" t="s">
        <v>28</v>
      </c>
      <c r="E689" s="10">
        <v>6</v>
      </c>
      <c r="F689">
        <v>2.1075749424178798</v>
      </c>
      <c r="G689">
        <v>0.83400566872613202</v>
      </c>
      <c r="H689" t="s">
        <v>221</v>
      </c>
      <c r="I689" t="s">
        <v>24</v>
      </c>
      <c r="J689" t="s">
        <v>185</v>
      </c>
      <c r="K689" s="25" t="s">
        <v>1449</v>
      </c>
      <c r="L689">
        <v>303</v>
      </c>
      <c r="M689" t="s">
        <v>1798</v>
      </c>
      <c r="N689">
        <v>300</v>
      </c>
      <c r="O689" s="1" t="s">
        <v>223</v>
      </c>
      <c r="P689" s="1" t="s">
        <v>1052</v>
      </c>
      <c r="Q689" s="25">
        <v>-27.288084000000001</v>
      </c>
      <c r="R689" s="25">
        <v>-49.796143000000001</v>
      </c>
      <c r="S689">
        <v>-51.956099999999999</v>
      </c>
      <c r="T689">
        <v>-37.027299999999997</v>
      </c>
      <c r="U689">
        <v>51.956099999999999</v>
      </c>
      <c r="V689" t="s">
        <v>1539</v>
      </c>
      <c r="W689" t="s">
        <v>15</v>
      </c>
      <c r="X689" t="s">
        <v>17</v>
      </c>
      <c r="Y689" s="1" t="s">
        <v>232</v>
      </c>
    </row>
    <row r="690" spans="1:25" x14ac:dyDescent="0.25">
      <c r="A690" s="4">
        <v>1184</v>
      </c>
      <c r="B690" s="9" t="s">
        <v>1378</v>
      </c>
      <c r="C690" s="18" t="s">
        <v>1372</v>
      </c>
      <c r="D690" s="6" t="s">
        <v>161</v>
      </c>
      <c r="E690" s="10">
        <v>7</v>
      </c>
      <c r="F690">
        <v>23.438937820910599</v>
      </c>
      <c r="G690">
        <v>6.1833560296017396</v>
      </c>
      <c r="H690" t="s">
        <v>221</v>
      </c>
      <c r="I690" t="s">
        <v>24</v>
      </c>
      <c r="J690" t="s">
        <v>185</v>
      </c>
      <c r="K690" s="25" t="s">
        <v>1449</v>
      </c>
      <c r="L690">
        <v>303</v>
      </c>
      <c r="M690" t="s">
        <v>1798</v>
      </c>
      <c r="N690">
        <v>300</v>
      </c>
      <c r="O690" s="1" t="s">
        <v>223</v>
      </c>
      <c r="P690" s="1" t="s">
        <v>1052</v>
      </c>
      <c r="Q690" s="25">
        <v>-27.288084000000001</v>
      </c>
      <c r="R690" s="25">
        <v>-49.796143000000001</v>
      </c>
      <c r="S690">
        <v>-51.956099999999999</v>
      </c>
      <c r="T690">
        <v>-37.027299999999997</v>
      </c>
      <c r="U690">
        <v>51.956099999999999</v>
      </c>
      <c r="V690" t="s">
        <v>1539</v>
      </c>
      <c r="W690" t="s">
        <v>15</v>
      </c>
      <c r="X690" t="s">
        <v>17</v>
      </c>
      <c r="Y690" s="1" t="s">
        <v>232</v>
      </c>
    </row>
    <row r="691" spans="1:25" x14ac:dyDescent="0.25">
      <c r="A691" s="4">
        <v>1185</v>
      </c>
      <c r="B691" s="9" t="s">
        <v>1379</v>
      </c>
      <c r="C691" s="18" t="s">
        <v>1372</v>
      </c>
      <c r="D691" s="6" t="s">
        <v>233</v>
      </c>
      <c r="E691" s="10">
        <v>6</v>
      </c>
      <c r="F691">
        <v>12.555835451189701</v>
      </c>
      <c r="G691">
        <v>7.7024754067416401</v>
      </c>
      <c r="H691" t="s">
        <v>221</v>
      </c>
      <c r="I691" t="s">
        <v>24</v>
      </c>
      <c r="J691" t="s">
        <v>185</v>
      </c>
      <c r="K691" s="25" t="s">
        <v>1449</v>
      </c>
      <c r="L691">
        <v>303</v>
      </c>
      <c r="M691" t="s">
        <v>1798</v>
      </c>
      <c r="N691">
        <v>300</v>
      </c>
      <c r="O691" s="1" t="s">
        <v>223</v>
      </c>
      <c r="P691" s="1" t="s">
        <v>1052</v>
      </c>
      <c r="Q691" s="25">
        <v>-27.288084000000001</v>
      </c>
      <c r="R691" s="25">
        <v>-49.796143000000001</v>
      </c>
      <c r="S691">
        <v>-51.956099999999999</v>
      </c>
      <c r="T691">
        <v>-37.027299999999997</v>
      </c>
      <c r="U691">
        <v>51.956099999999999</v>
      </c>
      <c r="V691" t="s">
        <v>1539</v>
      </c>
      <c r="W691" t="s">
        <v>15</v>
      </c>
      <c r="X691" t="s">
        <v>17</v>
      </c>
      <c r="Y691" s="1" t="s">
        <v>232</v>
      </c>
    </row>
    <row r="692" spans="1:25" x14ac:dyDescent="0.25">
      <c r="A692" s="4">
        <v>1186</v>
      </c>
      <c r="B692" s="9" t="s">
        <v>1380</v>
      </c>
      <c r="C692" s="18" t="s">
        <v>1372</v>
      </c>
      <c r="D692" s="6" t="s">
        <v>233</v>
      </c>
      <c r="E692" s="10">
        <v>6</v>
      </c>
      <c r="F692">
        <v>15.726688295670799</v>
      </c>
      <c r="G692">
        <v>10.7654497514615</v>
      </c>
      <c r="H692" t="s">
        <v>221</v>
      </c>
      <c r="I692" t="s">
        <v>24</v>
      </c>
      <c r="J692" t="s">
        <v>185</v>
      </c>
      <c r="K692" s="25" t="s">
        <v>1449</v>
      </c>
      <c r="L692">
        <v>303</v>
      </c>
      <c r="M692" t="s">
        <v>1798</v>
      </c>
      <c r="N692">
        <v>300</v>
      </c>
      <c r="O692" s="1" t="s">
        <v>223</v>
      </c>
      <c r="P692" s="1" t="s">
        <v>1052</v>
      </c>
      <c r="Q692" s="25">
        <v>-27.288084000000001</v>
      </c>
      <c r="R692" s="25">
        <v>-49.796143000000001</v>
      </c>
      <c r="S692">
        <v>-51.956099999999999</v>
      </c>
      <c r="T692">
        <v>-37.027299999999997</v>
      </c>
      <c r="U692">
        <v>51.956099999999999</v>
      </c>
      <c r="V692" t="s">
        <v>1539</v>
      </c>
      <c r="W692" t="s">
        <v>15</v>
      </c>
      <c r="X692" t="s">
        <v>17</v>
      </c>
      <c r="Y692" s="1" t="s">
        <v>232</v>
      </c>
    </row>
    <row r="693" spans="1:25" x14ac:dyDescent="0.25">
      <c r="A693" s="4">
        <v>1187</v>
      </c>
      <c r="B693" s="9" t="s">
        <v>1381</v>
      </c>
      <c r="C693" s="18" t="s">
        <v>1372</v>
      </c>
      <c r="D693" s="6" t="s">
        <v>73</v>
      </c>
      <c r="E693" s="10">
        <v>6</v>
      </c>
      <c r="F693">
        <v>17.6625366757672</v>
      </c>
      <c r="G693">
        <v>8.4020135432829104</v>
      </c>
      <c r="H693" t="s">
        <v>221</v>
      </c>
      <c r="I693" t="s">
        <v>24</v>
      </c>
      <c r="J693" t="s">
        <v>185</v>
      </c>
      <c r="K693" s="25" t="s">
        <v>1449</v>
      </c>
      <c r="L693">
        <v>303</v>
      </c>
      <c r="M693" t="s">
        <v>1798</v>
      </c>
      <c r="N693">
        <v>300</v>
      </c>
      <c r="O693" s="1" t="s">
        <v>223</v>
      </c>
      <c r="P693" s="1" t="s">
        <v>1052</v>
      </c>
      <c r="Q693" s="25">
        <v>-27.288084000000001</v>
      </c>
      <c r="R693" s="25">
        <v>-49.796143000000001</v>
      </c>
      <c r="S693">
        <v>-51.956099999999999</v>
      </c>
      <c r="T693">
        <v>-37.027299999999997</v>
      </c>
      <c r="U693">
        <v>51.956099999999999</v>
      </c>
      <c r="V693" t="s">
        <v>1539</v>
      </c>
      <c r="W693" t="s">
        <v>15</v>
      </c>
      <c r="X693" t="s">
        <v>17</v>
      </c>
      <c r="Y693" s="1" t="s">
        <v>232</v>
      </c>
    </row>
    <row r="694" spans="1:25" x14ac:dyDescent="0.25">
      <c r="A694" s="4">
        <v>1189</v>
      </c>
      <c r="B694" s="9" t="s">
        <v>1381</v>
      </c>
      <c r="C694" s="18" t="s">
        <v>1372</v>
      </c>
      <c r="D694" s="6" t="s">
        <v>73</v>
      </c>
      <c r="E694" s="10">
        <v>6</v>
      </c>
      <c r="F694">
        <v>15.5666011799496</v>
      </c>
      <c r="G694">
        <v>9.4451182614788802</v>
      </c>
      <c r="H694" t="s">
        <v>221</v>
      </c>
      <c r="I694" t="s">
        <v>24</v>
      </c>
      <c r="J694" t="s">
        <v>185</v>
      </c>
      <c r="K694" s="25" t="s">
        <v>1449</v>
      </c>
      <c r="L694">
        <v>303</v>
      </c>
      <c r="M694" t="s">
        <v>1798</v>
      </c>
      <c r="N694">
        <v>300</v>
      </c>
      <c r="O694" s="1" t="s">
        <v>223</v>
      </c>
      <c r="P694" s="1" t="s">
        <v>1052</v>
      </c>
      <c r="Q694" s="25">
        <v>-27.288084000000001</v>
      </c>
      <c r="R694" s="25">
        <v>-49.796143000000001</v>
      </c>
      <c r="S694">
        <v>-51.956099999999999</v>
      </c>
      <c r="T694">
        <v>-37.027299999999997</v>
      </c>
      <c r="U694">
        <v>51.956099999999999</v>
      </c>
      <c r="V694" t="s">
        <v>1539</v>
      </c>
      <c r="W694" t="s">
        <v>15</v>
      </c>
      <c r="X694" t="s">
        <v>17</v>
      </c>
      <c r="Y694" s="1" t="s">
        <v>232</v>
      </c>
    </row>
    <row r="695" spans="1:25" x14ac:dyDescent="0.25">
      <c r="A695" s="4">
        <v>1190</v>
      </c>
      <c r="B695" s="9" t="s">
        <v>1376</v>
      </c>
      <c r="C695" s="18" t="s">
        <v>1372</v>
      </c>
      <c r="D695" s="6" t="s">
        <v>73</v>
      </c>
      <c r="E695" s="10">
        <v>6</v>
      </c>
      <c r="F695">
        <v>27.38762596203</v>
      </c>
      <c r="G695">
        <v>10.3346850004163</v>
      </c>
      <c r="H695" t="s">
        <v>221</v>
      </c>
      <c r="I695" t="s">
        <v>24</v>
      </c>
      <c r="J695" t="s">
        <v>185</v>
      </c>
      <c r="K695" s="25" t="s">
        <v>1449</v>
      </c>
      <c r="L695">
        <v>303</v>
      </c>
      <c r="M695" t="s">
        <v>1798</v>
      </c>
      <c r="N695">
        <v>300</v>
      </c>
      <c r="O695" s="1" t="s">
        <v>223</v>
      </c>
      <c r="P695" s="1" t="s">
        <v>1052</v>
      </c>
      <c r="Q695" s="25">
        <v>-27.288084000000001</v>
      </c>
      <c r="R695" s="25">
        <v>-49.796143000000001</v>
      </c>
      <c r="S695">
        <v>-51.956099999999999</v>
      </c>
      <c r="T695">
        <v>-37.027299999999997</v>
      </c>
      <c r="U695">
        <v>51.956099999999999</v>
      </c>
      <c r="V695" t="s">
        <v>1539</v>
      </c>
      <c r="W695" t="s">
        <v>15</v>
      </c>
      <c r="X695" t="s">
        <v>17</v>
      </c>
      <c r="Y695" s="1" t="s">
        <v>232</v>
      </c>
    </row>
    <row r="696" spans="1:25" x14ac:dyDescent="0.25">
      <c r="A696" s="4">
        <v>1191</v>
      </c>
      <c r="B696" s="9">
        <v>100</v>
      </c>
      <c r="C696" s="8" t="s">
        <v>238</v>
      </c>
      <c r="D696" s="6" t="s">
        <v>73</v>
      </c>
      <c r="E696" s="10">
        <v>6</v>
      </c>
      <c r="F696">
        <v>20.791061774799001</v>
      </c>
      <c r="G696">
        <v>11.586476902846099</v>
      </c>
      <c r="H696" t="s">
        <v>236</v>
      </c>
      <c r="I696" t="s">
        <v>24</v>
      </c>
      <c r="J696" t="s">
        <v>185</v>
      </c>
      <c r="L696">
        <v>310</v>
      </c>
      <c r="M696" t="s">
        <v>1798</v>
      </c>
      <c r="N696">
        <v>300</v>
      </c>
      <c r="O696" s="1" t="s">
        <v>235</v>
      </c>
      <c r="P696" s="1" t="s">
        <v>234</v>
      </c>
      <c r="Q696" s="25">
        <v>-27.937280999999999</v>
      </c>
      <c r="R696" s="25">
        <v>31.191949999999999</v>
      </c>
      <c r="S696">
        <v>-71.659700000000001</v>
      </c>
      <c r="T696">
        <v>-48.533000000000001</v>
      </c>
      <c r="U696">
        <v>71.659700000000001</v>
      </c>
      <c r="V696" t="s">
        <v>1539</v>
      </c>
      <c r="W696" t="s">
        <v>13</v>
      </c>
      <c r="X696" t="s">
        <v>16</v>
      </c>
      <c r="Y696" s="1" t="s">
        <v>240</v>
      </c>
    </row>
    <row r="697" spans="1:25" x14ac:dyDescent="0.25">
      <c r="A697" s="4">
        <v>1193</v>
      </c>
      <c r="B697" s="9">
        <v>101</v>
      </c>
      <c r="C697" s="8" t="s">
        <v>238</v>
      </c>
      <c r="D697" s="6" t="s">
        <v>73</v>
      </c>
      <c r="E697" s="10">
        <v>6</v>
      </c>
      <c r="F697">
        <v>11.005591226647701</v>
      </c>
      <c r="G697">
        <v>4.6318286140354896</v>
      </c>
      <c r="H697" t="s">
        <v>236</v>
      </c>
      <c r="I697" t="s">
        <v>24</v>
      </c>
      <c r="J697" t="s">
        <v>185</v>
      </c>
      <c r="L697">
        <v>310</v>
      </c>
      <c r="M697" t="s">
        <v>1798</v>
      </c>
      <c r="N697">
        <v>300</v>
      </c>
      <c r="O697" s="1" t="s">
        <v>235</v>
      </c>
      <c r="P697" s="1" t="s">
        <v>234</v>
      </c>
      <c r="Q697" s="25">
        <v>-27.937280999999999</v>
      </c>
      <c r="R697" s="25">
        <v>31.191949999999999</v>
      </c>
      <c r="S697">
        <v>-71.659700000000001</v>
      </c>
      <c r="T697">
        <v>-48.533000000000001</v>
      </c>
      <c r="U697">
        <v>71.659700000000001</v>
      </c>
      <c r="V697" t="s">
        <v>1539</v>
      </c>
      <c r="W697" t="s">
        <v>13</v>
      </c>
      <c r="X697" t="s">
        <v>16</v>
      </c>
      <c r="Y697" s="1" t="s">
        <v>240</v>
      </c>
    </row>
    <row r="698" spans="1:25" x14ac:dyDescent="0.25">
      <c r="A698" s="4">
        <v>1194</v>
      </c>
      <c r="B698" s="9">
        <v>102</v>
      </c>
      <c r="C698" s="8" t="s">
        <v>238</v>
      </c>
      <c r="D698" s="6" t="s">
        <v>73</v>
      </c>
      <c r="E698" s="10">
        <v>6</v>
      </c>
      <c r="F698">
        <v>20.672909413082898</v>
      </c>
      <c r="G698">
        <v>7.4657549183225402</v>
      </c>
      <c r="H698" t="s">
        <v>236</v>
      </c>
      <c r="I698" t="s">
        <v>24</v>
      </c>
      <c r="J698" t="s">
        <v>185</v>
      </c>
      <c r="L698">
        <v>310</v>
      </c>
      <c r="M698" t="s">
        <v>1798</v>
      </c>
      <c r="N698">
        <v>300</v>
      </c>
      <c r="O698" s="1" t="s">
        <v>235</v>
      </c>
      <c r="P698" s="1" t="s">
        <v>234</v>
      </c>
      <c r="Q698" s="25">
        <v>-27.937280999999999</v>
      </c>
      <c r="R698" s="25">
        <v>31.191949999999999</v>
      </c>
      <c r="S698">
        <v>-71.659700000000001</v>
      </c>
      <c r="T698">
        <v>-48.533000000000001</v>
      </c>
      <c r="U698">
        <v>71.659700000000001</v>
      </c>
      <c r="V698" t="s">
        <v>1539</v>
      </c>
      <c r="W698" t="s">
        <v>13</v>
      </c>
      <c r="X698" t="s">
        <v>16</v>
      </c>
      <c r="Y698" s="1" t="s">
        <v>240</v>
      </c>
    </row>
    <row r="699" spans="1:25" x14ac:dyDescent="0.25">
      <c r="A699" s="4">
        <v>1195</v>
      </c>
      <c r="B699" s="9">
        <v>103</v>
      </c>
      <c r="C699" s="8" t="s">
        <v>238</v>
      </c>
      <c r="D699" s="6" t="s">
        <v>73</v>
      </c>
      <c r="E699" s="10">
        <v>6</v>
      </c>
      <c r="F699">
        <v>19.019351070059901</v>
      </c>
      <c r="G699">
        <v>8.8772988163464994</v>
      </c>
      <c r="H699" t="s">
        <v>236</v>
      </c>
      <c r="I699" t="s">
        <v>24</v>
      </c>
      <c r="J699" t="s">
        <v>185</v>
      </c>
      <c r="L699">
        <v>310</v>
      </c>
      <c r="M699" t="s">
        <v>1798</v>
      </c>
      <c r="N699">
        <v>300</v>
      </c>
      <c r="O699" s="1" t="s">
        <v>235</v>
      </c>
      <c r="P699" s="1" t="s">
        <v>234</v>
      </c>
      <c r="Q699" s="25">
        <v>-27.937280999999999</v>
      </c>
      <c r="R699" s="25">
        <v>31.191949999999999</v>
      </c>
      <c r="S699">
        <v>-71.659700000000001</v>
      </c>
      <c r="T699">
        <v>-48.533000000000001</v>
      </c>
      <c r="U699">
        <v>71.659700000000001</v>
      </c>
      <c r="V699" t="s">
        <v>1539</v>
      </c>
      <c r="W699" t="s">
        <v>13</v>
      </c>
      <c r="X699" t="s">
        <v>16</v>
      </c>
      <c r="Y699" s="1" t="s">
        <v>240</v>
      </c>
    </row>
    <row r="700" spans="1:25" x14ac:dyDescent="0.25">
      <c r="A700" s="4">
        <v>1196</v>
      </c>
      <c r="B700" s="9">
        <v>107</v>
      </c>
      <c r="C700" s="8" t="s">
        <v>238</v>
      </c>
      <c r="D700" s="6" t="s">
        <v>73</v>
      </c>
      <c r="E700" s="10">
        <v>6</v>
      </c>
      <c r="F700">
        <v>10.5457659443589</v>
      </c>
      <c r="G700">
        <v>3.7347785379043699</v>
      </c>
      <c r="H700" t="s">
        <v>236</v>
      </c>
      <c r="I700" t="s">
        <v>24</v>
      </c>
      <c r="J700" t="s">
        <v>185</v>
      </c>
      <c r="L700">
        <v>310</v>
      </c>
      <c r="M700" t="s">
        <v>1798</v>
      </c>
      <c r="N700">
        <v>300</v>
      </c>
      <c r="O700" s="1" t="s">
        <v>235</v>
      </c>
      <c r="P700" s="1" t="s">
        <v>234</v>
      </c>
      <c r="Q700" s="25">
        <v>-27.937280999999999</v>
      </c>
      <c r="R700" s="25">
        <v>31.191949999999999</v>
      </c>
      <c r="S700">
        <v>-71.659700000000001</v>
      </c>
      <c r="T700">
        <v>-48.533000000000001</v>
      </c>
      <c r="U700">
        <v>71.659700000000001</v>
      </c>
      <c r="V700" t="s">
        <v>1539</v>
      </c>
      <c r="W700" t="s">
        <v>13</v>
      </c>
      <c r="X700" t="s">
        <v>16</v>
      </c>
      <c r="Y700" s="1" t="s">
        <v>240</v>
      </c>
    </row>
    <row r="701" spans="1:25" x14ac:dyDescent="0.25">
      <c r="A701" s="4">
        <v>1197</v>
      </c>
      <c r="B701" s="9">
        <v>108</v>
      </c>
      <c r="C701" s="8" t="s">
        <v>238</v>
      </c>
      <c r="D701" s="6" t="s">
        <v>73</v>
      </c>
      <c r="E701" s="10">
        <v>6</v>
      </c>
      <c r="F701">
        <v>10.222787072310201</v>
      </c>
      <c r="G701">
        <v>4.3851630510107098</v>
      </c>
      <c r="H701" t="s">
        <v>236</v>
      </c>
      <c r="I701" t="s">
        <v>24</v>
      </c>
      <c r="J701" t="s">
        <v>185</v>
      </c>
      <c r="L701">
        <v>310</v>
      </c>
      <c r="M701" t="s">
        <v>1798</v>
      </c>
      <c r="N701">
        <v>300</v>
      </c>
      <c r="O701" s="1" t="s">
        <v>235</v>
      </c>
      <c r="P701" s="1" t="s">
        <v>234</v>
      </c>
      <c r="Q701" s="25">
        <v>-27.937280999999999</v>
      </c>
      <c r="R701" s="25">
        <v>31.191949999999999</v>
      </c>
      <c r="S701">
        <v>-71.659700000000001</v>
      </c>
      <c r="T701">
        <v>-48.533000000000001</v>
      </c>
      <c r="U701">
        <v>71.659700000000001</v>
      </c>
      <c r="V701" t="s">
        <v>1539</v>
      </c>
      <c r="W701" t="s">
        <v>13</v>
      </c>
      <c r="X701" t="s">
        <v>16</v>
      </c>
      <c r="Y701" s="1" t="s">
        <v>240</v>
      </c>
    </row>
    <row r="702" spans="1:25" x14ac:dyDescent="0.25">
      <c r="A702" s="4">
        <v>1200</v>
      </c>
      <c r="B702" s="9">
        <v>109</v>
      </c>
      <c r="C702" s="8" t="s">
        <v>238</v>
      </c>
      <c r="D702" s="6" t="s">
        <v>73</v>
      </c>
      <c r="E702" s="10">
        <v>6</v>
      </c>
      <c r="F702">
        <v>7.7413058946980096</v>
      </c>
      <c r="G702">
        <v>3.2069397196924898</v>
      </c>
      <c r="H702" t="s">
        <v>236</v>
      </c>
      <c r="I702" t="s">
        <v>24</v>
      </c>
      <c r="J702" t="s">
        <v>185</v>
      </c>
      <c r="L702">
        <v>310</v>
      </c>
      <c r="M702" t="s">
        <v>1798</v>
      </c>
      <c r="N702">
        <v>300</v>
      </c>
      <c r="O702" s="1" t="s">
        <v>235</v>
      </c>
      <c r="P702" s="1" t="s">
        <v>234</v>
      </c>
      <c r="Q702" s="25">
        <v>-27.937280999999999</v>
      </c>
      <c r="R702" s="25">
        <v>31.191949999999999</v>
      </c>
      <c r="S702">
        <v>-71.659700000000001</v>
      </c>
      <c r="T702">
        <v>-48.533000000000001</v>
      </c>
      <c r="U702">
        <v>71.659700000000001</v>
      </c>
      <c r="V702" t="s">
        <v>1539</v>
      </c>
      <c r="W702" t="s">
        <v>13</v>
      </c>
      <c r="X702" t="s">
        <v>16</v>
      </c>
      <c r="Y702" s="1" t="s">
        <v>240</v>
      </c>
    </row>
    <row r="703" spans="1:25" x14ac:dyDescent="0.25">
      <c r="A703" s="4">
        <v>1202</v>
      </c>
      <c r="B703" s="9">
        <v>113</v>
      </c>
      <c r="C703" s="8" t="s">
        <v>238</v>
      </c>
      <c r="D703" s="6" t="s">
        <v>28</v>
      </c>
      <c r="E703" s="10">
        <v>6</v>
      </c>
      <c r="F703">
        <v>8.4350485395270702</v>
      </c>
      <c r="G703">
        <v>3.4454400379761201</v>
      </c>
      <c r="H703" t="s">
        <v>236</v>
      </c>
      <c r="I703" t="s">
        <v>24</v>
      </c>
      <c r="J703" t="s">
        <v>185</v>
      </c>
      <c r="L703">
        <v>310</v>
      </c>
      <c r="M703" t="s">
        <v>1798</v>
      </c>
      <c r="N703">
        <v>300</v>
      </c>
      <c r="O703" s="1" t="s">
        <v>235</v>
      </c>
      <c r="P703" s="1" t="s">
        <v>234</v>
      </c>
      <c r="Q703" s="25">
        <v>-27.937280999999999</v>
      </c>
      <c r="R703" s="25">
        <v>31.191949999999999</v>
      </c>
      <c r="S703">
        <v>-71.659700000000001</v>
      </c>
      <c r="T703">
        <v>-48.533000000000001</v>
      </c>
      <c r="U703">
        <v>71.659700000000001</v>
      </c>
      <c r="V703" t="s">
        <v>1539</v>
      </c>
      <c r="W703" t="s">
        <v>13</v>
      </c>
      <c r="X703" t="s">
        <v>16</v>
      </c>
      <c r="Y703" s="1" t="s">
        <v>240</v>
      </c>
    </row>
    <row r="704" spans="1:25" x14ac:dyDescent="0.25">
      <c r="A704" s="4">
        <v>1203</v>
      </c>
      <c r="B704" s="9">
        <v>114</v>
      </c>
      <c r="C704" s="8" t="s">
        <v>238</v>
      </c>
      <c r="D704" s="6" t="s">
        <v>28</v>
      </c>
      <c r="E704" s="10">
        <v>6</v>
      </c>
      <c r="F704">
        <v>5.9819466676533404</v>
      </c>
      <c r="G704">
        <v>2.41417033883048</v>
      </c>
      <c r="H704" t="s">
        <v>236</v>
      </c>
      <c r="I704" t="s">
        <v>24</v>
      </c>
      <c r="J704" t="s">
        <v>185</v>
      </c>
      <c r="L704">
        <v>310</v>
      </c>
      <c r="M704" t="s">
        <v>1798</v>
      </c>
      <c r="N704">
        <v>300</v>
      </c>
      <c r="O704" s="1" t="s">
        <v>235</v>
      </c>
      <c r="P704" s="1" t="s">
        <v>234</v>
      </c>
      <c r="Q704" s="25">
        <v>-27.937280999999999</v>
      </c>
      <c r="R704" s="25">
        <v>31.191949999999999</v>
      </c>
      <c r="S704">
        <v>-71.659700000000001</v>
      </c>
      <c r="T704">
        <v>-48.533000000000001</v>
      </c>
      <c r="U704">
        <v>71.659700000000001</v>
      </c>
      <c r="V704" t="s">
        <v>1539</v>
      </c>
      <c r="W704" t="s">
        <v>13</v>
      </c>
      <c r="X704" t="s">
        <v>16</v>
      </c>
      <c r="Y704" s="1" t="s">
        <v>240</v>
      </c>
    </row>
    <row r="705" spans="1:25" x14ac:dyDescent="0.25">
      <c r="A705" s="4">
        <v>1204</v>
      </c>
      <c r="B705" s="9">
        <v>115</v>
      </c>
      <c r="C705" s="8" t="s">
        <v>238</v>
      </c>
      <c r="D705" s="6" t="s">
        <v>28</v>
      </c>
      <c r="E705" s="10">
        <v>6</v>
      </c>
      <c r="F705">
        <v>6.5028510639701604</v>
      </c>
      <c r="G705">
        <v>2.5290853726287001</v>
      </c>
      <c r="H705" t="s">
        <v>236</v>
      </c>
      <c r="I705" t="s">
        <v>24</v>
      </c>
      <c r="J705" t="s">
        <v>185</v>
      </c>
      <c r="L705">
        <v>310</v>
      </c>
      <c r="M705" t="s">
        <v>1798</v>
      </c>
      <c r="N705">
        <v>300</v>
      </c>
      <c r="O705" s="1" t="s">
        <v>235</v>
      </c>
      <c r="P705" s="1" t="s">
        <v>234</v>
      </c>
      <c r="Q705" s="25">
        <v>-27.937280999999999</v>
      </c>
      <c r="R705" s="25">
        <v>31.191949999999999</v>
      </c>
      <c r="S705">
        <v>-71.659700000000001</v>
      </c>
      <c r="T705">
        <v>-48.533000000000001</v>
      </c>
      <c r="U705">
        <v>71.659700000000001</v>
      </c>
      <c r="V705" t="s">
        <v>1539</v>
      </c>
      <c r="W705" t="s">
        <v>13</v>
      </c>
      <c r="X705" t="s">
        <v>16</v>
      </c>
      <c r="Y705" s="1" t="s">
        <v>240</v>
      </c>
    </row>
    <row r="706" spans="1:25" x14ac:dyDescent="0.25">
      <c r="A706" s="4">
        <v>1205</v>
      </c>
      <c r="B706" s="9">
        <v>116</v>
      </c>
      <c r="C706" s="8" t="s">
        <v>238</v>
      </c>
      <c r="D706" s="6" t="s">
        <v>28</v>
      </c>
      <c r="E706" s="10">
        <v>6</v>
      </c>
      <c r="F706">
        <v>6.31120470837587</v>
      </c>
      <c r="G706">
        <v>2.4369000834484602</v>
      </c>
      <c r="H706" t="s">
        <v>236</v>
      </c>
      <c r="I706" t="s">
        <v>24</v>
      </c>
      <c r="J706" t="s">
        <v>185</v>
      </c>
      <c r="L706">
        <v>310</v>
      </c>
      <c r="M706" t="s">
        <v>1798</v>
      </c>
      <c r="N706">
        <v>300</v>
      </c>
      <c r="O706" s="1" t="s">
        <v>235</v>
      </c>
      <c r="P706" s="1" t="s">
        <v>234</v>
      </c>
      <c r="Q706" s="25">
        <v>-27.937280999999999</v>
      </c>
      <c r="R706" s="25">
        <v>31.191949999999999</v>
      </c>
      <c r="S706">
        <v>-71.659700000000001</v>
      </c>
      <c r="T706">
        <v>-48.533000000000001</v>
      </c>
      <c r="U706">
        <v>71.659700000000001</v>
      </c>
      <c r="V706" t="s">
        <v>1539</v>
      </c>
      <c r="W706" t="s">
        <v>13</v>
      </c>
      <c r="X706" t="s">
        <v>16</v>
      </c>
      <c r="Y706" s="1" t="s">
        <v>240</v>
      </c>
    </row>
    <row r="707" spans="1:25" x14ac:dyDescent="0.25">
      <c r="A707" s="4">
        <v>1206</v>
      </c>
      <c r="B707" s="9">
        <v>125</v>
      </c>
      <c r="C707" s="8" t="s">
        <v>238</v>
      </c>
      <c r="D707" s="6" t="s">
        <v>73</v>
      </c>
      <c r="E707" s="10">
        <v>6</v>
      </c>
      <c r="F707">
        <v>9.09736719071004</v>
      </c>
      <c r="G707">
        <v>4.7683609627426904</v>
      </c>
      <c r="H707" t="s">
        <v>236</v>
      </c>
      <c r="I707" t="s">
        <v>24</v>
      </c>
      <c r="J707" t="s">
        <v>185</v>
      </c>
      <c r="L707">
        <v>310</v>
      </c>
      <c r="M707" t="s">
        <v>1798</v>
      </c>
      <c r="N707">
        <v>300</v>
      </c>
      <c r="O707" s="1" t="s">
        <v>235</v>
      </c>
      <c r="P707" s="1" t="s">
        <v>234</v>
      </c>
      <c r="Q707" s="25">
        <v>-27.937280999999999</v>
      </c>
      <c r="R707" s="25">
        <v>31.191949999999999</v>
      </c>
      <c r="S707">
        <v>-71.659700000000001</v>
      </c>
      <c r="T707">
        <v>-48.533000000000001</v>
      </c>
      <c r="U707">
        <v>71.659700000000001</v>
      </c>
      <c r="V707" t="s">
        <v>1539</v>
      </c>
      <c r="W707" t="s">
        <v>13</v>
      </c>
      <c r="X707" t="s">
        <v>16</v>
      </c>
      <c r="Y707" s="1" t="s">
        <v>240</v>
      </c>
    </row>
    <row r="708" spans="1:25" x14ac:dyDescent="0.25">
      <c r="A708" s="4">
        <v>1207</v>
      </c>
      <c r="B708" s="9">
        <v>127</v>
      </c>
      <c r="C708" s="8" t="s">
        <v>238</v>
      </c>
      <c r="D708" s="6" t="s">
        <v>73</v>
      </c>
      <c r="E708" s="10">
        <v>6</v>
      </c>
      <c r="F708">
        <v>10.4493684980926</v>
      </c>
      <c r="G708">
        <v>4.1817833762253196</v>
      </c>
      <c r="H708" t="s">
        <v>236</v>
      </c>
      <c r="I708" t="s">
        <v>24</v>
      </c>
      <c r="J708" t="s">
        <v>185</v>
      </c>
      <c r="L708">
        <v>310</v>
      </c>
      <c r="M708" t="s">
        <v>1798</v>
      </c>
      <c r="N708">
        <v>300</v>
      </c>
      <c r="O708" s="1" t="s">
        <v>235</v>
      </c>
      <c r="P708" s="1" t="s">
        <v>234</v>
      </c>
      <c r="Q708" s="25">
        <v>-27.937280999999999</v>
      </c>
      <c r="R708" s="25">
        <v>31.191949999999999</v>
      </c>
      <c r="S708">
        <v>-71.659700000000001</v>
      </c>
      <c r="T708">
        <v>-48.533000000000001</v>
      </c>
      <c r="U708">
        <v>71.659700000000001</v>
      </c>
      <c r="V708" t="s">
        <v>1539</v>
      </c>
      <c r="W708" t="s">
        <v>13</v>
      </c>
      <c r="X708" t="s">
        <v>16</v>
      </c>
      <c r="Y708" s="1" t="s">
        <v>240</v>
      </c>
    </row>
    <row r="709" spans="1:25" x14ac:dyDescent="0.25">
      <c r="A709" s="4">
        <v>1208</v>
      </c>
      <c r="B709" s="9">
        <v>144</v>
      </c>
      <c r="C709" s="8" t="s">
        <v>238</v>
      </c>
      <c r="D709" s="6" t="s">
        <v>59</v>
      </c>
      <c r="E709" s="10">
        <v>5</v>
      </c>
      <c r="F709">
        <v>1.24776560769982</v>
      </c>
      <c r="G709">
        <v>0.63080727857075802</v>
      </c>
      <c r="H709" t="s">
        <v>236</v>
      </c>
      <c r="I709" t="s">
        <v>24</v>
      </c>
      <c r="J709" t="s">
        <v>185</v>
      </c>
      <c r="L709">
        <v>310</v>
      </c>
      <c r="M709" t="s">
        <v>1798</v>
      </c>
      <c r="N709">
        <v>300</v>
      </c>
      <c r="O709" s="1" t="s">
        <v>235</v>
      </c>
      <c r="P709" s="1" t="s">
        <v>234</v>
      </c>
      <c r="Q709" s="25">
        <v>-27.937280999999999</v>
      </c>
      <c r="R709" s="25">
        <v>31.191949999999999</v>
      </c>
      <c r="S709">
        <v>-71.659700000000001</v>
      </c>
      <c r="T709">
        <v>-48.533000000000001</v>
      </c>
      <c r="U709">
        <v>71.659700000000001</v>
      </c>
      <c r="V709" t="s">
        <v>1539</v>
      </c>
      <c r="W709" t="s">
        <v>13</v>
      </c>
      <c r="X709" t="s">
        <v>16</v>
      </c>
      <c r="Y709" s="1" t="s">
        <v>240</v>
      </c>
    </row>
    <row r="710" spans="1:25" x14ac:dyDescent="0.25">
      <c r="A710" s="4">
        <v>1213</v>
      </c>
      <c r="B710" s="9">
        <v>146</v>
      </c>
      <c r="C710" s="8" t="s">
        <v>238</v>
      </c>
      <c r="D710" s="6" t="s">
        <v>59</v>
      </c>
      <c r="E710" s="10">
        <v>5</v>
      </c>
      <c r="F710">
        <v>1.35506663134077</v>
      </c>
      <c r="G710">
        <v>0.79978858350582205</v>
      </c>
      <c r="H710" t="s">
        <v>236</v>
      </c>
      <c r="I710" t="s">
        <v>24</v>
      </c>
      <c r="J710" t="s">
        <v>185</v>
      </c>
      <c r="L710">
        <v>310</v>
      </c>
      <c r="M710" t="s">
        <v>1798</v>
      </c>
      <c r="N710">
        <v>300</v>
      </c>
      <c r="O710" s="1" t="s">
        <v>235</v>
      </c>
      <c r="P710" s="1" t="s">
        <v>234</v>
      </c>
      <c r="Q710" s="25">
        <v>-27.937280999999999</v>
      </c>
      <c r="R710" s="25">
        <v>31.191949999999999</v>
      </c>
      <c r="S710">
        <v>-71.659700000000001</v>
      </c>
      <c r="T710">
        <v>-48.533000000000001</v>
      </c>
      <c r="U710">
        <v>71.659700000000001</v>
      </c>
      <c r="V710" t="s">
        <v>1539</v>
      </c>
      <c r="W710" t="s">
        <v>13</v>
      </c>
      <c r="X710" t="s">
        <v>16</v>
      </c>
      <c r="Y710" s="1" t="s">
        <v>240</v>
      </c>
    </row>
    <row r="711" spans="1:25" x14ac:dyDescent="0.25">
      <c r="A711" s="4">
        <v>1214</v>
      </c>
      <c r="B711" s="9">
        <v>152</v>
      </c>
      <c r="C711" s="8" t="s">
        <v>238</v>
      </c>
      <c r="D711" s="6" t="s">
        <v>241</v>
      </c>
      <c r="E711" s="10">
        <v>7</v>
      </c>
      <c r="F711">
        <v>16.191489985863299</v>
      </c>
      <c r="G711">
        <v>2.8861593356241699</v>
      </c>
      <c r="H711" t="s">
        <v>236</v>
      </c>
      <c r="I711" t="s">
        <v>24</v>
      </c>
      <c r="J711" t="s">
        <v>185</v>
      </c>
      <c r="L711">
        <v>310</v>
      </c>
      <c r="M711" t="s">
        <v>1798</v>
      </c>
      <c r="N711">
        <v>300</v>
      </c>
      <c r="O711" s="1" t="s">
        <v>235</v>
      </c>
      <c r="P711" s="1" t="s">
        <v>234</v>
      </c>
      <c r="Q711" s="25">
        <v>-27.937280999999999</v>
      </c>
      <c r="R711" s="25">
        <v>31.191949999999999</v>
      </c>
      <c r="S711">
        <v>-71.659700000000001</v>
      </c>
      <c r="T711">
        <v>-48.533000000000001</v>
      </c>
      <c r="U711">
        <v>71.659700000000001</v>
      </c>
      <c r="V711" t="s">
        <v>1539</v>
      </c>
      <c r="W711" t="s">
        <v>13</v>
      </c>
      <c r="X711" t="s">
        <v>16</v>
      </c>
      <c r="Y711" s="1" t="s">
        <v>240</v>
      </c>
    </row>
    <row r="712" spans="1:25" x14ac:dyDescent="0.25">
      <c r="A712" s="4">
        <v>1215</v>
      </c>
      <c r="B712" s="9">
        <v>154</v>
      </c>
      <c r="C712" s="8" t="s">
        <v>238</v>
      </c>
      <c r="D712" s="6" t="s">
        <v>161</v>
      </c>
      <c r="E712" s="10">
        <v>7</v>
      </c>
      <c r="F712">
        <v>15.113264192139701</v>
      </c>
      <c r="G712">
        <v>6.0043668122270697</v>
      </c>
      <c r="H712" t="s">
        <v>236</v>
      </c>
      <c r="I712" t="s">
        <v>24</v>
      </c>
      <c r="J712" t="s">
        <v>185</v>
      </c>
      <c r="L712">
        <v>310</v>
      </c>
      <c r="M712" t="s">
        <v>1798</v>
      </c>
      <c r="N712">
        <v>300</v>
      </c>
      <c r="O712" s="1" t="s">
        <v>235</v>
      </c>
      <c r="P712" s="1" t="s">
        <v>234</v>
      </c>
      <c r="Q712" s="25">
        <v>-27.937280999999999</v>
      </c>
      <c r="R712" s="25">
        <v>31.191949999999999</v>
      </c>
      <c r="S712">
        <v>-71.659700000000001</v>
      </c>
      <c r="T712">
        <v>-48.533000000000001</v>
      </c>
      <c r="U712">
        <v>71.659700000000001</v>
      </c>
      <c r="V712" t="s">
        <v>1539</v>
      </c>
      <c r="W712" t="s">
        <v>13</v>
      </c>
      <c r="X712" t="s">
        <v>16</v>
      </c>
      <c r="Y712" s="1" t="s">
        <v>240</v>
      </c>
    </row>
    <row r="713" spans="1:25" x14ac:dyDescent="0.25">
      <c r="A713" s="4">
        <v>1216</v>
      </c>
      <c r="B713" s="9">
        <v>153</v>
      </c>
      <c r="C713" s="8" t="s">
        <v>238</v>
      </c>
      <c r="D713" s="6" t="s">
        <v>161</v>
      </c>
      <c r="E713" s="10">
        <v>7</v>
      </c>
      <c r="F713">
        <v>6.0339734492799604</v>
      </c>
      <c r="G713">
        <v>2.16016684790358</v>
      </c>
      <c r="H713" t="s">
        <v>236</v>
      </c>
      <c r="I713" t="s">
        <v>24</v>
      </c>
      <c r="J713" t="s">
        <v>185</v>
      </c>
      <c r="L713">
        <v>310</v>
      </c>
      <c r="M713" t="s">
        <v>1798</v>
      </c>
      <c r="N713">
        <v>300</v>
      </c>
      <c r="O713" s="1" t="s">
        <v>235</v>
      </c>
      <c r="P713" s="1" t="s">
        <v>234</v>
      </c>
      <c r="Q713" s="25">
        <v>-27.937280999999999</v>
      </c>
      <c r="R713" s="25">
        <v>31.191949999999999</v>
      </c>
      <c r="S713">
        <v>-71.659700000000001</v>
      </c>
      <c r="T713">
        <v>-48.533000000000001</v>
      </c>
      <c r="U713">
        <v>71.659700000000001</v>
      </c>
      <c r="V713" t="s">
        <v>1539</v>
      </c>
      <c r="W713" t="s">
        <v>13</v>
      </c>
      <c r="X713" t="s">
        <v>16</v>
      </c>
      <c r="Y713" s="1" t="s">
        <v>240</v>
      </c>
    </row>
    <row r="714" spans="1:25" x14ac:dyDescent="0.25">
      <c r="A714" s="4">
        <v>1217</v>
      </c>
      <c r="B714" s="9">
        <v>155</v>
      </c>
      <c r="C714" s="8" t="s">
        <v>238</v>
      </c>
      <c r="D714" s="6" t="s">
        <v>161</v>
      </c>
      <c r="E714" s="10">
        <v>7</v>
      </c>
      <c r="F714">
        <v>5.9775700091849702</v>
      </c>
      <c r="G714">
        <v>3.0182406248152698</v>
      </c>
      <c r="H714" t="s">
        <v>236</v>
      </c>
      <c r="I714" t="s">
        <v>24</v>
      </c>
      <c r="J714" t="s">
        <v>185</v>
      </c>
      <c r="L714">
        <v>310</v>
      </c>
      <c r="M714" t="s">
        <v>1798</v>
      </c>
      <c r="N714">
        <v>300</v>
      </c>
      <c r="O714" s="1" t="s">
        <v>235</v>
      </c>
      <c r="P714" s="1" t="s">
        <v>234</v>
      </c>
      <c r="Q714" s="25">
        <v>-27.937280999999999</v>
      </c>
      <c r="R714" s="25">
        <v>31.191949999999999</v>
      </c>
      <c r="S714">
        <v>-71.659700000000001</v>
      </c>
      <c r="T714">
        <v>-48.533000000000001</v>
      </c>
      <c r="U714">
        <v>71.659700000000001</v>
      </c>
      <c r="V714" t="s">
        <v>1539</v>
      </c>
      <c r="W714" t="s">
        <v>13</v>
      </c>
      <c r="X714" t="s">
        <v>16</v>
      </c>
      <c r="Y714" s="1" t="s">
        <v>240</v>
      </c>
    </row>
    <row r="715" spans="1:25" x14ac:dyDescent="0.25">
      <c r="A715" s="4">
        <v>1218</v>
      </c>
      <c r="B715" s="9">
        <v>156</v>
      </c>
      <c r="C715" s="8" t="s">
        <v>238</v>
      </c>
      <c r="D715" s="6" t="s">
        <v>161</v>
      </c>
      <c r="E715" s="10">
        <v>7</v>
      </c>
      <c r="F715">
        <v>14.8327015216354</v>
      </c>
      <c r="G715">
        <v>6.75718664889924</v>
      </c>
      <c r="H715" t="s">
        <v>236</v>
      </c>
      <c r="I715" t="s">
        <v>24</v>
      </c>
      <c r="J715" t="s">
        <v>185</v>
      </c>
      <c r="L715">
        <v>310</v>
      </c>
      <c r="M715" t="s">
        <v>1798</v>
      </c>
      <c r="N715">
        <v>300</v>
      </c>
      <c r="O715" s="1" t="s">
        <v>235</v>
      </c>
      <c r="P715" s="1" t="s">
        <v>234</v>
      </c>
      <c r="Q715" s="25">
        <v>-27.937280999999999</v>
      </c>
      <c r="R715" s="25">
        <v>31.191949999999999</v>
      </c>
      <c r="S715">
        <v>-71.659700000000001</v>
      </c>
      <c r="T715">
        <v>-48.533000000000001</v>
      </c>
      <c r="U715">
        <v>71.659700000000001</v>
      </c>
      <c r="V715" t="s">
        <v>1539</v>
      </c>
      <c r="W715" t="s">
        <v>13</v>
      </c>
      <c r="X715" t="s">
        <v>16</v>
      </c>
      <c r="Y715" s="1" t="s">
        <v>240</v>
      </c>
    </row>
    <row r="716" spans="1:25" x14ac:dyDescent="0.25">
      <c r="A716" s="4">
        <v>1219</v>
      </c>
      <c r="B716" s="9">
        <v>157</v>
      </c>
      <c r="C716" s="8" t="s">
        <v>238</v>
      </c>
      <c r="D716" s="6" t="s">
        <v>241</v>
      </c>
      <c r="E716" s="10">
        <v>7</v>
      </c>
      <c r="F716">
        <v>9.4737394840839197</v>
      </c>
      <c r="G716">
        <v>2.85885959102822</v>
      </c>
      <c r="H716" t="s">
        <v>236</v>
      </c>
      <c r="I716" t="s">
        <v>24</v>
      </c>
      <c r="J716" t="s">
        <v>185</v>
      </c>
      <c r="L716">
        <v>310</v>
      </c>
      <c r="M716" t="s">
        <v>1798</v>
      </c>
      <c r="N716">
        <v>300</v>
      </c>
      <c r="O716" s="1" t="s">
        <v>235</v>
      </c>
      <c r="P716" s="1" t="s">
        <v>234</v>
      </c>
      <c r="Q716" s="25">
        <v>-27.937280999999999</v>
      </c>
      <c r="R716" s="25">
        <v>31.191949999999999</v>
      </c>
      <c r="S716">
        <v>-71.659700000000001</v>
      </c>
      <c r="T716">
        <v>-48.533000000000001</v>
      </c>
      <c r="U716">
        <v>71.659700000000001</v>
      </c>
      <c r="V716" t="s">
        <v>1539</v>
      </c>
      <c r="W716" t="s">
        <v>13</v>
      </c>
      <c r="X716" t="s">
        <v>16</v>
      </c>
      <c r="Y716" s="1" t="s">
        <v>240</v>
      </c>
    </row>
    <row r="717" spans="1:25" x14ac:dyDescent="0.25">
      <c r="A717" s="4">
        <v>1221</v>
      </c>
      <c r="B717" s="9" t="s">
        <v>269</v>
      </c>
      <c r="C717" s="8" t="s">
        <v>242</v>
      </c>
      <c r="D717" s="6" t="s">
        <v>73</v>
      </c>
      <c r="E717" s="10">
        <v>6</v>
      </c>
      <c r="F717">
        <v>8.0293702759092298</v>
      </c>
      <c r="G717">
        <v>3.75187435242165</v>
      </c>
      <c r="H717" t="s">
        <v>236</v>
      </c>
      <c r="I717" t="s">
        <v>24</v>
      </c>
      <c r="J717" t="s">
        <v>185</v>
      </c>
      <c r="L717">
        <v>310</v>
      </c>
      <c r="M717" t="s">
        <v>1798</v>
      </c>
      <c r="N717">
        <v>300</v>
      </c>
      <c r="O717" s="1" t="s">
        <v>235</v>
      </c>
      <c r="P717" s="1" t="s">
        <v>234</v>
      </c>
      <c r="Q717" s="25">
        <v>-27.937280999999999</v>
      </c>
      <c r="R717" s="25">
        <v>31.191949999999999</v>
      </c>
      <c r="S717">
        <v>-71.659700000000001</v>
      </c>
      <c r="T717">
        <v>-48.533000000000001</v>
      </c>
      <c r="U717">
        <v>71.659700000000001</v>
      </c>
      <c r="V717" t="s">
        <v>1539</v>
      </c>
      <c r="W717" t="s">
        <v>13</v>
      </c>
      <c r="X717" t="s">
        <v>16</v>
      </c>
      <c r="Y717" s="1" t="s">
        <v>268</v>
      </c>
    </row>
    <row r="718" spans="1:25" x14ac:dyDescent="0.25">
      <c r="A718" s="4">
        <v>1223</v>
      </c>
      <c r="B718" s="9" t="s">
        <v>270</v>
      </c>
      <c r="C718" s="8" t="s">
        <v>242</v>
      </c>
      <c r="D718" s="6" t="s">
        <v>67</v>
      </c>
      <c r="E718" s="10">
        <v>6</v>
      </c>
      <c r="F718">
        <v>10.672837268492501</v>
      </c>
      <c r="G718">
        <v>7.3840111281702603</v>
      </c>
      <c r="H718" t="s">
        <v>236</v>
      </c>
      <c r="I718" t="s">
        <v>24</v>
      </c>
      <c r="J718" t="s">
        <v>185</v>
      </c>
      <c r="L718">
        <v>310</v>
      </c>
      <c r="M718" t="s">
        <v>1798</v>
      </c>
      <c r="N718">
        <v>300</v>
      </c>
      <c r="O718" s="1" t="s">
        <v>235</v>
      </c>
      <c r="P718" s="1" t="s">
        <v>234</v>
      </c>
      <c r="Q718" s="25">
        <v>-27.937280999999999</v>
      </c>
      <c r="R718" s="25">
        <v>31.191949999999999</v>
      </c>
      <c r="S718">
        <v>-71.659700000000001</v>
      </c>
      <c r="T718">
        <v>-48.533000000000001</v>
      </c>
      <c r="U718">
        <v>71.659700000000001</v>
      </c>
      <c r="V718" t="s">
        <v>1539</v>
      </c>
      <c r="W718" t="s">
        <v>13</v>
      </c>
      <c r="X718" t="s">
        <v>16</v>
      </c>
      <c r="Y718" s="1" t="s">
        <v>268</v>
      </c>
    </row>
    <row r="719" spans="1:25" x14ac:dyDescent="0.25">
      <c r="A719" s="4">
        <v>1224</v>
      </c>
      <c r="B719" s="9" t="s">
        <v>271</v>
      </c>
      <c r="C719" s="8" t="s">
        <v>242</v>
      </c>
      <c r="D719" s="6" t="s">
        <v>67</v>
      </c>
      <c r="E719" s="10">
        <v>6</v>
      </c>
      <c r="F719">
        <v>11.668986372094199</v>
      </c>
      <c r="G719">
        <v>7.85120759322671</v>
      </c>
      <c r="H719" t="s">
        <v>236</v>
      </c>
      <c r="I719" t="s">
        <v>24</v>
      </c>
      <c r="J719" t="s">
        <v>185</v>
      </c>
      <c r="L719">
        <v>310</v>
      </c>
      <c r="M719" t="s">
        <v>1798</v>
      </c>
      <c r="N719">
        <v>300</v>
      </c>
      <c r="O719" s="1" t="s">
        <v>235</v>
      </c>
      <c r="P719" s="1" t="s">
        <v>234</v>
      </c>
      <c r="Q719" s="25">
        <v>-27.937280999999999</v>
      </c>
      <c r="R719" s="25">
        <v>31.191949999999999</v>
      </c>
      <c r="S719">
        <v>-71.659700000000001</v>
      </c>
      <c r="T719">
        <v>-48.533000000000001</v>
      </c>
      <c r="U719">
        <v>71.659700000000001</v>
      </c>
      <c r="V719" t="s">
        <v>1539</v>
      </c>
      <c r="W719" t="s">
        <v>13</v>
      </c>
      <c r="X719" t="s">
        <v>16</v>
      </c>
      <c r="Y719" s="1" t="s">
        <v>268</v>
      </c>
    </row>
    <row r="720" spans="1:25" x14ac:dyDescent="0.25">
      <c r="A720" s="4">
        <v>1225</v>
      </c>
      <c r="B720" s="9" t="s">
        <v>272</v>
      </c>
      <c r="C720" s="8" t="s">
        <v>242</v>
      </c>
      <c r="D720" s="6" t="s">
        <v>67</v>
      </c>
      <c r="E720" s="10">
        <v>6</v>
      </c>
      <c r="F720">
        <v>9.5429594792739501</v>
      </c>
      <c r="G720">
        <v>5.6530300879827102</v>
      </c>
      <c r="H720" t="s">
        <v>236</v>
      </c>
      <c r="I720" t="s">
        <v>24</v>
      </c>
      <c r="J720" t="s">
        <v>185</v>
      </c>
      <c r="L720">
        <v>310</v>
      </c>
      <c r="M720" t="s">
        <v>1798</v>
      </c>
      <c r="N720">
        <v>300</v>
      </c>
      <c r="O720" s="1" t="s">
        <v>235</v>
      </c>
      <c r="P720" s="1" t="s">
        <v>234</v>
      </c>
      <c r="Q720" s="25">
        <v>-27.937280999999999</v>
      </c>
      <c r="R720" s="25">
        <v>31.191949999999999</v>
      </c>
      <c r="S720">
        <v>-71.659700000000001</v>
      </c>
      <c r="T720">
        <v>-48.533000000000001</v>
      </c>
      <c r="U720">
        <v>71.659700000000001</v>
      </c>
      <c r="V720" t="s">
        <v>1539</v>
      </c>
      <c r="W720" t="s">
        <v>13</v>
      </c>
      <c r="X720" t="s">
        <v>16</v>
      </c>
      <c r="Y720" s="1" t="s">
        <v>268</v>
      </c>
    </row>
    <row r="721" spans="1:25" x14ac:dyDescent="0.25">
      <c r="A721" s="4">
        <v>1226</v>
      </c>
      <c r="B721" s="9" t="s">
        <v>273</v>
      </c>
      <c r="C721" s="8" t="s">
        <v>242</v>
      </c>
      <c r="D721" s="6" t="s">
        <v>67</v>
      </c>
      <c r="E721" s="10">
        <v>6</v>
      </c>
      <c r="F721">
        <v>8.8045470033652204</v>
      </c>
      <c r="G721">
        <v>4.4804240791929102</v>
      </c>
      <c r="H721" t="s">
        <v>236</v>
      </c>
      <c r="I721" t="s">
        <v>24</v>
      </c>
      <c r="J721" t="s">
        <v>185</v>
      </c>
      <c r="L721">
        <v>310</v>
      </c>
      <c r="M721" t="s">
        <v>1798</v>
      </c>
      <c r="N721">
        <v>300</v>
      </c>
      <c r="O721" s="1" t="s">
        <v>235</v>
      </c>
      <c r="P721" s="1" t="s">
        <v>234</v>
      </c>
      <c r="Q721" s="25">
        <v>-27.937280999999999</v>
      </c>
      <c r="R721" s="25">
        <v>31.191949999999999</v>
      </c>
      <c r="S721">
        <v>-71.659700000000001</v>
      </c>
      <c r="T721">
        <v>-48.533000000000001</v>
      </c>
      <c r="U721">
        <v>71.659700000000001</v>
      </c>
      <c r="V721" t="s">
        <v>1539</v>
      </c>
      <c r="W721" t="s">
        <v>13</v>
      </c>
      <c r="X721" t="s">
        <v>16</v>
      </c>
      <c r="Y721" s="1" t="s">
        <v>268</v>
      </c>
    </row>
    <row r="722" spans="1:25" x14ac:dyDescent="0.25">
      <c r="A722" s="4">
        <v>1227</v>
      </c>
      <c r="B722" s="9" t="s">
        <v>274</v>
      </c>
      <c r="C722" s="8" t="s">
        <v>242</v>
      </c>
      <c r="D722" s="6" t="s">
        <v>67</v>
      </c>
      <c r="E722" s="10">
        <v>6</v>
      </c>
      <c r="F722">
        <v>10.235878601907</v>
      </c>
      <c r="G722">
        <v>5.9014058353857504</v>
      </c>
      <c r="H722" t="s">
        <v>236</v>
      </c>
      <c r="I722" t="s">
        <v>24</v>
      </c>
      <c r="J722" t="s">
        <v>185</v>
      </c>
      <c r="L722">
        <v>310</v>
      </c>
      <c r="M722" t="s">
        <v>1798</v>
      </c>
      <c r="N722">
        <v>300</v>
      </c>
      <c r="O722" s="1" t="s">
        <v>235</v>
      </c>
      <c r="P722" s="1" t="s">
        <v>234</v>
      </c>
      <c r="Q722" s="25">
        <v>-27.937280999999999</v>
      </c>
      <c r="R722" s="25">
        <v>31.191949999999999</v>
      </c>
      <c r="S722">
        <v>-71.659700000000001</v>
      </c>
      <c r="T722">
        <v>-48.533000000000001</v>
      </c>
      <c r="U722">
        <v>71.659700000000001</v>
      </c>
      <c r="V722" t="s">
        <v>1539</v>
      </c>
      <c r="W722" t="s">
        <v>13</v>
      </c>
      <c r="X722" t="s">
        <v>16</v>
      </c>
      <c r="Y722" s="1" t="s">
        <v>268</v>
      </c>
    </row>
    <row r="723" spans="1:25" x14ac:dyDescent="0.25">
      <c r="A723" s="4">
        <v>1228</v>
      </c>
      <c r="B723" s="9" t="s">
        <v>275</v>
      </c>
      <c r="C723" s="8" t="s">
        <v>242</v>
      </c>
      <c r="D723" s="6" t="s">
        <v>67</v>
      </c>
      <c r="E723" s="10">
        <v>6</v>
      </c>
      <c r="F723">
        <v>9.1237180901035604</v>
      </c>
      <c r="G723">
        <v>6.0369095640496599</v>
      </c>
      <c r="H723" t="s">
        <v>236</v>
      </c>
      <c r="I723" t="s">
        <v>24</v>
      </c>
      <c r="J723" t="s">
        <v>185</v>
      </c>
      <c r="L723">
        <v>310</v>
      </c>
      <c r="M723" t="s">
        <v>1798</v>
      </c>
      <c r="N723">
        <v>300</v>
      </c>
      <c r="O723" s="1" t="s">
        <v>235</v>
      </c>
      <c r="P723" s="1" t="s">
        <v>234</v>
      </c>
      <c r="Q723" s="25">
        <v>-27.937280999999999</v>
      </c>
      <c r="R723" s="25">
        <v>31.191949999999999</v>
      </c>
      <c r="S723">
        <v>-71.659700000000001</v>
      </c>
      <c r="T723">
        <v>-48.533000000000001</v>
      </c>
      <c r="U723">
        <v>71.659700000000001</v>
      </c>
      <c r="V723" t="s">
        <v>1539</v>
      </c>
      <c r="W723" t="s">
        <v>13</v>
      </c>
      <c r="X723" t="s">
        <v>16</v>
      </c>
      <c r="Y723" s="1" t="s">
        <v>268</v>
      </c>
    </row>
    <row r="724" spans="1:25" x14ac:dyDescent="0.25">
      <c r="A724" s="4">
        <v>1230</v>
      </c>
      <c r="B724" s="9" t="s">
        <v>254</v>
      </c>
      <c r="C724" s="8" t="s">
        <v>242</v>
      </c>
      <c r="D724" s="6" t="s">
        <v>67</v>
      </c>
      <c r="E724" s="10">
        <v>6</v>
      </c>
      <c r="F724">
        <v>11.8315046435758</v>
      </c>
      <c r="G724">
        <v>7.3523171328504802</v>
      </c>
      <c r="H724" t="s">
        <v>236</v>
      </c>
      <c r="I724" t="s">
        <v>24</v>
      </c>
      <c r="J724" t="s">
        <v>185</v>
      </c>
      <c r="L724">
        <v>310</v>
      </c>
      <c r="M724" t="s">
        <v>1798</v>
      </c>
      <c r="N724">
        <v>300</v>
      </c>
      <c r="O724" s="1" t="s">
        <v>235</v>
      </c>
      <c r="P724" s="1" t="s">
        <v>234</v>
      </c>
      <c r="Q724" s="25">
        <v>-27.937280999999999</v>
      </c>
      <c r="R724" s="25">
        <v>31.191949999999999</v>
      </c>
      <c r="S724">
        <v>-71.659700000000001</v>
      </c>
      <c r="T724">
        <v>-48.533000000000001</v>
      </c>
      <c r="U724">
        <v>71.659700000000001</v>
      </c>
      <c r="V724" t="s">
        <v>1539</v>
      </c>
      <c r="W724" t="s">
        <v>13</v>
      </c>
      <c r="X724" t="s">
        <v>16</v>
      </c>
      <c r="Y724" s="1" t="s">
        <v>268</v>
      </c>
    </row>
    <row r="725" spans="1:25" x14ac:dyDescent="0.25">
      <c r="A725" s="4">
        <v>1232</v>
      </c>
      <c r="B725" s="9" t="s">
        <v>246</v>
      </c>
      <c r="C725" s="8" t="s">
        <v>242</v>
      </c>
      <c r="D725" s="6" t="s">
        <v>73</v>
      </c>
      <c r="E725" s="10">
        <v>6</v>
      </c>
      <c r="F725">
        <v>23.120295514111898</v>
      </c>
      <c r="G725">
        <v>9.3281694950449801</v>
      </c>
      <c r="H725" t="s">
        <v>236</v>
      </c>
      <c r="I725" t="s">
        <v>24</v>
      </c>
      <c r="J725" t="s">
        <v>185</v>
      </c>
      <c r="L725">
        <v>310</v>
      </c>
      <c r="M725" t="s">
        <v>1798</v>
      </c>
      <c r="N725">
        <v>300</v>
      </c>
      <c r="O725" s="1" t="s">
        <v>235</v>
      </c>
      <c r="P725" s="1" t="s">
        <v>234</v>
      </c>
      <c r="Q725" s="25">
        <v>-27.937280999999999</v>
      </c>
      <c r="R725" s="25">
        <v>31.191949999999999</v>
      </c>
      <c r="S725">
        <v>-71.659700000000001</v>
      </c>
      <c r="T725">
        <v>-48.533000000000001</v>
      </c>
      <c r="U725">
        <v>71.659700000000001</v>
      </c>
      <c r="V725" t="s">
        <v>1539</v>
      </c>
      <c r="W725" t="s">
        <v>13</v>
      </c>
      <c r="X725" t="s">
        <v>16</v>
      </c>
      <c r="Y725" s="1" t="s">
        <v>245</v>
      </c>
    </row>
    <row r="726" spans="1:25" x14ac:dyDescent="0.25">
      <c r="A726" s="4">
        <v>1233</v>
      </c>
      <c r="B726" s="9" t="s">
        <v>247</v>
      </c>
      <c r="C726" s="8" t="s">
        <v>242</v>
      </c>
      <c r="D726" s="6" t="s">
        <v>73</v>
      </c>
      <c r="E726" s="10">
        <v>6</v>
      </c>
      <c r="F726">
        <v>7.7042815232034796</v>
      </c>
      <c r="G726">
        <v>2.9373232855587301</v>
      </c>
      <c r="H726" t="s">
        <v>236</v>
      </c>
      <c r="I726" t="s">
        <v>24</v>
      </c>
      <c r="J726" t="s">
        <v>185</v>
      </c>
      <c r="L726">
        <v>310</v>
      </c>
      <c r="M726" t="s">
        <v>1798</v>
      </c>
      <c r="N726">
        <v>300</v>
      </c>
      <c r="O726" s="1" t="s">
        <v>235</v>
      </c>
      <c r="P726" s="1" t="s">
        <v>234</v>
      </c>
      <c r="Q726" s="25">
        <v>-27.937280999999999</v>
      </c>
      <c r="R726" s="25">
        <v>31.191949999999999</v>
      </c>
      <c r="S726">
        <v>-71.659700000000001</v>
      </c>
      <c r="T726">
        <v>-48.533000000000001</v>
      </c>
      <c r="U726">
        <v>71.659700000000001</v>
      </c>
      <c r="V726" t="s">
        <v>1539</v>
      </c>
      <c r="W726" t="s">
        <v>13</v>
      </c>
      <c r="X726" t="s">
        <v>16</v>
      </c>
      <c r="Y726" s="1" t="s">
        <v>245</v>
      </c>
    </row>
    <row r="727" spans="1:25" x14ac:dyDescent="0.25">
      <c r="A727" s="4">
        <v>1235</v>
      </c>
      <c r="B727" s="9" t="s">
        <v>248</v>
      </c>
      <c r="C727" s="8" t="s">
        <v>242</v>
      </c>
      <c r="D727" s="6" t="s">
        <v>73</v>
      </c>
      <c r="E727" s="10">
        <v>6</v>
      </c>
      <c r="F727">
        <v>5.5628591731789596</v>
      </c>
      <c r="G727">
        <v>2.4364508909146299</v>
      </c>
      <c r="H727" t="s">
        <v>236</v>
      </c>
      <c r="I727" t="s">
        <v>24</v>
      </c>
      <c r="J727" t="s">
        <v>185</v>
      </c>
      <c r="L727">
        <v>310</v>
      </c>
      <c r="M727" t="s">
        <v>1798</v>
      </c>
      <c r="N727">
        <v>300</v>
      </c>
      <c r="O727" s="1" t="s">
        <v>235</v>
      </c>
      <c r="P727" s="1" t="s">
        <v>234</v>
      </c>
      <c r="Q727" s="25">
        <v>-27.937280999999999</v>
      </c>
      <c r="R727" s="25">
        <v>31.191949999999999</v>
      </c>
      <c r="S727">
        <v>-71.659700000000001</v>
      </c>
      <c r="T727">
        <v>-48.533000000000001</v>
      </c>
      <c r="U727">
        <v>71.659700000000001</v>
      </c>
      <c r="V727" t="s">
        <v>1539</v>
      </c>
      <c r="W727" t="s">
        <v>13</v>
      </c>
      <c r="X727" t="s">
        <v>16</v>
      </c>
      <c r="Y727" s="1" t="s">
        <v>245</v>
      </c>
    </row>
    <row r="728" spans="1:25" x14ac:dyDescent="0.25">
      <c r="A728" s="4">
        <v>1236</v>
      </c>
      <c r="B728" s="9" t="s">
        <v>249</v>
      </c>
      <c r="C728" s="8" t="s">
        <v>242</v>
      </c>
      <c r="D728" s="6" t="s">
        <v>73</v>
      </c>
      <c r="E728" s="10">
        <v>6</v>
      </c>
      <c r="F728">
        <v>11.1271014265463</v>
      </c>
      <c r="G728">
        <v>4.3028562547450102</v>
      </c>
      <c r="H728" t="s">
        <v>236</v>
      </c>
      <c r="I728" t="s">
        <v>24</v>
      </c>
      <c r="J728" t="s">
        <v>185</v>
      </c>
      <c r="L728">
        <v>310</v>
      </c>
      <c r="M728" t="s">
        <v>1798</v>
      </c>
      <c r="N728">
        <v>300</v>
      </c>
      <c r="O728" s="1" t="s">
        <v>235</v>
      </c>
      <c r="P728" s="1" t="s">
        <v>234</v>
      </c>
      <c r="Q728" s="25">
        <v>-27.937280999999999</v>
      </c>
      <c r="R728" s="25">
        <v>31.191949999999999</v>
      </c>
      <c r="S728">
        <v>-71.659700000000001</v>
      </c>
      <c r="T728">
        <v>-48.533000000000001</v>
      </c>
      <c r="U728">
        <v>71.659700000000001</v>
      </c>
      <c r="V728" t="s">
        <v>1539</v>
      </c>
      <c r="W728" t="s">
        <v>13</v>
      </c>
      <c r="X728" t="s">
        <v>16</v>
      </c>
      <c r="Y728" s="1" t="s">
        <v>245</v>
      </c>
    </row>
    <row r="729" spans="1:25" x14ac:dyDescent="0.25">
      <c r="A729" s="4">
        <v>1237</v>
      </c>
      <c r="B729" s="9" t="s">
        <v>250</v>
      </c>
      <c r="C729" s="8" t="s">
        <v>242</v>
      </c>
      <c r="D729" s="6" t="s">
        <v>73</v>
      </c>
      <c r="E729" s="10">
        <v>6</v>
      </c>
      <c r="F729">
        <v>17.516238565550601</v>
      </c>
      <c r="G729">
        <v>6.8223976146055803</v>
      </c>
      <c r="H729" t="s">
        <v>236</v>
      </c>
      <c r="I729" t="s">
        <v>24</v>
      </c>
      <c r="J729" t="s">
        <v>185</v>
      </c>
      <c r="L729">
        <v>310</v>
      </c>
      <c r="M729" t="s">
        <v>1798</v>
      </c>
      <c r="N729">
        <v>300</v>
      </c>
      <c r="O729" s="1" t="s">
        <v>235</v>
      </c>
      <c r="P729" s="1" t="s">
        <v>234</v>
      </c>
      <c r="Q729" s="25">
        <v>-27.937280999999999</v>
      </c>
      <c r="R729" s="25">
        <v>31.191949999999999</v>
      </c>
      <c r="S729">
        <v>-71.659700000000001</v>
      </c>
      <c r="T729">
        <v>-48.533000000000001</v>
      </c>
      <c r="U729">
        <v>71.659700000000001</v>
      </c>
      <c r="V729" t="s">
        <v>1539</v>
      </c>
      <c r="W729" t="s">
        <v>13</v>
      </c>
      <c r="X729" t="s">
        <v>16</v>
      </c>
      <c r="Y729" s="1" t="s">
        <v>245</v>
      </c>
    </row>
    <row r="730" spans="1:25" x14ac:dyDescent="0.25">
      <c r="A730" s="4">
        <v>1238</v>
      </c>
      <c r="B730" s="9" t="s">
        <v>251</v>
      </c>
      <c r="C730" s="8" t="s">
        <v>242</v>
      </c>
      <c r="D730" s="6" t="s">
        <v>73</v>
      </c>
      <c r="E730" s="10">
        <v>6</v>
      </c>
      <c r="F730">
        <v>22.9628542172238</v>
      </c>
      <c r="G730">
        <v>11.5719419022635</v>
      </c>
      <c r="H730" t="s">
        <v>236</v>
      </c>
      <c r="I730" t="s">
        <v>24</v>
      </c>
      <c r="J730" t="s">
        <v>185</v>
      </c>
      <c r="L730">
        <v>310</v>
      </c>
      <c r="M730" t="s">
        <v>1798</v>
      </c>
      <c r="N730">
        <v>300</v>
      </c>
      <c r="O730" s="1" t="s">
        <v>235</v>
      </c>
      <c r="P730" s="1" t="s">
        <v>234</v>
      </c>
      <c r="Q730" s="25">
        <v>-27.937280999999999</v>
      </c>
      <c r="R730" s="25">
        <v>31.191949999999999</v>
      </c>
      <c r="S730">
        <v>-71.659700000000001</v>
      </c>
      <c r="T730">
        <v>-48.533000000000001</v>
      </c>
      <c r="U730">
        <v>71.659700000000001</v>
      </c>
      <c r="V730" t="s">
        <v>1539</v>
      </c>
      <c r="W730" t="s">
        <v>13</v>
      </c>
      <c r="X730" t="s">
        <v>16</v>
      </c>
      <c r="Y730" s="1" t="s">
        <v>245</v>
      </c>
    </row>
    <row r="731" spans="1:25" x14ac:dyDescent="0.25">
      <c r="A731" s="4">
        <v>1239</v>
      </c>
      <c r="B731" s="9" t="s">
        <v>252</v>
      </c>
      <c r="C731" s="8" t="s">
        <v>242</v>
      </c>
      <c r="D731" s="6" t="s">
        <v>73</v>
      </c>
      <c r="E731" s="10">
        <v>6</v>
      </c>
      <c r="F731">
        <v>12.2523060386974</v>
      </c>
      <c r="G731">
        <v>5.5965473738235696</v>
      </c>
      <c r="H731" t="s">
        <v>236</v>
      </c>
      <c r="I731" t="s">
        <v>24</v>
      </c>
      <c r="J731" t="s">
        <v>185</v>
      </c>
      <c r="L731">
        <v>310</v>
      </c>
      <c r="M731" t="s">
        <v>1798</v>
      </c>
      <c r="N731">
        <v>300</v>
      </c>
      <c r="O731" s="1" t="s">
        <v>235</v>
      </c>
      <c r="P731" s="1" t="s">
        <v>234</v>
      </c>
      <c r="Q731" s="25">
        <v>-27.937280999999999</v>
      </c>
      <c r="R731" s="25">
        <v>31.191949999999999</v>
      </c>
      <c r="S731">
        <v>-71.659700000000001</v>
      </c>
      <c r="T731">
        <v>-48.533000000000001</v>
      </c>
      <c r="U731">
        <v>71.659700000000001</v>
      </c>
      <c r="V731" t="s">
        <v>1539</v>
      </c>
      <c r="W731" t="s">
        <v>13</v>
      </c>
      <c r="X731" t="s">
        <v>16</v>
      </c>
      <c r="Y731" s="1" t="s">
        <v>245</v>
      </c>
    </row>
    <row r="732" spans="1:25" x14ac:dyDescent="0.25">
      <c r="A732" s="4">
        <v>1240</v>
      </c>
      <c r="B732" s="9" t="s">
        <v>253</v>
      </c>
      <c r="C732" s="8" t="s">
        <v>242</v>
      </c>
      <c r="D732" s="6" t="s">
        <v>73</v>
      </c>
      <c r="E732" s="10">
        <v>6</v>
      </c>
      <c r="F732">
        <v>14.7993577132612</v>
      </c>
      <c r="G732">
        <v>6.97411892491359</v>
      </c>
      <c r="H732" t="s">
        <v>236</v>
      </c>
      <c r="I732" t="s">
        <v>24</v>
      </c>
      <c r="J732" t="s">
        <v>185</v>
      </c>
      <c r="L732">
        <v>310</v>
      </c>
      <c r="M732" t="s">
        <v>1798</v>
      </c>
      <c r="N732">
        <v>300</v>
      </c>
      <c r="O732" s="1" t="s">
        <v>235</v>
      </c>
      <c r="P732" s="1" t="s">
        <v>234</v>
      </c>
      <c r="Q732" s="25">
        <v>-27.937280999999999</v>
      </c>
      <c r="R732" s="25">
        <v>31.191949999999999</v>
      </c>
      <c r="S732">
        <v>-71.659700000000001</v>
      </c>
      <c r="T732">
        <v>-48.533000000000001</v>
      </c>
      <c r="U732">
        <v>71.659700000000001</v>
      </c>
      <c r="V732" t="s">
        <v>1539</v>
      </c>
      <c r="W732" t="s">
        <v>13</v>
      </c>
      <c r="X732" t="s">
        <v>16</v>
      </c>
      <c r="Y732" s="1" t="s">
        <v>245</v>
      </c>
    </row>
    <row r="733" spans="1:25" x14ac:dyDescent="0.25">
      <c r="A733" s="4">
        <v>1241</v>
      </c>
      <c r="B733" s="9" t="s">
        <v>254</v>
      </c>
      <c r="C733" s="8" t="s">
        <v>242</v>
      </c>
      <c r="D733" s="6" t="s">
        <v>73</v>
      </c>
      <c r="E733" s="10">
        <v>6</v>
      </c>
      <c r="F733">
        <v>16.391822040165099</v>
      </c>
      <c r="G733">
        <v>7.7810900479392302</v>
      </c>
      <c r="H733" t="s">
        <v>236</v>
      </c>
      <c r="I733" t="s">
        <v>24</v>
      </c>
      <c r="J733" t="s">
        <v>185</v>
      </c>
      <c r="L733">
        <v>310</v>
      </c>
      <c r="M733" t="s">
        <v>1798</v>
      </c>
      <c r="N733">
        <v>300</v>
      </c>
      <c r="O733" s="1" t="s">
        <v>235</v>
      </c>
      <c r="P733" s="1" t="s">
        <v>234</v>
      </c>
      <c r="Q733" s="25">
        <v>-27.937280999999999</v>
      </c>
      <c r="R733" s="25">
        <v>31.191949999999999</v>
      </c>
      <c r="S733">
        <v>-71.659700000000001</v>
      </c>
      <c r="T733">
        <v>-48.533000000000001</v>
      </c>
      <c r="U733">
        <v>71.659700000000001</v>
      </c>
      <c r="V733" t="s">
        <v>1539</v>
      </c>
      <c r="W733" t="s">
        <v>13</v>
      </c>
      <c r="X733" t="s">
        <v>16</v>
      </c>
      <c r="Y733" s="1" t="s">
        <v>245</v>
      </c>
    </row>
    <row r="734" spans="1:25" x14ac:dyDescent="0.25">
      <c r="A734" s="4">
        <v>1242</v>
      </c>
      <c r="B734" s="9" t="s">
        <v>256</v>
      </c>
      <c r="C734" s="8" t="s">
        <v>242</v>
      </c>
      <c r="D734" s="6" t="s">
        <v>73</v>
      </c>
      <c r="E734" s="10">
        <v>6</v>
      </c>
      <c r="F734">
        <v>16.0470375247635</v>
      </c>
      <c r="G734">
        <v>6.3056373949192697</v>
      </c>
      <c r="H734" t="s">
        <v>236</v>
      </c>
      <c r="I734" t="s">
        <v>24</v>
      </c>
      <c r="J734" t="s">
        <v>185</v>
      </c>
      <c r="L734">
        <v>310</v>
      </c>
      <c r="M734" t="s">
        <v>1798</v>
      </c>
      <c r="N734">
        <v>300</v>
      </c>
      <c r="O734" s="1" t="s">
        <v>235</v>
      </c>
      <c r="P734" s="1" t="s">
        <v>234</v>
      </c>
      <c r="Q734" s="25">
        <v>-27.937280999999999</v>
      </c>
      <c r="R734" s="25">
        <v>31.191949999999999</v>
      </c>
      <c r="S734">
        <v>-71.659700000000001</v>
      </c>
      <c r="T734">
        <v>-48.533000000000001</v>
      </c>
      <c r="U734">
        <v>71.659700000000001</v>
      </c>
      <c r="V734" t="s">
        <v>1539</v>
      </c>
      <c r="W734" t="s">
        <v>13</v>
      </c>
      <c r="X734" t="s">
        <v>16</v>
      </c>
      <c r="Y734" s="1" t="s">
        <v>245</v>
      </c>
    </row>
    <row r="735" spans="1:25" x14ac:dyDescent="0.25">
      <c r="A735" s="4">
        <v>1243</v>
      </c>
      <c r="B735" s="9" t="s">
        <v>257</v>
      </c>
      <c r="C735" s="8" t="s">
        <v>242</v>
      </c>
      <c r="D735" s="6" t="s">
        <v>73</v>
      </c>
      <c r="E735" s="10">
        <v>6</v>
      </c>
      <c r="F735">
        <v>15.3417963879978</v>
      </c>
      <c r="G735">
        <v>6.0591925584554698</v>
      </c>
      <c r="H735" t="s">
        <v>236</v>
      </c>
      <c r="I735" t="s">
        <v>24</v>
      </c>
      <c r="J735" t="s">
        <v>185</v>
      </c>
      <c r="L735">
        <v>310</v>
      </c>
      <c r="M735" t="s">
        <v>1798</v>
      </c>
      <c r="N735">
        <v>300</v>
      </c>
      <c r="O735" s="1" t="s">
        <v>235</v>
      </c>
      <c r="P735" s="1" t="s">
        <v>234</v>
      </c>
      <c r="Q735" s="25">
        <v>-27.937280999999999</v>
      </c>
      <c r="R735" s="25">
        <v>31.191949999999999</v>
      </c>
      <c r="S735">
        <v>-71.659700000000001</v>
      </c>
      <c r="T735">
        <v>-48.533000000000001</v>
      </c>
      <c r="U735">
        <v>71.659700000000001</v>
      </c>
      <c r="V735" t="s">
        <v>1539</v>
      </c>
      <c r="W735" t="s">
        <v>13</v>
      </c>
      <c r="X735" t="s">
        <v>16</v>
      </c>
      <c r="Y735" s="1" t="s">
        <v>245</v>
      </c>
    </row>
    <row r="736" spans="1:25" x14ac:dyDescent="0.25">
      <c r="A736" s="4">
        <v>1244</v>
      </c>
      <c r="B736" s="9" t="s">
        <v>255</v>
      </c>
      <c r="C736" s="8" t="s">
        <v>242</v>
      </c>
      <c r="D736" s="6" t="s">
        <v>73</v>
      </c>
      <c r="E736" s="10">
        <v>6</v>
      </c>
      <c r="F736">
        <v>11.881229533794899</v>
      </c>
      <c r="G736">
        <v>4.5049941778067497</v>
      </c>
      <c r="H736" t="s">
        <v>236</v>
      </c>
      <c r="I736" t="s">
        <v>24</v>
      </c>
      <c r="J736" t="s">
        <v>185</v>
      </c>
      <c r="L736">
        <v>310</v>
      </c>
      <c r="M736" t="s">
        <v>1798</v>
      </c>
      <c r="N736">
        <v>300</v>
      </c>
      <c r="O736" s="1" t="s">
        <v>235</v>
      </c>
      <c r="P736" s="1" t="s">
        <v>234</v>
      </c>
      <c r="Q736" s="25">
        <v>-27.937280999999999</v>
      </c>
      <c r="R736" s="25">
        <v>31.191949999999999</v>
      </c>
      <c r="S736">
        <v>-71.659700000000001</v>
      </c>
      <c r="T736">
        <v>-48.533000000000001</v>
      </c>
      <c r="U736">
        <v>71.659700000000001</v>
      </c>
      <c r="V736" t="s">
        <v>1539</v>
      </c>
      <c r="W736" t="s">
        <v>13</v>
      </c>
      <c r="X736" t="s">
        <v>16</v>
      </c>
      <c r="Y736" s="1" t="s">
        <v>245</v>
      </c>
    </row>
    <row r="737" spans="1:25" x14ac:dyDescent="0.25">
      <c r="A737" s="4">
        <v>1245</v>
      </c>
      <c r="B737" s="9" t="s">
        <v>258</v>
      </c>
      <c r="C737" s="8" t="s">
        <v>242</v>
      </c>
      <c r="D737" s="6" t="s">
        <v>73</v>
      </c>
      <c r="E737" s="10">
        <v>6</v>
      </c>
      <c r="F737">
        <v>12.0408337023788</v>
      </c>
      <c r="G737">
        <v>6.5606704313123902</v>
      </c>
      <c r="H737" t="s">
        <v>236</v>
      </c>
      <c r="I737" t="s">
        <v>24</v>
      </c>
      <c r="J737" t="s">
        <v>185</v>
      </c>
      <c r="L737">
        <v>310</v>
      </c>
      <c r="M737" t="s">
        <v>1798</v>
      </c>
      <c r="N737">
        <v>300</v>
      </c>
      <c r="O737" s="1" t="s">
        <v>235</v>
      </c>
      <c r="P737" s="1" t="s">
        <v>234</v>
      </c>
      <c r="Q737" s="25">
        <v>-27.937280999999999</v>
      </c>
      <c r="R737" s="25">
        <v>31.191949999999999</v>
      </c>
      <c r="S737">
        <v>-71.659700000000001</v>
      </c>
      <c r="T737">
        <v>-48.533000000000001</v>
      </c>
      <c r="U737">
        <v>71.659700000000001</v>
      </c>
      <c r="V737" t="s">
        <v>1539</v>
      </c>
      <c r="W737" t="s">
        <v>13</v>
      </c>
      <c r="X737" t="s">
        <v>16</v>
      </c>
      <c r="Y737" s="1" t="s">
        <v>245</v>
      </c>
    </row>
    <row r="738" spans="1:25" x14ac:dyDescent="0.25">
      <c r="A738" s="4">
        <v>1246</v>
      </c>
      <c r="B738" s="9" t="s">
        <v>259</v>
      </c>
      <c r="C738" s="8" t="s">
        <v>242</v>
      </c>
      <c r="D738" s="6" t="s">
        <v>73</v>
      </c>
      <c r="E738" s="10">
        <v>6</v>
      </c>
      <c r="F738">
        <v>12.6550716650954</v>
      </c>
      <c r="G738">
        <v>6.3583232528923501</v>
      </c>
      <c r="H738" t="s">
        <v>236</v>
      </c>
      <c r="I738" t="s">
        <v>24</v>
      </c>
      <c r="J738" t="s">
        <v>185</v>
      </c>
      <c r="L738">
        <v>310</v>
      </c>
      <c r="M738" t="s">
        <v>1798</v>
      </c>
      <c r="N738">
        <v>300</v>
      </c>
      <c r="O738" s="1" t="s">
        <v>235</v>
      </c>
      <c r="P738" s="1" t="s">
        <v>234</v>
      </c>
      <c r="Q738" s="25">
        <v>-27.937280999999999</v>
      </c>
      <c r="R738" s="25">
        <v>31.191949999999999</v>
      </c>
      <c r="S738">
        <v>-71.659700000000001</v>
      </c>
      <c r="T738">
        <v>-48.533000000000001</v>
      </c>
      <c r="U738">
        <v>71.659700000000001</v>
      </c>
      <c r="V738" t="s">
        <v>1539</v>
      </c>
      <c r="W738" t="s">
        <v>13</v>
      </c>
      <c r="X738" t="s">
        <v>16</v>
      </c>
      <c r="Y738" s="1" t="s">
        <v>245</v>
      </c>
    </row>
    <row r="739" spans="1:25" x14ac:dyDescent="0.25">
      <c r="A739" s="4">
        <v>1247</v>
      </c>
      <c r="B739" s="9" t="s">
        <v>260</v>
      </c>
      <c r="C739" s="8" t="s">
        <v>242</v>
      </c>
      <c r="D739" s="6" t="s">
        <v>73</v>
      </c>
      <c r="E739" s="10">
        <v>6</v>
      </c>
      <c r="F739">
        <v>15.0786129517559</v>
      </c>
      <c r="G739">
        <v>7.7884491476488504</v>
      </c>
      <c r="H739" t="s">
        <v>236</v>
      </c>
      <c r="I739" t="s">
        <v>24</v>
      </c>
      <c r="J739" t="s">
        <v>185</v>
      </c>
      <c r="L739">
        <v>310</v>
      </c>
      <c r="M739" t="s">
        <v>1798</v>
      </c>
      <c r="N739">
        <v>300</v>
      </c>
      <c r="O739" s="1" t="s">
        <v>235</v>
      </c>
      <c r="P739" s="1" t="s">
        <v>234</v>
      </c>
      <c r="Q739" s="25">
        <v>-27.937280999999999</v>
      </c>
      <c r="R739" s="25">
        <v>31.191949999999999</v>
      </c>
      <c r="S739">
        <v>-71.659700000000001</v>
      </c>
      <c r="T739">
        <v>-48.533000000000001</v>
      </c>
      <c r="U739">
        <v>71.659700000000001</v>
      </c>
      <c r="V739" t="s">
        <v>1539</v>
      </c>
      <c r="W739" t="s">
        <v>13</v>
      </c>
      <c r="X739" t="s">
        <v>16</v>
      </c>
      <c r="Y739" s="1" t="s">
        <v>245</v>
      </c>
    </row>
    <row r="740" spans="1:25" x14ac:dyDescent="0.25">
      <c r="A740" s="4">
        <v>1248</v>
      </c>
      <c r="B740" s="9" t="s">
        <v>261</v>
      </c>
      <c r="C740" s="8" t="s">
        <v>242</v>
      </c>
      <c r="D740" s="6" t="s">
        <v>73</v>
      </c>
      <c r="E740" s="10">
        <v>6</v>
      </c>
      <c r="F740">
        <v>15.984740503663099</v>
      </c>
      <c r="G740">
        <v>9.8712396451503199</v>
      </c>
      <c r="H740" t="s">
        <v>236</v>
      </c>
      <c r="I740" t="s">
        <v>24</v>
      </c>
      <c r="J740" t="s">
        <v>185</v>
      </c>
      <c r="L740">
        <v>310</v>
      </c>
      <c r="M740" t="s">
        <v>1798</v>
      </c>
      <c r="N740">
        <v>300</v>
      </c>
      <c r="O740" s="1" t="s">
        <v>235</v>
      </c>
      <c r="P740" s="1" t="s">
        <v>234</v>
      </c>
      <c r="Q740" s="25">
        <v>-27.937280999999999</v>
      </c>
      <c r="R740" s="25">
        <v>31.191949999999999</v>
      </c>
      <c r="S740">
        <v>-71.659700000000001</v>
      </c>
      <c r="T740">
        <v>-48.533000000000001</v>
      </c>
      <c r="U740">
        <v>71.659700000000001</v>
      </c>
      <c r="V740" t="s">
        <v>1539</v>
      </c>
      <c r="W740" t="s">
        <v>13</v>
      </c>
      <c r="X740" t="s">
        <v>16</v>
      </c>
      <c r="Y740" s="1" t="s">
        <v>245</v>
      </c>
    </row>
    <row r="741" spans="1:25" x14ac:dyDescent="0.25">
      <c r="A741" s="4">
        <v>1249</v>
      </c>
      <c r="B741" s="9" t="s">
        <v>262</v>
      </c>
      <c r="C741" s="8" t="s">
        <v>242</v>
      </c>
      <c r="D741" s="6" t="s">
        <v>73</v>
      </c>
      <c r="E741" s="10">
        <v>6</v>
      </c>
      <c r="F741">
        <v>24.811824695970898</v>
      </c>
      <c r="G741">
        <v>13.043443621429001</v>
      </c>
      <c r="H741" t="s">
        <v>236</v>
      </c>
      <c r="I741" t="s">
        <v>24</v>
      </c>
      <c r="J741" t="s">
        <v>185</v>
      </c>
      <c r="L741">
        <v>310</v>
      </c>
      <c r="M741" t="s">
        <v>1798</v>
      </c>
      <c r="N741">
        <v>300</v>
      </c>
      <c r="O741" s="1" t="s">
        <v>235</v>
      </c>
      <c r="P741" s="1" t="s">
        <v>234</v>
      </c>
      <c r="Q741" s="25">
        <v>-27.937280999999999</v>
      </c>
      <c r="R741" s="25">
        <v>31.191949999999999</v>
      </c>
      <c r="S741">
        <v>-71.659700000000001</v>
      </c>
      <c r="T741">
        <v>-48.533000000000001</v>
      </c>
      <c r="U741">
        <v>71.659700000000001</v>
      </c>
      <c r="V741" t="s">
        <v>1539</v>
      </c>
      <c r="W741" t="s">
        <v>13</v>
      </c>
      <c r="X741" t="s">
        <v>16</v>
      </c>
      <c r="Y741" s="1" t="s">
        <v>245</v>
      </c>
    </row>
    <row r="742" spans="1:25" x14ac:dyDescent="0.25">
      <c r="A742" s="4">
        <v>1250</v>
      </c>
      <c r="B742" s="9" t="s">
        <v>315</v>
      </c>
      <c r="C742" s="8" t="s">
        <v>29</v>
      </c>
      <c r="D742" s="6" t="s">
        <v>28</v>
      </c>
      <c r="E742" s="10">
        <v>6</v>
      </c>
      <c r="F742">
        <v>5.0006088544261198</v>
      </c>
      <c r="G742">
        <v>3.44754785853906</v>
      </c>
      <c r="H742" t="s">
        <v>92</v>
      </c>
      <c r="I742" t="s">
        <v>24</v>
      </c>
      <c r="J742" t="s">
        <v>185</v>
      </c>
      <c r="K742" t="s">
        <v>313</v>
      </c>
      <c r="L742">
        <v>301</v>
      </c>
      <c r="M742" t="s">
        <v>1798</v>
      </c>
      <c r="N742">
        <v>300</v>
      </c>
      <c r="O742" s="1" t="s">
        <v>314</v>
      </c>
      <c r="P742" s="1" t="s">
        <v>312</v>
      </c>
      <c r="Q742" s="25">
        <v>38.540559999999999</v>
      </c>
      <c r="R742" s="25">
        <v>-95.257447999999997</v>
      </c>
      <c r="S742">
        <v>-2.1387</v>
      </c>
      <c r="T742">
        <v>-27.282399999999999</v>
      </c>
      <c r="U742">
        <v>2.1387</v>
      </c>
      <c r="V742" t="s">
        <v>1538</v>
      </c>
      <c r="W742" t="s">
        <v>13</v>
      </c>
      <c r="X742" t="s">
        <v>17</v>
      </c>
      <c r="Y742" s="1" t="s">
        <v>311</v>
      </c>
    </row>
    <row r="743" spans="1:25" x14ac:dyDescent="0.25">
      <c r="A743" s="4">
        <v>1251</v>
      </c>
      <c r="B743" s="9" t="s">
        <v>316</v>
      </c>
      <c r="C743" s="8" t="s">
        <v>388</v>
      </c>
      <c r="D743" s="6" t="s">
        <v>28</v>
      </c>
      <c r="E743" s="10">
        <v>6</v>
      </c>
      <c r="F743">
        <v>5.7055835562453998</v>
      </c>
      <c r="G743">
        <v>3.0315029527091402</v>
      </c>
      <c r="H743" t="s">
        <v>92</v>
      </c>
      <c r="I743" t="s">
        <v>24</v>
      </c>
      <c r="J743" t="s">
        <v>185</v>
      </c>
      <c r="K743" t="s">
        <v>313</v>
      </c>
      <c r="L743">
        <v>301</v>
      </c>
      <c r="M743" t="s">
        <v>1798</v>
      </c>
      <c r="N743">
        <v>300</v>
      </c>
      <c r="O743" s="1" t="s">
        <v>314</v>
      </c>
      <c r="P743" s="1" t="s">
        <v>312</v>
      </c>
      <c r="Q743" s="25">
        <v>38.540559999999999</v>
      </c>
      <c r="R743" s="25">
        <v>-95.257447999999997</v>
      </c>
      <c r="S743">
        <v>-2.1387</v>
      </c>
      <c r="T743">
        <v>-27.282399999999999</v>
      </c>
      <c r="U743">
        <v>2.1387</v>
      </c>
      <c r="V743" t="s">
        <v>1538</v>
      </c>
      <c r="W743" t="s">
        <v>13</v>
      </c>
      <c r="X743" t="s">
        <v>17</v>
      </c>
      <c r="Y743" s="1" t="s">
        <v>311</v>
      </c>
    </row>
    <row r="744" spans="1:25" x14ac:dyDescent="0.25">
      <c r="A744" s="4">
        <v>1252</v>
      </c>
      <c r="B744" s="9" t="s">
        <v>155</v>
      </c>
      <c r="C744" s="8" t="s">
        <v>29</v>
      </c>
      <c r="D744" s="6" t="s">
        <v>59</v>
      </c>
      <c r="E744" s="10">
        <v>5</v>
      </c>
      <c r="F744">
        <v>1.43118466450128</v>
      </c>
      <c r="G744">
        <v>0.61844534439530696</v>
      </c>
      <c r="H744" t="s">
        <v>92</v>
      </c>
      <c r="I744" t="s">
        <v>24</v>
      </c>
      <c r="J744" t="s">
        <v>185</v>
      </c>
      <c r="K744" t="s">
        <v>313</v>
      </c>
      <c r="L744">
        <v>301</v>
      </c>
      <c r="M744" t="s">
        <v>1798</v>
      </c>
      <c r="N744">
        <v>300</v>
      </c>
      <c r="O744" s="1" t="s">
        <v>314</v>
      </c>
      <c r="P744" s="1" t="s">
        <v>312</v>
      </c>
      <c r="Q744" s="25">
        <v>38.540559999999999</v>
      </c>
      <c r="R744" s="25">
        <v>-95.257447999999997</v>
      </c>
      <c r="S744">
        <v>-2.1387</v>
      </c>
      <c r="T744">
        <v>-27.282399999999999</v>
      </c>
      <c r="U744">
        <v>2.1387</v>
      </c>
      <c r="V744" t="s">
        <v>1538</v>
      </c>
      <c r="W744" t="s">
        <v>13</v>
      </c>
      <c r="X744" t="s">
        <v>17</v>
      </c>
      <c r="Y744" s="1" t="s">
        <v>311</v>
      </c>
    </row>
    <row r="745" spans="1:25" x14ac:dyDescent="0.25">
      <c r="A745" s="4">
        <v>1255</v>
      </c>
      <c r="B745" s="9" t="s">
        <v>317</v>
      </c>
      <c r="C745" s="8" t="s">
        <v>388</v>
      </c>
      <c r="D745" s="6" t="s">
        <v>134</v>
      </c>
      <c r="E745" s="10">
        <v>6</v>
      </c>
      <c r="F745">
        <v>10.950928293193201</v>
      </c>
      <c r="G745">
        <v>5.0957877111926502</v>
      </c>
      <c r="H745" t="s">
        <v>92</v>
      </c>
      <c r="I745" t="s">
        <v>24</v>
      </c>
      <c r="J745" t="s">
        <v>185</v>
      </c>
      <c r="K745" t="s">
        <v>313</v>
      </c>
      <c r="L745">
        <v>301</v>
      </c>
      <c r="M745" t="s">
        <v>1798</v>
      </c>
      <c r="N745">
        <v>300</v>
      </c>
      <c r="O745" s="1" t="s">
        <v>314</v>
      </c>
      <c r="P745" s="1" t="s">
        <v>312</v>
      </c>
      <c r="Q745" s="25">
        <v>38.540559999999999</v>
      </c>
      <c r="R745" s="25">
        <v>-95.257447999999997</v>
      </c>
      <c r="S745">
        <v>-2.1387</v>
      </c>
      <c r="T745">
        <v>-27.282399999999999</v>
      </c>
      <c r="U745">
        <v>2.1387</v>
      </c>
      <c r="V745" t="s">
        <v>1538</v>
      </c>
      <c r="W745" t="s">
        <v>13</v>
      </c>
      <c r="X745" t="s">
        <v>17</v>
      </c>
      <c r="Y745" s="1" t="s">
        <v>311</v>
      </c>
    </row>
    <row r="746" spans="1:25" x14ac:dyDescent="0.25">
      <c r="A746" s="4">
        <v>1258</v>
      </c>
      <c r="B746" s="9" t="s">
        <v>327</v>
      </c>
      <c r="C746" s="8" t="s">
        <v>388</v>
      </c>
      <c r="D746" s="6" t="s">
        <v>319</v>
      </c>
      <c r="E746" s="10">
        <v>6</v>
      </c>
      <c r="F746">
        <v>20.552301958366101</v>
      </c>
      <c r="G746">
        <v>12.759703878306899</v>
      </c>
      <c r="H746" t="s">
        <v>92</v>
      </c>
      <c r="I746" t="s">
        <v>24</v>
      </c>
      <c r="J746" t="s">
        <v>185</v>
      </c>
      <c r="K746" t="s">
        <v>313</v>
      </c>
      <c r="L746">
        <v>301</v>
      </c>
      <c r="M746" t="s">
        <v>1798</v>
      </c>
      <c r="N746">
        <v>300</v>
      </c>
      <c r="O746" s="1" t="s">
        <v>314</v>
      </c>
      <c r="P746" s="1" t="s">
        <v>312</v>
      </c>
      <c r="Q746" s="25">
        <v>38.540559999999999</v>
      </c>
      <c r="R746" s="25">
        <v>-95.257447999999997</v>
      </c>
      <c r="S746">
        <v>-2.1387</v>
      </c>
      <c r="T746">
        <v>-27.282399999999999</v>
      </c>
      <c r="U746">
        <v>2.1387</v>
      </c>
      <c r="V746" t="s">
        <v>1538</v>
      </c>
      <c r="W746" t="s">
        <v>13</v>
      </c>
      <c r="X746" t="s">
        <v>17</v>
      </c>
      <c r="Y746" s="1" t="s">
        <v>311</v>
      </c>
    </row>
    <row r="747" spans="1:25" x14ac:dyDescent="0.25">
      <c r="A747" s="4">
        <v>1259</v>
      </c>
      <c r="B747" s="9" t="s">
        <v>327</v>
      </c>
      <c r="C747" s="8" t="s">
        <v>388</v>
      </c>
      <c r="D747" s="6" t="s">
        <v>28</v>
      </c>
      <c r="E747" s="10">
        <v>6</v>
      </c>
      <c r="F747">
        <v>7.3936217550876</v>
      </c>
      <c r="G747">
        <v>4.6717356335319504</v>
      </c>
      <c r="H747" t="s">
        <v>92</v>
      </c>
      <c r="I747" t="s">
        <v>24</v>
      </c>
      <c r="J747" t="s">
        <v>185</v>
      </c>
      <c r="K747" t="s">
        <v>313</v>
      </c>
      <c r="L747">
        <v>301</v>
      </c>
      <c r="M747" t="s">
        <v>1798</v>
      </c>
      <c r="N747">
        <v>300</v>
      </c>
      <c r="O747" s="1" t="s">
        <v>314</v>
      </c>
      <c r="P747" s="1" t="s">
        <v>312</v>
      </c>
      <c r="Q747" s="25">
        <v>38.540559999999999</v>
      </c>
      <c r="R747" s="25">
        <v>-95.257447999999997</v>
      </c>
      <c r="S747">
        <v>-2.1387</v>
      </c>
      <c r="T747">
        <v>-27.282399999999999</v>
      </c>
      <c r="U747">
        <v>2.1387</v>
      </c>
      <c r="V747" t="s">
        <v>1538</v>
      </c>
      <c r="W747" t="s">
        <v>13</v>
      </c>
      <c r="X747" t="s">
        <v>17</v>
      </c>
      <c r="Y747" s="1" t="s">
        <v>311</v>
      </c>
    </row>
    <row r="748" spans="1:25" x14ac:dyDescent="0.25">
      <c r="A748" s="4">
        <v>1261</v>
      </c>
      <c r="B748" s="9" t="s">
        <v>327</v>
      </c>
      <c r="C748" s="8" t="s">
        <v>388</v>
      </c>
      <c r="D748" s="6" t="s">
        <v>295</v>
      </c>
      <c r="E748" s="10">
        <v>7</v>
      </c>
      <c r="F748">
        <v>6.9294719766396602</v>
      </c>
      <c r="G748">
        <v>5.5373660886108897</v>
      </c>
      <c r="H748" t="s">
        <v>92</v>
      </c>
      <c r="I748" t="s">
        <v>24</v>
      </c>
      <c r="J748" t="s">
        <v>185</v>
      </c>
      <c r="K748" t="s">
        <v>313</v>
      </c>
      <c r="L748">
        <v>301</v>
      </c>
      <c r="M748" t="s">
        <v>1798</v>
      </c>
      <c r="N748">
        <v>300</v>
      </c>
      <c r="O748" s="1" t="s">
        <v>314</v>
      </c>
      <c r="P748" s="1" t="s">
        <v>312</v>
      </c>
      <c r="Q748" s="25">
        <v>38.540559999999999</v>
      </c>
      <c r="R748" s="25">
        <v>-95.257447999999997</v>
      </c>
      <c r="S748">
        <v>-2.1387</v>
      </c>
      <c r="T748">
        <v>-27.282399999999999</v>
      </c>
      <c r="U748">
        <v>2.1387</v>
      </c>
      <c r="V748" t="s">
        <v>1538</v>
      </c>
      <c r="W748" t="s">
        <v>13</v>
      </c>
      <c r="X748" t="s">
        <v>17</v>
      </c>
      <c r="Y748" s="1" t="s">
        <v>311</v>
      </c>
    </row>
    <row r="749" spans="1:25" x14ac:dyDescent="0.25">
      <c r="A749" s="4">
        <v>1262</v>
      </c>
      <c r="B749" s="9" t="s">
        <v>320</v>
      </c>
      <c r="C749" s="8" t="s">
        <v>388</v>
      </c>
      <c r="D749" s="6" t="s">
        <v>295</v>
      </c>
      <c r="E749" s="10">
        <v>7</v>
      </c>
      <c r="F749">
        <v>8.1469413339218999</v>
      </c>
      <c r="G749">
        <v>5.6572081242525396</v>
      </c>
      <c r="H749" t="s">
        <v>92</v>
      </c>
      <c r="I749" t="s">
        <v>24</v>
      </c>
      <c r="J749" t="s">
        <v>185</v>
      </c>
      <c r="K749" t="s">
        <v>313</v>
      </c>
      <c r="L749">
        <v>301</v>
      </c>
      <c r="M749" t="s">
        <v>1798</v>
      </c>
      <c r="N749">
        <v>300</v>
      </c>
      <c r="O749" s="1" t="s">
        <v>314</v>
      </c>
      <c r="P749" s="1" t="s">
        <v>312</v>
      </c>
      <c r="Q749" s="25">
        <v>38.540559999999999</v>
      </c>
      <c r="R749" s="25">
        <v>-95.257447999999997</v>
      </c>
      <c r="S749">
        <v>-2.1387</v>
      </c>
      <c r="T749">
        <v>-27.282399999999999</v>
      </c>
      <c r="U749">
        <v>2.1387</v>
      </c>
      <c r="V749" t="s">
        <v>1538</v>
      </c>
      <c r="W749" t="s">
        <v>13</v>
      </c>
      <c r="X749" t="s">
        <v>17</v>
      </c>
      <c r="Y749" s="1" t="s">
        <v>311</v>
      </c>
    </row>
    <row r="750" spans="1:25" x14ac:dyDescent="0.25">
      <c r="A750" s="4">
        <v>1264</v>
      </c>
      <c r="B750" s="9" t="s">
        <v>322</v>
      </c>
      <c r="C750" s="8" t="s">
        <v>388</v>
      </c>
      <c r="D750" s="6" t="s">
        <v>219</v>
      </c>
      <c r="E750" s="10">
        <v>6</v>
      </c>
      <c r="F750">
        <v>5.9418766491053203</v>
      </c>
      <c r="G750">
        <v>3.0397978593500898</v>
      </c>
      <c r="H750" t="s">
        <v>92</v>
      </c>
      <c r="I750" t="s">
        <v>24</v>
      </c>
      <c r="J750" t="s">
        <v>185</v>
      </c>
      <c r="K750" t="s">
        <v>313</v>
      </c>
      <c r="L750">
        <v>301</v>
      </c>
      <c r="M750" t="s">
        <v>1798</v>
      </c>
      <c r="N750">
        <v>300</v>
      </c>
      <c r="O750" s="1" t="s">
        <v>314</v>
      </c>
      <c r="P750" s="1" t="s">
        <v>312</v>
      </c>
      <c r="Q750" s="25">
        <v>38.540559999999999</v>
      </c>
      <c r="R750" s="25">
        <v>-95.257447999999997</v>
      </c>
      <c r="S750">
        <v>-2.1387</v>
      </c>
      <c r="T750">
        <v>-27.282399999999999</v>
      </c>
      <c r="U750">
        <v>2.1387</v>
      </c>
      <c r="V750" t="s">
        <v>1538</v>
      </c>
      <c r="W750" t="s">
        <v>13</v>
      </c>
      <c r="X750" t="s">
        <v>17</v>
      </c>
      <c r="Y750" s="1" t="s">
        <v>321</v>
      </c>
    </row>
    <row r="751" spans="1:25" x14ac:dyDescent="0.25">
      <c r="A751" s="4">
        <v>1265</v>
      </c>
      <c r="B751" s="9" t="s">
        <v>323</v>
      </c>
      <c r="C751" s="8" t="s">
        <v>388</v>
      </c>
      <c r="D751" s="6" t="s">
        <v>28</v>
      </c>
      <c r="E751" s="10">
        <v>6</v>
      </c>
      <c r="F751">
        <v>5.8464174000829798</v>
      </c>
      <c r="G751">
        <v>3.09185032461327</v>
      </c>
      <c r="H751" t="s">
        <v>92</v>
      </c>
      <c r="I751" t="s">
        <v>24</v>
      </c>
      <c r="J751" t="s">
        <v>185</v>
      </c>
      <c r="K751" t="s">
        <v>313</v>
      </c>
      <c r="L751">
        <v>301</v>
      </c>
      <c r="M751" t="s">
        <v>1798</v>
      </c>
      <c r="N751">
        <v>300</v>
      </c>
      <c r="O751" s="1" t="s">
        <v>314</v>
      </c>
      <c r="P751" s="1" t="s">
        <v>312</v>
      </c>
      <c r="Q751" s="25">
        <v>38.540559999999999</v>
      </c>
      <c r="R751" s="25">
        <v>-95.257447999999997</v>
      </c>
      <c r="S751">
        <v>-2.1387</v>
      </c>
      <c r="T751">
        <v>-27.282399999999999</v>
      </c>
      <c r="U751">
        <v>2.1387</v>
      </c>
      <c r="V751" t="s">
        <v>1538</v>
      </c>
      <c r="W751" t="s">
        <v>13</v>
      </c>
      <c r="X751" t="s">
        <v>17</v>
      </c>
      <c r="Y751" s="1" t="s">
        <v>321</v>
      </c>
    </row>
    <row r="752" spans="1:25" x14ac:dyDescent="0.25">
      <c r="A752" s="4">
        <v>1266</v>
      </c>
      <c r="B752" s="9" t="s">
        <v>323</v>
      </c>
      <c r="C752" s="8" t="s">
        <v>388</v>
      </c>
      <c r="D752" s="6" t="s">
        <v>59</v>
      </c>
      <c r="E752" s="10">
        <v>5</v>
      </c>
      <c r="F752">
        <v>5.8464174000829798</v>
      </c>
      <c r="G752">
        <v>3.09185032461327</v>
      </c>
      <c r="H752" t="s">
        <v>92</v>
      </c>
      <c r="I752" t="s">
        <v>24</v>
      </c>
      <c r="J752" t="s">
        <v>185</v>
      </c>
      <c r="K752" t="s">
        <v>313</v>
      </c>
      <c r="L752">
        <v>301</v>
      </c>
      <c r="M752" t="s">
        <v>1798</v>
      </c>
      <c r="N752">
        <v>300</v>
      </c>
      <c r="O752" s="1" t="s">
        <v>314</v>
      </c>
      <c r="P752" s="1" t="s">
        <v>312</v>
      </c>
      <c r="Q752" s="25">
        <v>38.540559999999999</v>
      </c>
      <c r="R752" s="25">
        <v>-95.257447999999997</v>
      </c>
      <c r="S752">
        <v>-2.1387</v>
      </c>
      <c r="T752">
        <v>-27.282399999999999</v>
      </c>
      <c r="U752">
        <v>2.1387</v>
      </c>
      <c r="V752" t="s">
        <v>1538</v>
      </c>
      <c r="W752" t="s">
        <v>13</v>
      </c>
      <c r="X752" t="s">
        <v>17</v>
      </c>
      <c r="Y752" s="1" t="s">
        <v>321</v>
      </c>
    </row>
    <row r="753" spans="1:25" x14ac:dyDescent="0.25">
      <c r="A753" s="4">
        <v>1272</v>
      </c>
      <c r="B753" s="9" t="s">
        <v>324</v>
      </c>
      <c r="C753" s="8" t="s">
        <v>388</v>
      </c>
      <c r="D753" s="6" t="s">
        <v>28</v>
      </c>
      <c r="E753" s="10">
        <v>6</v>
      </c>
      <c r="F753">
        <v>5.7406553721562501</v>
      </c>
      <c r="G753">
        <v>2.2601288529030499</v>
      </c>
      <c r="H753" t="s">
        <v>92</v>
      </c>
      <c r="I753" t="s">
        <v>24</v>
      </c>
      <c r="J753" t="s">
        <v>185</v>
      </c>
      <c r="K753" t="s">
        <v>313</v>
      </c>
      <c r="L753">
        <v>301</v>
      </c>
      <c r="M753" t="s">
        <v>1798</v>
      </c>
      <c r="N753">
        <v>300</v>
      </c>
      <c r="O753" s="1" t="s">
        <v>314</v>
      </c>
      <c r="P753" s="1" t="s">
        <v>312</v>
      </c>
      <c r="Q753" s="25">
        <v>38.540559999999999</v>
      </c>
      <c r="R753" s="25">
        <v>-95.257447999999997</v>
      </c>
      <c r="S753">
        <v>-2.1387</v>
      </c>
      <c r="T753">
        <v>-27.282399999999999</v>
      </c>
      <c r="U753">
        <v>2.1387</v>
      </c>
      <c r="V753" t="s">
        <v>1538</v>
      </c>
      <c r="W753" t="s">
        <v>13</v>
      </c>
      <c r="X753" t="s">
        <v>17</v>
      </c>
      <c r="Y753" s="1" t="s">
        <v>321</v>
      </c>
    </row>
    <row r="754" spans="1:25" x14ac:dyDescent="0.25">
      <c r="A754" s="4">
        <v>1277</v>
      </c>
      <c r="B754" s="9">
        <v>25123</v>
      </c>
      <c r="C754" s="8" t="s">
        <v>325</v>
      </c>
      <c r="D754" s="6" t="s">
        <v>28</v>
      </c>
      <c r="E754" s="10">
        <v>6</v>
      </c>
      <c r="F754">
        <v>16.1402763393085</v>
      </c>
      <c r="G754">
        <v>8.7649361561628005</v>
      </c>
      <c r="H754" t="s">
        <v>92</v>
      </c>
      <c r="I754" t="s">
        <v>24</v>
      </c>
      <c r="J754" t="s">
        <v>185</v>
      </c>
      <c r="K754" t="s">
        <v>313</v>
      </c>
      <c r="L754">
        <v>301</v>
      </c>
      <c r="M754" t="s">
        <v>1798</v>
      </c>
      <c r="N754">
        <v>300</v>
      </c>
      <c r="O754" s="1" t="s">
        <v>314</v>
      </c>
      <c r="P754" s="1" t="s">
        <v>312</v>
      </c>
      <c r="Q754" s="25">
        <v>38.540559999999999</v>
      </c>
      <c r="R754" s="25">
        <v>-95.257447999999997</v>
      </c>
      <c r="S754">
        <v>-2.1387</v>
      </c>
      <c r="T754">
        <v>-27.282399999999999</v>
      </c>
      <c r="U754">
        <v>2.1387</v>
      </c>
      <c r="V754" t="s">
        <v>1538</v>
      </c>
      <c r="W754" t="s">
        <v>13</v>
      </c>
      <c r="X754" t="s">
        <v>17</v>
      </c>
      <c r="Y754" s="1" t="s">
        <v>321</v>
      </c>
    </row>
    <row r="755" spans="1:25" x14ac:dyDescent="0.25">
      <c r="A755" s="4">
        <v>1278</v>
      </c>
      <c r="B755" s="9">
        <v>25126</v>
      </c>
      <c r="C755" s="8" t="s">
        <v>325</v>
      </c>
      <c r="D755" s="6" t="s">
        <v>59</v>
      </c>
      <c r="E755" s="10">
        <v>5</v>
      </c>
      <c r="F755">
        <v>9.6870045307145904</v>
      </c>
      <c r="G755">
        <v>5.21294218183401</v>
      </c>
      <c r="H755" t="s">
        <v>92</v>
      </c>
      <c r="I755" t="s">
        <v>24</v>
      </c>
      <c r="J755" t="s">
        <v>185</v>
      </c>
      <c r="K755" t="s">
        <v>313</v>
      </c>
      <c r="L755">
        <v>301</v>
      </c>
      <c r="M755" t="s">
        <v>1798</v>
      </c>
      <c r="N755">
        <v>300</v>
      </c>
      <c r="O755" s="1" t="s">
        <v>314</v>
      </c>
      <c r="P755" s="1" t="s">
        <v>312</v>
      </c>
      <c r="Q755" s="25">
        <v>38.540559999999999</v>
      </c>
      <c r="R755" s="25">
        <v>-95.257447999999997</v>
      </c>
      <c r="S755">
        <v>-2.1387</v>
      </c>
      <c r="T755">
        <v>-27.282399999999999</v>
      </c>
      <c r="U755">
        <v>2.1387</v>
      </c>
      <c r="V755" t="s">
        <v>1538</v>
      </c>
      <c r="W755" t="s">
        <v>13</v>
      </c>
      <c r="X755" t="s">
        <v>17</v>
      </c>
      <c r="Y755" s="1" t="s">
        <v>321</v>
      </c>
    </row>
    <row r="756" spans="1:25" x14ac:dyDescent="0.25">
      <c r="A756" s="4">
        <v>1280</v>
      </c>
      <c r="B756" s="9">
        <v>25126</v>
      </c>
      <c r="C756" s="8" t="s">
        <v>325</v>
      </c>
      <c r="D756" s="6" t="s">
        <v>28</v>
      </c>
      <c r="E756" s="10">
        <v>6</v>
      </c>
      <c r="F756">
        <v>8.6867500823203603</v>
      </c>
      <c r="G756">
        <v>3.1239722782994699</v>
      </c>
      <c r="H756" t="s">
        <v>92</v>
      </c>
      <c r="I756" t="s">
        <v>24</v>
      </c>
      <c r="J756" t="s">
        <v>185</v>
      </c>
      <c r="K756" t="s">
        <v>313</v>
      </c>
      <c r="L756">
        <v>301</v>
      </c>
      <c r="M756" t="s">
        <v>1798</v>
      </c>
      <c r="N756">
        <v>300</v>
      </c>
      <c r="O756" s="1" t="s">
        <v>314</v>
      </c>
      <c r="P756" s="1" t="s">
        <v>312</v>
      </c>
      <c r="Q756" s="25">
        <v>38.540559999999999</v>
      </c>
      <c r="R756" s="25">
        <v>-95.257447999999997</v>
      </c>
      <c r="S756">
        <v>-2.1387</v>
      </c>
      <c r="T756">
        <v>-27.282399999999999</v>
      </c>
      <c r="U756">
        <v>2.1387</v>
      </c>
      <c r="V756" t="s">
        <v>1538</v>
      </c>
      <c r="W756" t="s">
        <v>13</v>
      </c>
      <c r="X756" t="s">
        <v>17</v>
      </c>
      <c r="Y756" s="1" t="s">
        <v>321</v>
      </c>
    </row>
    <row r="757" spans="1:25" x14ac:dyDescent="0.25">
      <c r="A757" s="4">
        <v>1282</v>
      </c>
      <c r="B757" s="9">
        <v>25132</v>
      </c>
      <c r="C757" s="8" t="s">
        <v>325</v>
      </c>
      <c r="D757" s="6" t="s">
        <v>130</v>
      </c>
      <c r="E757" s="10">
        <v>6</v>
      </c>
      <c r="F757">
        <v>41.435845561264401</v>
      </c>
      <c r="G757">
        <v>12.0248494823278</v>
      </c>
      <c r="H757" t="s">
        <v>92</v>
      </c>
      <c r="I757" t="s">
        <v>24</v>
      </c>
      <c r="J757" t="s">
        <v>185</v>
      </c>
      <c r="K757" t="s">
        <v>313</v>
      </c>
      <c r="L757">
        <v>301</v>
      </c>
      <c r="M757" t="s">
        <v>1798</v>
      </c>
      <c r="N757">
        <v>300</v>
      </c>
      <c r="O757" s="1" t="s">
        <v>314</v>
      </c>
      <c r="P757" s="1" t="s">
        <v>312</v>
      </c>
      <c r="Q757" s="25">
        <v>38.540559999999999</v>
      </c>
      <c r="R757" s="25">
        <v>-95.257447999999997</v>
      </c>
      <c r="S757">
        <v>-2.1387</v>
      </c>
      <c r="T757">
        <v>-27.282399999999999</v>
      </c>
      <c r="U757">
        <v>2.1387</v>
      </c>
      <c r="V757" t="s">
        <v>1538</v>
      </c>
      <c r="W757" t="s">
        <v>13</v>
      </c>
      <c r="X757" t="s">
        <v>17</v>
      </c>
      <c r="Y757" s="1" t="s">
        <v>321</v>
      </c>
    </row>
    <row r="758" spans="1:25" x14ac:dyDescent="0.25">
      <c r="A758" s="4">
        <v>1283</v>
      </c>
      <c r="B758" s="9" t="s">
        <v>327</v>
      </c>
      <c r="C758" s="8" t="s">
        <v>388</v>
      </c>
      <c r="D758" s="6" t="s">
        <v>28</v>
      </c>
      <c r="E758" s="10">
        <v>6</v>
      </c>
      <c r="F758">
        <v>5.7545735973103698</v>
      </c>
      <c r="G758">
        <v>3.2968246045390299</v>
      </c>
      <c r="H758" t="s">
        <v>92</v>
      </c>
      <c r="I758" t="s">
        <v>24</v>
      </c>
      <c r="J758" t="s">
        <v>185</v>
      </c>
      <c r="K758" t="s">
        <v>313</v>
      </c>
      <c r="L758">
        <v>301</v>
      </c>
      <c r="M758" t="s">
        <v>1798</v>
      </c>
      <c r="N758">
        <v>300</v>
      </c>
      <c r="O758" s="1" t="s">
        <v>314</v>
      </c>
      <c r="P758" s="1" t="s">
        <v>312</v>
      </c>
      <c r="Q758" s="25">
        <v>38.540559999999999</v>
      </c>
      <c r="R758" s="25">
        <v>-95.257447999999997</v>
      </c>
      <c r="S758">
        <v>-2.1387</v>
      </c>
      <c r="T758">
        <v>-27.282399999999999</v>
      </c>
      <c r="U758">
        <v>2.1387</v>
      </c>
      <c r="V758" t="s">
        <v>1538</v>
      </c>
      <c r="W758" t="s">
        <v>13</v>
      </c>
      <c r="X758" t="s">
        <v>17</v>
      </c>
      <c r="Y758" s="1" t="s">
        <v>321</v>
      </c>
    </row>
    <row r="759" spans="1:25" x14ac:dyDescent="0.25">
      <c r="A759" s="4">
        <v>1284</v>
      </c>
      <c r="B759" s="9" t="s">
        <v>327</v>
      </c>
      <c r="C759" s="8" t="s">
        <v>388</v>
      </c>
      <c r="D759" s="6" t="s">
        <v>319</v>
      </c>
      <c r="E759" s="10">
        <v>6</v>
      </c>
      <c r="F759">
        <v>16.877195610844499</v>
      </c>
      <c r="G759">
        <v>10.1969087722984</v>
      </c>
      <c r="H759" t="s">
        <v>92</v>
      </c>
      <c r="I759" t="s">
        <v>24</v>
      </c>
      <c r="J759" t="s">
        <v>185</v>
      </c>
      <c r="K759" t="s">
        <v>313</v>
      </c>
      <c r="L759">
        <v>301</v>
      </c>
      <c r="M759" t="s">
        <v>1798</v>
      </c>
      <c r="N759">
        <v>300</v>
      </c>
      <c r="O759" s="1" t="s">
        <v>314</v>
      </c>
      <c r="P759" s="1" t="s">
        <v>312</v>
      </c>
      <c r="Q759" s="25">
        <v>38.540559999999999</v>
      </c>
      <c r="R759" s="25">
        <v>-95.257447999999997</v>
      </c>
      <c r="S759">
        <v>-2.1387</v>
      </c>
      <c r="T759">
        <v>-27.282399999999999</v>
      </c>
      <c r="U759">
        <v>2.1387</v>
      </c>
      <c r="V759" t="s">
        <v>1538</v>
      </c>
      <c r="W759" t="s">
        <v>13</v>
      </c>
      <c r="X759" t="s">
        <v>17</v>
      </c>
      <c r="Y759" s="1" t="s">
        <v>321</v>
      </c>
    </row>
    <row r="760" spans="1:25" x14ac:dyDescent="0.25">
      <c r="A760" s="4">
        <v>1285</v>
      </c>
      <c r="B760" s="9" t="s">
        <v>318</v>
      </c>
      <c r="C760" s="8" t="s">
        <v>388</v>
      </c>
      <c r="D760" s="6" t="s">
        <v>134</v>
      </c>
      <c r="E760" s="10">
        <v>6</v>
      </c>
      <c r="F760">
        <v>8.50403596187933</v>
      </c>
      <c r="G760">
        <v>3.4440053030483999</v>
      </c>
      <c r="H760" t="s">
        <v>92</v>
      </c>
      <c r="I760" t="s">
        <v>24</v>
      </c>
      <c r="J760" t="s">
        <v>185</v>
      </c>
      <c r="K760" t="s">
        <v>313</v>
      </c>
      <c r="L760">
        <v>301</v>
      </c>
      <c r="M760" t="s">
        <v>1798</v>
      </c>
      <c r="N760">
        <v>300</v>
      </c>
      <c r="O760" s="1" t="s">
        <v>314</v>
      </c>
      <c r="P760" s="1" t="s">
        <v>312</v>
      </c>
      <c r="Q760" s="25">
        <v>38.540559999999999</v>
      </c>
      <c r="R760" s="25">
        <v>-95.257447999999997</v>
      </c>
      <c r="S760">
        <v>-2.1387</v>
      </c>
      <c r="T760">
        <v>-27.282399999999999</v>
      </c>
      <c r="U760">
        <v>2.1387</v>
      </c>
      <c r="V760" t="s">
        <v>1538</v>
      </c>
      <c r="W760" t="s">
        <v>13</v>
      </c>
      <c r="X760" t="s">
        <v>17</v>
      </c>
      <c r="Y760" s="1" t="s">
        <v>321</v>
      </c>
    </row>
    <row r="761" spans="1:25" x14ac:dyDescent="0.25">
      <c r="A761" s="4">
        <v>1288</v>
      </c>
      <c r="B761" s="9" t="s">
        <v>317</v>
      </c>
      <c r="C761" s="8" t="s">
        <v>388</v>
      </c>
      <c r="D761" s="6" t="s">
        <v>134</v>
      </c>
      <c r="E761" s="10">
        <v>6</v>
      </c>
      <c r="F761">
        <v>7.5004411221435099</v>
      </c>
      <c r="G761">
        <v>4.39322443004479</v>
      </c>
      <c r="H761" t="s">
        <v>92</v>
      </c>
      <c r="I761" t="s">
        <v>24</v>
      </c>
      <c r="J761" t="s">
        <v>185</v>
      </c>
      <c r="K761" t="s">
        <v>313</v>
      </c>
      <c r="L761">
        <v>301</v>
      </c>
      <c r="M761" t="s">
        <v>1798</v>
      </c>
      <c r="N761">
        <v>300</v>
      </c>
      <c r="O761" s="1" t="s">
        <v>314</v>
      </c>
      <c r="P761" s="1" t="s">
        <v>312</v>
      </c>
      <c r="Q761" s="25">
        <v>38.540559999999999</v>
      </c>
      <c r="R761" s="25">
        <v>-95.257447999999997</v>
      </c>
      <c r="S761">
        <v>-2.1387</v>
      </c>
      <c r="T761">
        <v>-27.282399999999999</v>
      </c>
      <c r="U761">
        <v>2.1387</v>
      </c>
      <c r="V761" t="s">
        <v>1538</v>
      </c>
      <c r="W761" t="s">
        <v>13</v>
      </c>
      <c r="X761" t="s">
        <v>17</v>
      </c>
      <c r="Y761" s="1" t="s">
        <v>321</v>
      </c>
    </row>
    <row r="762" spans="1:25" x14ac:dyDescent="0.25">
      <c r="A762" s="4">
        <v>1289</v>
      </c>
      <c r="B762" s="9">
        <v>25138</v>
      </c>
      <c r="C762" s="8" t="s">
        <v>325</v>
      </c>
      <c r="D762" s="6" t="s">
        <v>134</v>
      </c>
      <c r="E762" s="10">
        <v>6</v>
      </c>
      <c r="F762">
        <v>9.1850131122135004</v>
      </c>
      <c r="G762">
        <v>3.98346761026023</v>
      </c>
      <c r="H762" t="s">
        <v>92</v>
      </c>
      <c r="I762" t="s">
        <v>24</v>
      </c>
      <c r="J762" t="s">
        <v>185</v>
      </c>
      <c r="K762" t="s">
        <v>313</v>
      </c>
      <c r="L762">
        <v>301</v>
      </c>
      <c r="M762" t="s">
        <v>1798</v>
      </c>
      <c r="N762">
        <v>300</v>
      </c>
      <c r="O762" s="1" t="s">
        <v>314</v>
      </c>
      <c r="P762" s="1" t="s">
        <v>312</v>
      </c>
      <c r="Q762" s="25">
        <v>38.540559999999999</v>
      </c>
      <c r="R762" s="25">
        <v>-95.257447999999997</v>
      </c>
      <c r="S762">
        <v>-2.1387</v>
      </c>
      <c r="T762">
        <v>-27.282399999999999</v>
      </c>
      <c r="U762">
        <v>2.1387</v>
      </c>
      <c r="V762" t="s">
        <v>1538</v>
      </c>
      <c r="W762" t="s">
        <v>13</v>
      </c>
      <c r="X762" t="s">
        <v>17</v>
      </c>
      <c r="Y762" s="1" t="s">
        <v>321</v>
      </c>
    </row>
    <row r="763" spans="1:25" x14ac:dyDescent="0.25">
      <c r="A763" s="4">
        <v>1290</v>
      </c>
      <c r="B763" s="9" t="s">
        <v>328</v>
      </c>
      <c r="C763" s="8" t="s">
        <v>388</v>
      </c>
      <c r="D763" s="6" t="s">
        <v>137</v>
      </c>
      <c r="E763" s="10">
        <v>6</v>
      </c>
      <c r="F763">
        <v>15.660524753642999</v>
      </c>
      <c r="G763">
        <v>7.4924793156767997</v>
      </c>
      <c r="H763" t="s">
        <v>92</v>
      </c>
      <c r="I763" t="s">
        <v>24</v>
      </c>
      <c r="J763" t="s">
        <v>185</v>
      </c>
      <c r="K763" t="s">
        <v>313</v>
      </c>
      <c r="L763">
        <v>301</v>
      </c>
      <c r="M763" t="s">
        <v>1798</v>
      </c>
      <c r="N763">
        <v>300</v>
      </c>
      <c r="O763" s="1" t="s">
        <v>314</v>
      </c>
      <c r="P763" s="1" t="s">
        <v>312</v>
      </c>
      <c r="Q763" s="25">
        <v>38.540559999999999</v>
      </c>
      <c r="R763" s="25">
        <v>-95.257447999999997</v>
      </c>
      <c r="S763">
        <v>-2.1387</v>
      </c>
      <c r="T763">
        <v>-27.282399999999999</v>
      </c>
      <c r="U763">
        <v>2.1387</v>
      </c>
      <c r="V763" t="s">
        <v>1538</v>
      </c>
      <c r="W763" t="s">
        <v>13</v>
      </c>
      <c r="X763" t="s">
        <v>17</v>
      </c>
      <c r="Y763" s="1" t="s">
        <v>321</v>
      </c>
    </row>
    <row r="764" spans="1:25" x14ac:dyDescent="0.25">
      <c r="A764" s="4">
        <v>1293</v>
      </c>
      <c r="B764" s="9" t="s">
        <v>328</v>
      </c>
      <c r="C764" s="8" t="s">
        <v>388</v>
      </c>
      <c r="D764" s="6" t="s">
        <v>295</v>
      </c>
      <c r="E764" s="10">
        <v>7</v>
      </c>
      <c r="F764">
        <v>7.8851883100644899</v>
      </c>
      <c r="G764">
        <v>3.6159604101555001</v>
      </c>
      <c r="H764" t="s">
        <v>92</v>
      </c>
      <c r="I764" t="s">
        <v>24</v>
      </c>
      <c r="J764" t="s">
        <v>185</v>
      </c>
      <c r="K764" t="s">
        <v>313</v>
      </c>
      <c r="L764">
        <v>301</v>
      </c>
      <c r="M764" t="s">
        <v>1798</v>
      </c>
      <c r="N764">
        <v>300</v>
      </c>
      <c r="O764" s="1" t="s">
        <v>314</v>
      </c>
      <c r="P764" s="1" t="s">
        <v>312</v>
      </c>
      <c r="Q764" s="25">
        <v>38.540559999999999</v>
      </c>
      <c r="R764" s="25">
        <v>-95.257447999999997</v>
      </c>
      <c r="S764">
        <v>-2.1387</v>
      </c>
      <c r="T764">
        <v>-27.282399999999999</v>
      </c>
      <c r="U764">
        <v>2.1387</v>
      </c>
      <c r="V764" t="s">
        <v>1538</v>
      </c>
      <c r="W764" t="s">
        <v>13</v>
      </c>
      <c r="X764" t="s">
        <v>17</v>
      </c>
      <c r="Y764" s="1" t="s">
        <v>321</v>
      </c>
    </row>
    <row r="765" spans="1:25" x14ac:dyDescent="0.25">
      <c r="A765" s="4">
        <v>1294</v>
      </c>
      <c r="B765" s="9" t="s">
        <v>329</v>
      </c>
      <c r="C765" s="8" t="s">
        <v>388</v>
      </c>
      <c r="D765" s="6" t="s">
        <v>137</v>
      </c>
      <c r="E765" s="10">
        <v>6</v>
      </c>
      <c r="F765">
        <v>14.2285596320515</v>
      </c>
      <c r="G765">
        <v>6.64178752840066</v>
      </c>
      <c r="H765" t="s">
        <v>92</v>
      </c>
      <c r="I765" t="s">
        <v>24</v>
      </c>
      <c r="J765" t="s">
        <v>185</v>
      </c>
      <c r="K765" t="s">
        <v>313</v>
      </c>
      <c r="L765">
        <v>301</v>
      </c>
      <c r="M765" t="s">
        <v>1798</v>
      </c>
      <c r="N765">
        <v>300</v>
      </c>
      <c r="O765" s="1" t="s">
        <v>314</v>
      </c>
      <c r="P765" s="1" t="s">
        <v>312</v>
      </c>
      <c r="Q765" s="25">
        <v>38.540559999999999</v>
      </c>
      <c r="R765" s="25">
        <v>-95.257447999999997</v>
      </c>
      <c r="S765">
        <v>-2.1387</v>
      </c>
      <c r="T765">
        <v>-27.282399999999999</v>
      </c>
      <c r="U765">
        <v>2.1387</v>
      </c>
      <c r="V765" t="s">
        <v>1538</v>
      </c>
      <c r="W765" t="s">
        <v>13</v>
      </c>
      <c r="X765" t="s">
        <v>17</v>
      </c>
      <c r="Y765" s="1" t="s">
        <v>321</v>
      </c>
    </row>
    <row r="766" spans="1:25" x14ac:dyDescent="0.25">
      <c r="A766" s="4">
        <v>1295</v>
      </c>
      <c r="B766" s="9" t="s">
        <v>330</v>
      </c>
      <c r="C766" s="8" t="s">
        <v>388</v>
      </c>
      <c r="D766" s="6" t="s">
        <v>134</v>
      </c>
      <c r="E766" s="10">
        <v>6</v>
      </c>
      <c r="F766">
        <v>6.5475208594999499</v>
      </c>
      <c r="G766">
        <v>3.6605436645646998</v>
      </c>
      <c r="H766" t="s">
        <v>92</v>
      </c>
      <c r="I766" t="s">
        <v>24</v>
      </c>
      <c r="J766" t="s">
        <v>185</v>
      </c>
      <c r="K766" t="s">
        <v>313</v>
      </c>
      <c r="L766">
        <v>301</v>
      </c>
      <c r="M766" t="s">
        <v>1798</v>
      </c>
      <c r="N766">
        <v>300</v>
      </c>
      <c r="O766" s="1" t="s">
        <v>314</v>
      </c>
      <c r="P766" s="1" t="s">
        <v>312</v>
      </c>
      <c r="Q766" s="25">
        <v>38.540559999999999</v>
      </c>
      <c r="R766" s="25">
        <v>-95.257447999999997</v>
      </c>
      <c r="S766">
        <v>-2.1387</v>
      </c>
      <c r="T766">
        <v>-27.282399999999999</v>
      </c>
      <c r="U766">
        <v>2.1387</v>
      </c>
      <c r="V766" t="s">
        <v>1538</v>
      </c>
      <c r="W766" t="s">
        <v>13</v>
      </c>
      <c r="X766" t="s">
        <v>17</v>
      </c>
      <c r="Y766" s="1" t="s">
        <v>321</v>
      </c>
    </row>
    <row r="767" spans="1:25" x14ac:dyDescent="0.25">
      <c r="A767" s="4">
        <v>1296</v>
      </c>
      <c r="B767" s="9">
        <v>25132</v>
      </c>
      <c r="C767" s="8" t="s">
        <v>325</v>
      </c>
      <c r="D767" s="6" t="s">
        <v>28</v>
      </c>
      <c r="E767" s="10">
        <v>6</v>
      </c>
      <c r="F767">
        <v>10.555485370545499</v>
      </c>
      <c r="G767">
        <v>5.4719980094537597</v>
      </c>
      <c r="H767" t="s">
        <v>92</v>
      </c>
      <c r="I767" t="s">
        <v>24</v>
      </c>
      <c r="J767" t="s">
        <v>185</v>
      </c>
      <c r="K767" t="s">
        <v>313</v>
      </c>
      <c r="L767">
        <v>301</v>
      </c>
      <c r="M767" t="s">
        <v>1798</v>
      </c>
      <c r="N767">
        <v>300</v>
      </c>
      <c r="O767" s="1" t="s">
        <v>314</v>
      </c>
      <c r="P767" s="1" t="s">
        <v>312</v>
      </c>
      <c r="Q767" s="25">
        <v>38.540559999999999</v>
      </c>
      <c r="R767" s="25">
        <v>-95.257447999999997</v>
      </c>
      <c r="S767">
        <v>-2.1387</v>
      </c>
      <c r="T767">
        <v>-27.282399999999999</v>
      </c>
      <c r="U767">
        <v>2.1387</v>
      </c>
      <c r="V767" t="s">
        <v>1538</v>
      </c>
      <c r="W767" t="s">
        <v>13</v>
      </c>
      <c r="X767" t="s">
        <v>17</v>
      </c>
      <c r="Y767" s="1" t="s">
        <v>321</v>
      </c>
    </row>
    <row r="768" spans="1:25" x14ac:dyDescent="0.25">
      <c r="A768" s="4">
        <v>1297</v>
      </c>
      <c r="B768" s="9" t="s">
        <v>331</v>
      </c>
      <c r="C768" s="8" t="s">
        <v>388</v>
      </c>
      <c r="D768" s="6" t="s">
        <v>28</v>
      </c>
      <c r="E768" s="10">
        <v>6</v>
      </c>
      <c r="F768">
        <v>5.4127496632883503</v>
      </c>
      <c r="G768">
        <v>2.8542232603913398</v>
      </c>
      <c r="H768" t="s">
        <v>92</v>
      </c>
      <c r="I768" t="s">
        <v>24</v>
      </c>
      <c r="J768" t="s">
        <v>185</v>
      </c>
      <c r="K768" t="s">
        <v>313</v>
      </c>
      <c r="L768">
        <v>301</v>
      </c>
      <c r="M768" t="s">
        <v>1798</v>
      </c>
      <c r="N768">
        <v>300</v>
      </c>
      <c r="O768" s="1" t="s">
        <v>314</v>
      </c>
      <c r="P768" s="1" t="s">
        <v>312</v>
      </c>
      <c r="Q768" s="25">
        <v>38.540559999999999</v>
      </c>
      <c r="R768" s="25">
        <v>-95.257447999999997</v>
      </c>
      <c r="S768">
        <v>-2.1387</v>
      </c>
      <c r="T768">
        <v>-27.282399999999999</v>
      </c>
      <c r="U768">
        <v>2.1387</v>
      </c>
      <c r="V768" t="s">
        <v>1538</v>
      </c>
      <c r="W768" t="s">
        <v>13</v>
      </c>
      <c r="X768" t="s">
        <v>17</v>
      </c>
      <c r="Y768" s="1" t="s">
        <v>321</v>
      </c>
    </row>
    <row r="769" spans="1:25" x14ac:dyDescent="0.25">
      <c r="A769" s="4">
        <v>1300</v>
      </c>
      <c r="B769" s="9" t="s">
        <v>1241</v>
      </c>
      <c r="C769" s="8" t="s">
        <v>388</v>
      </c>
      <c r="D769" s="6" t="s">
        <v>59</v>
      </c>
      <c r="E769" s="10">
        <v>5</v>
      </c>
      <c r="F769">
        <v>1.3159692235242</v>
      </c>
      <c r="G769">
        <v>0.61817310340415599</v>
      </c>
      <c r="H769" t="s">
        <v>92</v>
      </c>
      <c r="I769" t="s">
        <v>24</v>
      </c>
      <c r="J769" t="s">
        <v>185</v>
      </c>
      <c r="K769" t="s">
        <v>313</v>
      </c>
      <c r="L769">
        <v>301</v>
      </c>
      <c r="M769" t="s">
        <v>1798</v>
      </c>
      <c r="N769">
        <v>300</v>
      </c>
      <c r="O769" s="1" t="s">
        <v>314</v>
      </c>
      <c r="P769" s="1" t="s">
        <v>312</v>
      </c>
      <c r="Q769" s="25">
        <v>38.540559999999999</v>
      </c>
      <c r="R769" s="25">
        <v>-95.257447999999997</v>
      </c>
      <c r="S769">
        <v>-2.1387</v>
      </c>
      <c r="T769">
        <v>-27.282399999999999</v>
      </c>
      <c r="U769">
        <v>2.1387</v>
      </c>
      <c r="V769" t="s">
        <v>1538</v>
      </c>
      <c r="W769" t="s">
        <v>13</v>
      </c>
      <c r="X769" t="s">
        <v>17</v>
      </c>
      <c r="Y769" s="1" t="s">
        <v>1242</v>
      </c>
    </row>
    <row r="770" spans="1:25" x14ac:dyDescent="0.25">
      <c r="A770" s="4">
        <v>1305</v>
      </c>
      <c r="B770" s="9" t="s">
        <v>1243</v>
      </c>
      <c r="C770" s="8" t="s">
        <v>388</v>
      </c>
      <c r="D770" s="6" t="s">
        <v>28</v>
      </c>
      <c r="E770" s="10">
        <v>6</v>
      </c>
      <c r="F770">
        <v>2.8876058997099299</v>
      </c>
      <c r="G770">
        <v>0.75156865882861001</v>
      </c>
      <c r="H770" t="s">
        <v>92</v>
      </c>
      <c r="I770" t="s">
        <v>24</v>
      </c>
      <c r="J770" t="s">
        <v>185</v>
      </c>
      <c r="K770" t="s">
        <v>313</v>
      </c>
      <c r="L770">
        <v>301</v>
      </c>
      <c r="M770" t="s">
        <v>1798</v>
      </c>
      <c r="N770">
        <v>300</v>
      </c>
      <c r="O770" s="1" t="s">
        <v>314</v>
      </c>
      <c r="P770" s="1" t="s">
        <v>312</v>
      </c>
      <c r="Q770" s="25">
        <v>38.540559999999999</v>
      </c>
      <c r="R770" s="25">
        <v>-95.257447999999997</v>
      </c>
      <c r="S770">
        <v>-2.1387</v>
      </c>
      <c r="T770">
        <v>-27.282399999999999</v>
      </c>
      <c r="U770">
        <v>2.1387</v>
      </c>
      <c r="V770" t="s">
        <v>1538</v>
      </c>
      <c r="W770" t="s">
        <v>13</v>
      </c>
      <c r="X770" t="s">
        <v>17</v>
      </c>
      <c r="Y770" s="1" t="s">
        <v>1242</v>
      </c>
    </row>
    <row r="771" spans="1:25" x14ac:dyDescent="0.25">
      <c r="A771" s="4">
        <v>1307</v>
      </c>
      <c r="B771" s="9" t="s">
        <v>1244</v>
      </c>
      <c r="C771" s="8" t="s">
        <v>388</v>
      </c>
      <c r="D771" s="6" t="s">
        <v>59</v>
      </c>
      <c r="E771" s="10">
        <v>5</v>
      </c>
      <c r="F771">
        <v>1.6311624361805499</v>
      </c>
      <c r="G771">
        <v>0.59922912220395996</v>
      </c>
      <c r="H771" t="s">
        <v>92</v>
      </c>
      <c r="I771" t="s">
        <v>24</v>
      </c>
      <c r="J771" t="s">
        <v>185</v>
      </c>
      <c r="K771" t="s">
        <v>313</v>
      </c>
      <c r="L771">
        <v>301</v>
      </c>
      <c r="M771" t="s">
        <v>1798</v>
      </c>
      <c r="N771">
        <v>300</v>
      </c>
      <c r="O771" s="1" t="s">
        <v>314</v>
      </c>
      <c r="P771" s="1" t="s">
        <v>312</v>
      </c>
      <c r="Q771" s="25">
        <v>38.540559999999999</v>
      </c>
      <c r="R771" s="25">
        <v>-95.257447999999997</v>
      </c>
      <c r="S771">
        <v>-2.1387</v>
      </c>
      <c r="T771">
        <v>-27.282399999999999</v>
      </c>
      <c r="U771">
        <v>2.1387</v>
      </c>
      <c r="V771" t="s">
        <v>1538</v>
      </c>
      <c r="W771" t="s">
        <v>13</v>
      </c>
      <c r="X771" t="s">
        <v>17</v>
      </c>
      <c r="Y771" s="1" t="s">
        <v>1242</v>
      </c>
    </row>
    <row r="772" spans="1:25" x14ac:dyDescent="0.25">
      <c r="A772" s="4">
        <v>1310</v>
      </c>
      <c r="B772" s="9" t="s">
        <v>1245</v>
      </c>
      <c r="C772" s="8" t="s">
        <v>388</v>
      </c>
      <c r="D772" s="6" t="s">
        <v>28</v>
      </c>
      <c r="E772" s="10">
        <v>6</v>
      </c>
      <c r="F772">
        <v>8.2889144022875705</v>
      </c>
      <c r="G772">
        <v>4.82406875100801</v>
      </c>
      <c r="H772" t="s">
        <v>92</v>
      </c>
      <c r="I772" t="s">
        <v>24</v>
      </c>
      <c r="J772" t="s">
        <v>185</v>
      </c>
      <c r="K772" t="s">
        <v>313</v>
      </c>
      <c r="L772">
        <v>301</v>
      </c>
      <c r="M772" t="s">
        <v>1798</v>
      </c>
      <c r="N772">
        <v>300</v>
      </c>
      <c r="O772" s="1" t="s">
        <v>314</v>
      </c>
      <c r="P772" s="1" t="s">
        <v>312</v>
      </c>
      <c r="Q772" s="25">
        <v>38.540559999999999</v>
      </c>
      <c r="R772" s="25">
        <v>-95.257447999999997</v>
      </c>
      <c r="S772">
        <v>-2.1387</v>
      </c>
      <c r="T772">
        <v>-27.282399999999999</v>
      </c>
      <c r="U772">
        <v>2.1387</v>
      </c>
      <c r="V772" t="s">
        <v>1538</v>
      </c>
      <c r="W772" t="s">
        <v>13</v>
      </c>
      <c r="X772" t="s">
        <v>17</v>
      </c>
      <c r="Y772" s="1" t="s">
        <v>1242</v>
      </c>
    </row>
    <row r="773" spans="1:25" x14ac:dyDescent="0.25">
      <c r="A773" s="4">
        <v>1311</v>
      </c>
      <c r="B773" s="9" t="s">
        <v>384</v>
      </c>
      <c r="C773" s="8" t="s">
        <v>304</v>
      </c>
      <c r="D773" s="6" t="s">
        <v>28</v>
      </c>
      <c r="E773" s="10">
        <v>6</v>
      </c>
      <c r="F773">
        <v>614.79970167900899</v>
      </c>
      <c r="G773">
        <v>402.42558700809002</v>
      </c>
      <c r="H773" t="s">
        <v>92</v>
      </c>
      <c r="I773" t="s">
        <v>24</v>
      </c>
      <c r="J773" t="s">
        <v>185</v>
      </c>
      <c r="L773">
        <v>310</v>
      </c>
      <c r="M773" t="s">
        <v>1798</v>
      </c>
      <c r="N773">
        <v>300</v>
      </c>
      <c r="O773" s="1" t="s">
        <v>383</v>
      </c>
      <c r="P773" s="1" t="s">
        <v>381</v>
      </c>
      <c r="Q773" s="25">
        <v>36.17</v>
      </c>
      <c r="R773" s="25">
        <v>-105.46</v>
      </c>
      <c r="S773">
        <v>0.49390000000000001</v>
      </c>
      <c r="T773">
        <v>-35.307099999999998</v>
      </c>
      <c r="U773">
        <v>0.49390000000000001</v>
      </c>
      <c r="V773" t="s">
        <v>1538</v>
      </c>
      <c r="W773" t="s">
        <v>14</v>
      </c>
      <c r="X773" t="s">
        <v>17</v>
      </c>
      <c r="Y773" s="1" t="s">
        <v>382</v>
      </c>
    </row>
    <row r="774" spans="1:25" x14ac:dyDescent="0.25">
      <c r="A774" s="4">
        <v>1312</v>
      </c>
      <c r="B774" s="9">
        <v>6037</v>
      </c>
      <c r="C774" s="8" t="s">
        <v>304</v>
      </c>
      <c r="D774" s="6" t="s">
        <v>28</v>
      </c>
      <c r="E774" s="10">
        <v>6</v>
      </c>
      <c r="F774">
        <v>357.72766460430398</v>
      </c>
      <c r="G774">
        <v>243.34279089739701</v>
      </c>
      <c r="H774" t="s">
        <v>92</v>
      </c>
      <c r="I774" t="s">
        <v>24</v>
      </c>
      <c r="J774" t="s">
        <v>185</v>
      </c>
      <c r="L774">
        <v>310</v>
      </c>
      <c r="M774" t="s">
        <v>1798</v>
      </c>
      <c r="N774">
        <v>300</v>
      </c>
      <c r="O774" s="1" t="s">
        <v>383</v>
      </c>
      <c r="P774" s="1" t="s">
        <v>381</v>
      </c>
      <c r="Q774" s="25">
        <v>36.17</v>
      </c>
      <c r="R774" s="25">
        <v>-105.46</v>
      </c>
      <c r="S774">
        <v>0.49390000000000001</v>
      </c>
      <c r="T774">
        <v>-35.307099999999998</v>
      </c>
      <c r="U774">
        <v>0.49390000000000001</v>
      </c>
      <c r="V774" t="s">
        <v>1538</v>
      </c>
      <c r="W774" t="s">
        <v>14</v>
      </c>
      <c r="X774" t="s">
        <v>17</v>
      </c>
      <c r="Y774" s="1" t="s">
        <v>382</v>
      </c>
    </row>
    <row r="775" spans="1:25" x14ac:dyDescent="0.25">
      <c r="A775" s="4">
        <v>1313</v>
      </c>
      <c r="B775" s="9">
        <v>14568</v>
      </c>
      <c r="C775" s="8" t="s">
        <v>70</v>
      </c>
      <c r="D775" s="6" t="s">
        <v>279</v>
      </c>
      <c r="E775" s="10">
        <v>5</v>
      </c>
      <c r="F775">
        <v>4.91922057854151</v>
      </c>
      <c r="G775">
        <v>0.42399796614213597</v>
      </c>
      <c r="H775" t="s">
        <v>52</v>
      </c>
      <c r="I775" t="s">
        <v>24</v>
      </c>
      <c r="J775" t="s">
        <v>185</v>
      </c>
      <c r="L775">
        <v>310</v>
      </c>
      <c r="M775" t="s">
        <v>1798</v>
      </c>
      <c r="N775">
        <v>300</v>
      </c>
      <c r="O775" s="1" t="s">
        <v>54</v>
      </c>
      <c r="P775" s="1" t="s">
        <v>284</v>
      </c>
      <c r="Q775" s="25">
        <v>-30.014599</v>
      </c>
      <c r="R775" s="25">
        <v>-68.750225</v>
      </c>
      <c r="S775">
        <v>-43.872399999999999</v>
      </c>
      <c r="T775">
        <v>-58.384500000000003</v>
      </c>
      <c r="U775">
        <v>43.872399999999999</v>
      </c>
      <c r="V775" t="s">
        <v>1537</v>
      </c>
      <c r="W775" t="s">
        <v>14</v>
      </c>
      <c r="X775" t="s">
        <v>17</v>
      </c>
      <c r="Y775" s="1" t="s">
        <v>389</v>
      </c>
    </row>
    <row r="776" spans="1:25" x14ac:dyDescent="0.25">
      <c r="A776" s="4">
        <v>1314</v>
      </c>
      <c r="B776" s="9" t="s">
        <v>531</v>
      </c>
      <c r="C776" s="8" t="s">
        <v>304</v>
      </c>
      <c r="D776" s="6" t="s">
        <v>59</v>
      </c>
      <c r="E776" s="10">
        <v>5</v>
      </c>
      <c r="F776">
        <v>1.3509266259822501</v>
      </c>
      <c r="G776">
        <v>0.65219540561665601</v>
      </c>
      <c r="H776" t="s">
        <v>92</v>
      </c>
      <c r="I776" t="s">
        <v>266</v>
      </c>
      <c r="J776" t="s">
        <v>267</v>
      </c>
      <c r="K776" t="s">
        <v>1452</v>
      </c>
      <c r="L776">
        <v>294</v>
      </c>
      <c r="M776" t="s">
        <v>1798</v>
      </c>
      <c r="N776">
        <v>300</v>
      </c>
      <c r="O776" t="s">
        <v>1530</v>
      </c>
      <c r="P776" s="1" t="s">
        <v>528</v>
      </c>
      <c r="Q776" s="25">
        <v>32.476754999999997</v>
      </c>
      <c r="R776" s="25">
        <v>-106.797602</v>
      </c>
      <c r="S776">
        <v>-1.7399</v>
      </c>
      <c r="T776">
        <v>-38.448999999999998</v>
      </c>
      <c r="U776">
        <v>1.7399</v>
      </c>
      <c r="V776" t="s">
        <v>1538</v>
      </c>
      <c r="W776" t="s">
        <v>13</v>
      </c>
      <c r="X776" t="s">
        <v>17</v>
      </c>
      <c r="Y776" s="1" t="s">
        <v>532</v>
      </c>
    </row>
    <row r="777" spans="1:25" x14ac:dyDescent="0.25">
      <c r="A777" s="4">
        <v>1315</v>
      </c>
      <c r="B777" s="9" t="s">
        <v>535</v>
      </c>
      <c r="C777" s="8" t="s">
        <v>304</v>
      </c>
      <c r="D777" s="6" t="s">
        <v>534</v>
      </c>
      <c r="E777" s="10">
        <v>6</v>
      </c>
      <c r="F777">
        <v>22.980172838664402</v>
      </c>
      <c r="G777">
        <v>9.3937550970130594</v>
      </c>
      <c r="H777" t="s">
        <v>92</v>
      </c>
      <c r="I777" t="s">
        <v>266</v>
      </c>
      <c r="J777" t="s">
        <v>267</v>
      </c>
      <c r="K777" t="s">
        <v>1452</v>
      </c>
      <c r="L777">
        <v>294</v>
      </c>
      <c r="M777" t="s">
        <v>1798</v>
      </c>
      <c r="N777">
        <v>300</v>
      </c>
      <c r="O777" t="s">
        <v>1530</v>
      </c>
      <c r="P777" s="1" t="s">
        <v>528</v>
      </c>
      <c r="Q777" s="25">
        <v>32.476754999999997</v>
      </c>
      <c r="R777" s="25">
        <v>-106.797602</v>
      </c>
      <c r="S777">
        <v>-1.7399</v>
      </c>
      <c r="T777">
        <v>-38.448999999999998</v>
      </c>
      <c r="U777">
        <v>1.7399</v>
      </c>
      <c r="V777" t="s">
        <v>1538</v>
      </c>
      <c r="W777" t="s">
        <v>13</v>
      </c>
      <c r="X777" t="s">
        <v>17</v>
      </c>
      <c r="Y777" s="1" t="s">
        <v>532</v>
      </c>
    </row>
    <row r="778" spans="1:25" x14ac:dyDescent="0.25">
      <c r="A778" s="4">
        <v>1317</v>
      </c>
      <c r="B778" s="9" t="s">
        <v>537</v>
      </c>
      <c r="C778" s="8" t="s">
        <v>304</v>
      </c>
      <c r="D778" s="6" t="s">
        <v>295</v>
      </c>
      <c r="E778" s="10">
        <v>7</v>
      </c>
      <c r="F778">
        <v>8.7676927606304798</v>
      </c>
      <c r="G778">
        <v>2.7292086393998898</v>
      </c>
      <c r="H778" t="s">
        <v>92</v>
      </c>
      <c r="I778" t="s">
        <v>266</v>
      </c>
      <c r="J778" t="s">
        <v>267</v>
      </c>
      <c r="K778" t="s">
        <v>1452</v>
      </c>
      <c r="L778">
        <v>294</v>
      </c>
      <c r="M778" t="s">
        <v>1798</v>
      </c>
      <c r="N778">
        <v>300</v>
      </c>
      <c r="O778" t="s">
        <v>1530</v>
      </c>
      <c r="P778" s="1" t="s">
        <v>528</v>
      </c>
      <c r="Q778" s="25">
        <v>32.476754999999997</v>
      </c>
      <c r="R778" s="25">
        <v>-106.797602</v>
      </c>
      <c r="S778">
        <v>-1.7399</v>
      </c>
      <c r="T778">
        <v>-38.448999999999998</v>
      </c>
      <c r="U778">
        <v>1.7399</v>
      </c>
      <c r="V778" t="s">
        <v>1538</v>
      </c>
      <c r="W778" t="s">
        <v>13</v>
      </c>
      <c r="X778" t="s">
        <v>17</v>
      </c>
      <c r="Y778" s="1" t="s">
        <v>532</v>
      </c>
    </row>
    <row r="779" spans="1:25" x14ac:dyDescent="0.25">
      <c r="A779" s="4">
        <v>1318</v>
      </c>
      <c r="B779" s="9" t="s">
        <v>538</v>
      </c>
      <c r="C779" s="8" t="s">
        <v>304</v>
      </c>
      <c r="D779" s="6" t="s">
        <v>59</v>
      </c>
      <c r="E779" s="10">
        <v>5</v>
      </c>
      <c r="F779">
        <v>3.28118948130727</v>
      </c>
      <c r="G779">
        <v>1.94873884675892</v>
      </c>
      <c r="H779" t="s">
        <v>92</v>
      </c>
      <c r="I779" t="s">
        <v>266</v>
      </c>
      <c r="J779" t="s">
        <v>267</v>
      </c>
      <c r="K779" t="s">
        <v>1452</v>
      </c>
      <c r="L779">
        <v>294</v>
      </c>
      <c r="M779" t="s">
        <v>1798</v>
      </c>
      <c r="N779">
        <v>300</v>
      </c>
      <c r="O779" t="s">
        <v>1530</v>
      </c>
      <c r="P779" s="1" t="s">
        <v>528</v>
      </c>
      <c r="Q779" s="25">
        <v>32.476754999999997</v>
      </c>
      <c r="R779" s="25">
        <v>-106.797602</v>
      </c>
      <c r="S779">
        <v>-1.7399</v>
      </c>
      <c r="T779">
        <v>-38.448999999999998</v>
      </c>
      <c r="U779">
        <v>1.7399</v>
      </c>
      <c r="V779" t="s">
        <v>1538</v>
      </c>
      <c r="W779" t="s">
        <v>13</v>
      </c>
      <c r="X779" t="s">
        <v>17</v>
      </c>
      <c r="Y779" s="1" t="s">
        <v>532</v>
      </c>
    </row>
    <row r="780" spans="1:25" x14ac:dyDescent="0.25">
      <c r="A780" s="4">
        <v>1319</v>
      </c>
      <c r="B780" s="9" t="s">
        <v>539</v>
      </c>
      <c r="C780" s="8" t="s">
        <v>304</v>
      </c>
      <c r="D780" s="6" t="s">
        <v>137</v>
      </c>
      <c r="E780" s="10">
        <v>6</v>
      </c>
      <c r="F780">
        <v>8.2708947037816305</v>
      </c>
      <c r="G780">
        <v>2.3142063351446298</v>
      </c>
      <c r="H780" t="s">
        <v>92</v>
      </c>
      <c r="I780" t="s">
        <v>266</v>
      </c>
      <c r="J780" t="s">
        <v>267</v>
      </c>
      <c r="K780" t="s">
        <v>1452</v>
      </c>
      <c r="L780">
        <v>294</v>
      </c>
      <c r="M780" t="s">
        <v>1798</v>
      </c>
      <c r="N780">
        <v>300</v>
      </c>
      <c r="O780" t="s">
        <v>1530</v>
      </c>
      <c r="P780" s="1" t="s">
        <v>528</v>
      </c>
      <c r="Q780" s="25">
        <v>32.476754999999997</v>
      </c>
      <c r="R780" s="25">
        <v>-106.797602</v>
      </c>
      <c r="S780">
        <v>-1.7399</v>
      </c>
      <c r="T780">
        <v>-38.448999999999998</v>
      </c>
      <c r="U780">
        <v>1.7399</v>
      </c>
      <c r="V780" t="s">
        <v>1538</v>
      </c>
      <c r="W780" t="s">
        <v>13</v>
      </c>
      <c r="X780" t="s">
        <v>17</v>
      </c>
      <c r="Y780" s="1" t="s">
        <v>532</v>
      </c>
    </row>
    <row r="781" spans="1:25" x14ac:dyDescent="0.25">
      <c r="A781" s="4">
        <v>1320</v>
      </c>
      <c r="B781" s="9" t="s">
        <v>540</v>
      </c>
      <c r="C781" s="8" t="s">
        <v>304</v>
      </c>
      <c r="D781" s="6" t="s">
        <v>295</v>
      </c>
      <c r="E781" s="10">
        <v>7</v>
      </c>
      <c r="F781">
        <v>8.3988884240350306</v>
      </c>
      <c r="G781">
        <v>4.7051992916791496</v>
      </c>
      <c r="H781" t="s">
        <v>92</v>
      </c>
      <c r="I781" t="s">
        <v>266</v>
      </c>
      <c r="J781" t="s">
        <v>267</v>
      </c>
      <c r="K781" t="s">
        <v>1452</v>
      </c>
      <c r="L781">
        <v>294</v>
      </c>
      <c r="M781" t="s">
        <v>1798</v>
      </c>
      <c r="N781">
        <v>300</v>
      </c>
      <c r="O781" t="s">
        <v>1530</v>
      </c>
      <c r="P781" s="1" t="s">
        <v>528</v>
      </c>
      <c r="Q781" s="25">
        <v>32.476754999999997</v>
      </c>
      <c r="R781" s="25">
        <v>-106.797602</v>
      </c>
      <c r="S781">
        <v>-1.7399</v>
      </c>
      <c r="T781">
        <v>-38.448999999999998</v>
      </c>
      <c r="U781">
        <v>1.7399</v>
      </c>
      <c r="V781" t="s">
        <v>1538</v>
      </c>
      <c r="W781" t="s">
        <v>13</v>
      </c>
      <c r="X781" t="s">
        <v>17</v>
      </c>
      <c r="Y781" s="1" t="s">
        <v>532</v>
      </c>
    </row>
    <row r="782" spans="1:25" x14ac:dyDescent="0.25">
      <c r="A782" s="4">
        <v>1321</v>
      </c>
      <c r="B782" s="9" t="s">
        <v>541</v>
      </c>
      <c r="C782" s="8" t="s">
        <v>304</v>
      </c>
      <c r="D782" s="6" t="s">
        <v>137</v>
      </c>
      <c r="E782" s="10">
        <v>6</v>
      </c>
      <c r="F782">
        <v>7.8118773407948199</v>
      </c>
      <c r="G782">
        <v>3.6724786380146299</v>
      </c>
      <c r="H782" t="s">
        <v>92</v>
      </c>
      <c r="I782" t="s">
        <v>266</v>
      </c>
      <c r="J782" t="s">
        <v>267</v>
      </c>
      <c r="K782" t="s">
        <v>1452</v>
      </c>
      <c r="L782">
        <v>294</v>
      </c>
      <c r="M782" t="s">
        <v>1798</v>
      </c>
      <c r="N782">
        <v>300</v>
      </c>
      <c r="O782" t="s">
        <v>1530</v>
      </c>
      <c r="P782" s="1" t="s">
        <v>528</v>
      </c>
      <c r="Q782" s="25">
        <v>32.476754999999997</v>
      </c>
      <c r="R782" s="25">
        <v>-106.797602</v>
      </c>
      <c r="S782">
        <v>-1.7399</v>
      </c>
      <c r="T782">
        <v>-38.448999999999998</v>
      </c>
      <c r="U782">
        <v>1.7399</v>
      </c>
      <c r="V782" t="s">
        <v>1538</v>
      </c>
      <c r="W782" t="s">
        <v>13</v>
      </c>
      <c r="X782" t="s">
        <v>17</v>
      </c>
      <c r="Y782" s="1" t="s">
        <v>542</v>
      </c>
    </row>
    <row r="783" spans="1:25" x14ac:dyDescent="0.25">
      <c r="A783" s="4">
        <v>1322</v>
      </c>
      <c r="B783" s="9" t="s">
        <v>544</v>
      </c>
      <c r="C783" s="8" t="s">
        <v>304</v>
      </c>
      <c r="D783" s="6" t="s">
        <v>96</v>
      </c>
      <c r="E783" s="10">
        <v>6</v>
      </c>
      <c r="F783">
        <v>29.287684117064899</v>
      </c>
      <c r="G783">
        <v>2.3525616567126399</v>
      </c>
      <c r="H783" t="s">
        <v>92</v>
      </c>
      <c r="I783" t="s">
        <v>266</v>
      </c>
      <c r="J783" t="s">
        <v>267</v>
      </c>
      <c r="K783" t="s">
        <v>1452</v>
      </c>
      <c r="L783">
        <v>294</v>
      </c>
      <c r="M783" t="s">
        <v>1798</v>
      </c>
      <c r="N783">
        <v>300</v>
      </c>
      <c r="O783" t="s">
        <v>1530</v>
      </c>
      <c r="P783" s="1" t="s">
        <v>528</v>
      </c>
      <c r="Q783" s="25">
        <v>32.476754999999997</v>
      </c>
      <c r="R783" s="25">
        <v>-106.797602</v>
      </c>
      <c r="S783">
        <v>-1.7399</v>
      </c>
      <c r="T783">
        <v>-38.448999999999998</v>
      </c>
      <c r="U783">
        <v>1.7399</v>
      </c>
      <c r="V783" t="s">
        <v>1538</v>
      </c>
      <c r="W783" t="s">
        <v>13</v>
      </c>
      <c r="X783" t="s">
        <v>17</v>
      </c>
      <c r="Y783" s="1" t="s">
        <v>542</v>
      </c>
    </row>
    <row r="784" spans="1:25" x14ac:dyDescent="0.25">
      <c r="A784" s="4">
        <v>1323</v>
      </c>
      <c r="B784" s="9" t="s">
        <v>544</v>
      </c>
      <c r="C784" s="8" t="s">
        <v>304</v>
      </c>
      <c r="D784" s="6" t="s">
        <v>96</v>
      </c>
      <c r="E784" s="10">
        <v>6</v>
      </c>
      <c r="F784">
        <v>42.135386710884397</v>
      </c>
      <c r="G784">
        <v>5.1433719884660096</v>
      </c>
      <c r="H784" t="s">
        <v>92</v>
      </c>
      <c r="I784" t="s">
        <v>266</v>
      </c>
      <c r="J784" t="s">
        <v>267</v>
      </c>
      <c r="K784" t="s">
        <v>1452</v>
      </c>
      <c r="L784">
        <v>294</v>
      </c>
      <c r="M784" t="s">
        <v>1798</v>
      </c>
      <c r="N784">
        <v>300</v>
      </c>
      <c r="O784" t="s">
        <v>1530</v>
      </c>
      <c r="P784" s="1" t="s">
        <v>528</v>
      </c>
      <c r="Q784" s="25">
        <v>32.476754999999997</v>
      </c>
      <c r="R784" s="25">
        <v>-106.797602</v>
      </c>
      <c r="S784">
        <v>-1.7399</v>
      </c>
      <c r="T784">
        <v>-38.448999999999998</v>
      </c>
      <c r="U784">
        <v>1.7399</v>
      </c>
      <c r="V784" t="s">
        <v>1538</v>
      </c>
      <c r="W784" t="s">
        <v>13</v>
      </c>
      <c r="X784" t="s">
        <v>17</v>
      </c>
      <c r="Y784" s="1" t="s">
        <v>542</v>
      </c>
    </row>
    <row r="785" spans="1:25" x14ac:dyDescent="0.25">
      <c r="A785" s="4">
        <v>1324</v>
      </c>
      <c r="B785" s="9" t="s">
        <v>545</v>
      </c>
      <c r="C785" s="8" t="s">
        <v>304</v>
      </c>
      <c r="D785" s="6" t="s">
        <v>28</v>
      </c>
      <c r="E785" s="10">
        <v>6</v>
      </c>
      <c r="F785">
        <v>7.3009547925095397</v>
      </c>
      <c r="G785">
        <v>2.8975042130720401</v>
      </c>
      <c r="H785" t="s">
        <v>92</v>
      </c>
      <c r="I785" t="s">
        <v>266</v>
      </c>
      <c r="J785" t="s">
        <v>267</v>
      </c>
      <c r="K785" t="s">
        <v>1452</v>
      </c>
      <c r="L785">
        <v>294</v>
      </c>
      <c r="M785" t="s">
        <v>1798</v>
      </c>
      <c r="N785">
        <v>300</v>
      </c>
      <c r="O785" t="s">
        <v>1530</v>
      </c>
      <c r="P785" s="1" t="s">
        <v>528</v>
      </c>
      <c r="Q785" s="25">
        <v>32.476754999999997</v>
      </c>
      <c r="R785" s="25">
        <v>-106.797602</v>
      </c>
      <c r="S785">
        <v>-1.7399</v>
      </c>
      <c r="T785">
        <v>-38.448999999999998</v>
      </c>
      <c r="U785">
        <v>1.7399</v>
      </c>
      <c r="V785" t="s">
        <v>1538</v>
      </c>
      <c r="W785" t="s">
        <v>13</v>
      </c>
      <c r="X785" t="s">
        <v>17</v>
      </c>
      <c r="Y785" s="1" t="s">
        <v>542</v>
      </c>
    </row>
    <row r="786" spans="1:25" x14ac:dyDescent="0.25">
      <c r="A786" s="4">
        <v>1328</v>
      </c>
      <c r="B786" s="9" t="s">
        <v>81</v>
      </c>
      <c r="C786" s="8" t="s">
        <v>49</v>
      </c>
      <c r="D786" s="6" t="s">
        <v>59</v>
      </c>
      <c r="E786" s="10">
        <v>5</v>
      </c>
      <c r="F786">
        <v>6.4794491861047501</v>
      </c>
      <c r="G786">
        <v>2.7405346609646202</v>
      </c>
      <c r="H786" t="s">
        <v>52</v>
      </c>
      <c r="I786" t="s">
        <v>24</v>
      </c>
      <c r="J786" t="s">
        <v>185</v>
      </c>
      <c r="L786">
        <v>310</v>
      </c>
      <c r="M786" t="s">
        <v>1798</v>
      </c>
      <c r="N786">
        <v>300</v>
      </c>
      <c r="O786" t="s">
        <v>78</v>
      </c>
      <c r="P786" s="1" t="s">
        <v>79</v>
      </c>
      <c r="Q786" s="25">
        <v>-35.007150000000003</v>
      </c>
      <c r="R786" s="25">
        <v>-68.646798000000004</v>
      </c>
      <c r="S786">
        <v>-47.892800000000001</v>
      </c>
      <c r="T786">
        <v>-62.642600000000002</v>
      </c>
      <c r="U786">
        <v>47.892800000000001</v>
      </c>
      <c r="V786" t="s">
        <v>1537</v>
      </c>
      <c r="W786" t="s">
        <v>13</v>
      </c>
      <c r="X786" t="s">
        <v>16</v>
      </c>
      <c r="Y786" t="s">
        <v>80</v>
      </c>
    </row>
    <row r="787" spans="1:25" x14ac:dyDescent="0.25">
      <c r="A787" s="4">
        <v>1332</v>
      </c>
      <c r="B787" s="9" t="s">
        <v>82</v>
      </c>
      <c r="C787" s="8" t="s">
        <v>49</v>
      </c>
      <c r="D787" s="6" t="s">
        <v>28</v>
      </c>
      <c r="E787" s="10">
        <v>6</v>
      </c>
      <c r="F787">
        <v>8.2102286501408095</v>
      </c>
      <c r="G787">
        <v>5.2227117228981204</v>
      </c>
      <c r="H787" t="s">
        <v>52</v>
      </c>
      <c r="I787" t="s">
        <v>24</v>
      </c>
      <c r="J787" t="s">
        <v>185</v>
      </c>
      <c r="L787">
        <v>310</v>
      </c>
      <c r="M787" t="s">
        <v>1798</v>
      </c>
      <c r="N787">
        <v>300</v>
      </c>
      <c r="O787" t="s">
        <v>78</v>
      </c>
      <c r="P787" s="1" t="s">
        <v>79</v>
      </c>
      <c r="Q787" s="25">
        <v>-35.007150000000003</v>
      </c>
      <c r="R787" s="25">
        <v>-68.646798000000004</v>
      </c>
      <c r="S787">
        <v>-47.892800000000001</v>
      </c>
      <c r="T787">
        <v>-62.642600000000002</v>
      </c>
      <c r="U787">
        <v>47.892800000000001</v>
      </c>
      <c r="V787" t="s">
        <v>1537</v>
      </c>
      <c r="W787" t="s">
        <v>13</v>
      </c>
      <c r="X787" t="s">
        <v>16</v>
      </c>
      <c r="Y787" t="s">
        <v>80</v>
      </c>
    </row>
    <row r="788" spans="1:25" x14ac:dyDescent="0.25">
      <c r="A788" s="4">
        <v>1333</v>
      </c>
      <c r="B788" s="9" t="s">
        <v>83</v>
      </c>
      <c r="C788" s="8" t="s">
        <v>49</v>
      </c>
      <c r="D788" s="6" t="s">
        <v>59</v>
      </c>
      <c r="E788" s="10">
        <v>5</v>
      </c>
      <c r="F788">
        <v>3.94450475926637</v>
      </c>
      <c r="G788">
        <v>2.0865935201450898</v>
      </c>
      <c r="H788" t="s">
        <v>52</v>
      </c>
      <c r="I788" t="s">
        <v>24</v>
      </c>
      <c r="J788" t="s">
        <v>185</v>
      </c>
      <c r="L788">
        <v>310</v>
      </c>
      <c r="M788" t="s">
        <v>1798</v>
      </c>
      <c r="N788">
        <v>300</v>
      </c>
      <c r="O788" t="s">
        <v>78</v>
      </c>
      <c r="P788" s="1" t="s">
        <v>79</v>
      </c>
      <c r="Q788" s="25">
        <v>-35.007150000000003</v>
      </c>
      <c r="R788" s="25">
        <v>-68.646798000000004</v>
      </c>
      <c r="S788">
        <v>-47.892800000000001</v>
      </c>
      <c r="T788">
        <v>-62.642600000000002</v>
      </c>
      <c r="U788">
        <v>47.892800000000001</v>
      </c>
      <c r="V788" t="s">
        <v>1537</v>
      </c>
      <c r="W788" t="s">
        <v>13</v>
      </c>
      <c r="X788" t="s">
        <v>16</v>
      </c>
      <c r="Y788" t="s">
        <v>80</v>
      </c>
    </row>
    <row r="789" spans="1:25" x14ac:dyDescent="0.25">
      <c r="A789" s="4">
        <v>1334</v>
      </c>
      <c r="B789" s="9" t="s">
        <v>84</v>
      </c>
      <c r="C789" s="8" t="s">
        <v>49</v>
      </c>
      <c r="D789" s="6" t="s">
        <v>59</v>
      </c>
      <c r="E789" s="10">
        <v>5</v>
      </c>
      <c r="F789">
        <v>5.7590849218906701</v>
      </c>
      <c r="G789">
        <v>2.2767008420595598</v>
      </c>
      <c r="H789" t="s">
        <v>52</v>
      </c>
      <c r="I789" t="s">
        <v>24</v>
      </c>
      <c r="J789" t="s">
        <v>185</v>
      </c>
      <c r="L789">
        <v>310</v>
      </c>
      <c r="M789" t="s">
        <v>1798</v>
      </c>
      <c r="N789">
        <v>300</v>
      </c>
      <c r="O789" t="s">
        <v>78</v>
      </c>
      <c r="P789" s="1" t="s">
        <v>79</v>
      </c>
      <c r="Q789" s="25">
        <v>-35.007150000000003</v>
      </c>
      <c r="R789" s="25">
        <v>-68.646798000000004</v>
      </c>
      <c r="S789">
        <v>-47.892800000000001</v>
      </c>
      <c r="T789">
        <v>-62.642600000000002</v>
      </c>
      <c r="U789">
        <v>47.892800000000001</v>
      </c>
      <c r="V789" t="s">
        <v>1537</v>
      </c>
      <c r="W789" t="s">
        <v>13</v>
      </c>
      <c r="X789" t="s">
        <v>16</v>
      </c>
      <c r="Y789" t="s">
        <v>80</v>
      </c>
    </row>
    <row r="790" spans="1:25" x14ac:dyDescent="0.25">
      <c r="A790" s="4">
        <v>1336</v>
      </c>
      <c r="B790" s="9" t="s">
        <v>85</v>
      </c>
      <c r="C790" s="8" t="s">
        <v>49</v>
      </c>
      <c r="D790" s="6" t="s">
        <v>59</v>
      </c>
      <c r="E790" s="10">
        <v>5</v>
      </c>
      <c r="F790">
        <v>3.2880929059466002</v>
      </c>
      <c r="G790">
        <v>1.5668547252812299</v>
      </c>
      <c r="H790" t="s">
        <v>52</v>
      </c>
      <c r="I790" t="s">
        <v>24</v>
      </c>
      <c r="J790" t="s">
        <v>185</v>
      </c>
      <c r="L790">
        <v>310</v>
      </c>
      <c r="M790" t="s">
        <v>1798</v>
      </c>
      <c r="N790">
        <v>300</v>
      </c>
      <c r="O790" t="s">
        <v>78</v>
      </c>
      <c r="P790" s="1" t="s">
        <v>79</v>
      </c>
      <c r="Q790" s="25">
        <v>-35.007150000000003</v>
      </c>
      <c r="R790" s="25">
        <v>-68.646798000000004</v>
      </c>
      <c r="S790">
        <v>-47.892800000000001</v>
      </c>
      <c r="T790">
        <v>-62.642600000000002</v>
      </c>
      <c r="U790">
        <v>47.892800000000001</v>
      </c>
      <c r="V790" t="s">
        <v>1537</v>
      </c>
      <c r="W790" t="s">
        <v>13</v>
      </c>
      <c r="X790" t="s">
        <v>16</v>
      </c>
      <c r="Y790" t="s">
        <v>80</v>
      </c>
    </row>
    <row r="791" spans="1:25" x14ac:dyDescent="0.25">
      <c r="A791" s="4">
        <v>1337</v>
      </c>
      <c r="B791" s="9" t="s">
        <v>86</v>
      </c>
      <c r="C791" s="8" t="s">
        <v>49</v>
      </c>
      <c r="D791" s="6" t="s">
        <v>67</v>
      </c>
      <c r="E791" s="10">
        <v>6</v>
      </c>
      <c r="F791">
        <v>11.5067619568113</v>
      </c>
      <c r="G791">
        <v>3.3608870295833202</v>
      </c>
      <c r="H791" t="s">
        <v>52</v>
      </c>
      <c r="I791" t="s">
        <v>24</v>
      </c>
      <c r="J791" t="s">
        <v>185</v>
      </c>
      <c r="L791">
        <v>310</v>
      </c>
      <c r="M791" t="s">
        <v>1798</v>
      </c>
      <c r="N791">
        <v>300</v>
      </c>
      <c r="O791" t="s">
        <v>78</v>
      </c>
      <c r="P791" s="1" t="s">
        <v>79</v>
      </c>
      <c r="Q791" s="25">
        <v>-35.007150000000003</v>
      </c>
      <c r="R791" s="25">
        <v>-68.646798000000004</v>
      </c>
      <c r="S791">
        <v>-47.892800000000001</v>
      </c>
      <c r="T791">
        <v>-62.642600000000002</v>
      </c>
      <c r="U791">
        <v>47.892800000000001</v>
      </c>
      <c r="V791" t="s">
        <v>1537</v>
      </c>
      <c r="W791" t="s">
        <v>13</v>
      </c>
      <c r="X791" t="s">
        <v>16</v>
      </c>
      <c r="Y791" t="s">
        <v>80</v>
      </c>
    </row>
    <row r="792" spans="1:25" x14ac:dyDescent="0.25">
      <c r="A792" s="4">
        <v>1338</v>
      </c>
      <c r="B792" s="9" t="s">
        <v>87</v>
      </c>
      <c r="C792" s="8" t="s">
        <v>49</v>
      </c>
      <c r="D792" s="6" t="s">
        <v>28</v>
      </c>
      <c r="E792" s="10">
        <v>6</v>
      </c>
      <c r="F792">
        <v>5.1924501404961303</v>
      </c>
      <c r="G792">
        <v>2.33394032521386</v>
      </c>
      <c r="H792" t="s">
        <v>52</v>
      </c>
      <c r="I792" t="s">
        <v>24</v>
      </c>
      <c r="J792" t="s">
        <v>185</v>
      </c>
      <c r="L792">
        <v>310</v>
      </c>
      <c r="M792" t="s">
        <v>1798</v>
      </c>
      <c r="N792">
        <v>300</v>
      </c>
      <c r="O792" t="s">
        <v>78</v>
      </c>
      <c r="P792" s="1" t="s">
        <v>79</v>
      </c>
      <c r="Q792" s="25">
        <v>-35.007150000000003</v>
      </c>
      <c r="R792" s="25">
        <v>-68.646798000000004</v>
      </c>
      <c r="S792">
        <v>-47.892800000000001</v>
      </c>
      <c r="T792">
        <v>-62.642600000000002</v>
      </c>
      <c r="U792">
        <v>47.892800000000001</v>
      </c>
      <c r="V792" t="s">
        <v>1537</v>
      </c>
      <c r="W792" t="s">
        <v>13</v>
      </c>
      <c r="X792" t="s">
        <v>16</v>
      </c>
      <c r="Y792" t="s">
        <v>80</v>
      </c>
    </row>
    <row r="793" spans="1:25" x14ac:dyDescent="0.25">
      <c r="A793" s="4">
        <v>1339</v>
      </c>
      <c r="B793" s="9" t="s">
        <v>547</v>
      </c>
      <c r="C793" s="8" t="s">
        <v>304</v>
      </c>
      <c r="D793" s="6" t="s">
        <v>295</v>
      </c>
      <c r="E793" s="10">
        <v>7</v>
      </c>
      <c r="F793">
        <v>14.662117076985099</v>
      </c>
      <c r="G793">
        <v>2.63301537811485</v>
      </c>
      <c r="H793" t="s">
        <v>92</v>
      </c>
      <c r="I793" t="s">
        <v>266</v>
      </c>
      <c r="J793" t="s">
        <v>267</v>
      </c>
      <c r="K793" t="s">
        <v>1452</v>
      </c>
      <c r="L793">
        <v>294</v>
      </c>
      <c r="M793" t="s">
        <v>1798</v>
      </c>
      <c r="N793">
        <v>300</v>
      </c>
      <c r="O793" t="s">
        <v>1530</v>
      </c>
      <c r="P793" s="1" t="s">
        <v>528</v>
      </c>
      <c r="Q793" s="25">
        <v>32.476754999999997</v>
      </c>
      <c r="R793" s="25">
        <v>-106.797602</v>
      </c>
      <c r="S793">
        <v>-1.7399</v>
      </c>
      <c r="T793">
        <v>-38.448999999999998</v>
      </c>
      <c r="U793">
        <v>1.7399</v>
      </c>
      <c r="V793" t="s">
        <v>1538</v>
      </c>
      <c r="W793" t="s">
        <v>13</v>
      </c>
      <c r="X793" t="s">
        <v>17</v>
      </c>
      <c r="Y793" s="1" t="s">
        <v>548</v>
      </c>
    </row>
    <row r="794" spans="1:25" x14ac:dyDescent="0.25">
      <c r="A794" s="4">
        <v>1340</v>
      </c>
      <c r="B794" s="9" t="s">
        <v>547</v>
      </c>
      <c r="C794" s="8" t="s">
        <v>304</v>
      </c>
      <c r="D794" s="6" t="s">
        <v>295</v>
      </c>
      <c r="E794" s="10">
        <v>7</v>
      </c>
      <c r="F794">
        <v>12.8506016543635</v>
      </c>
      <c r="G794">
        <v>2.62243074281383</v>
      </c>
      <c r="H794" t="s">
        <v>92</v>
      </c>
      <c r="I794" t="s">
        <v>266</v>
      </c>
      <c r="J794" t="s">
        <v>267</v>
      </c>
      <c r="K794" t="s">
        <v>1452</v>
      </c>
      <c r="L794">
        <v>294</v>
      </c>
      <c r="M794" t="s">
        <v>1798</v>
      </c>
      <c r="N794">
        <v>300</v>
      </c>
      <c r="O794" t="s">
        <v>1530</v>
      </c>
      <c r="P794" s="1" t="s">
        <v>528</v>
      </c>
      <c r="Q794" s="25">
        <v>32.476754999999997</v>
      </c>
      <c r="R794" s="25">
        <v>-106.797602</v>
      </c>
      <c r="S794">
        <v>-1.7399</v>
      </c>
      <c r="T794">
        <v>-38.448999999999998</v>
      </c>
      <c r="U794">
        <v>1.7399</v>
      </c>
      <c r="V794" t="s">
        <v>1538</v>
      </c>
      <c r="W794" t="s">
        <v>13</v>
      </c>
      <c r="X794" t="s">
        <v>17</v>
      </c>
      <c r="Y794" s="1" t="s">
        <v>548</v>
      </c>
    </row>
    <row r="795" spans="1:25" x14ac:dyDescent="0.25">
      <c r="A795" s="4">
        <v>1341</v>
      </c>
      <c r="B795" s="9" t="s">
        <v>541</v>
      </c>
      <c r="C795" s="8" t="s">
        <v>304</v>
      </c>
      <c r="D795" s="6" t="s">
        <v>295</v>
      </c>
      <c r="E795" s="10">
        <v>7</v>
      </c>
      <c r="F795">
        <v>10.021584197500401</v>
      </c>
      <c r="G795">
        <v>3.4897416652333302</v>
      </c>
      <c r="H795" t="s">
        <v>92</v>
      </c>
      <c r="I795" t="s">
        <v>266</v>
      </c>
      <c r="J795" t="s">
        <v>267</v>
      </c>
      <c r="K795" t="s">
        <v>1452</v>
      </c>
      <c r="L795">
        <v>294</v>
      </c>
      <c r="M795" t="s">
        <v>1798</v>
      </c>
      <c r="N795">
        <v>300</v>
      </c>
      <c r="O795" t="s">
        <v>1530</v>
      </c>
      <c r="P795" s="1" t="s">
        <v>528</v>
      </c>
      <c r="Q795" s="25">
        <v>32.476754999999997</v>
      </c>
      <c r="R795" s="25">
        <v>-106.797602</v>
      </c>
      <c r="S795">
        <v>-1.7399</v>
      </c>
      <c r="T795">
        <v>-38.448999999999998</v>
      </c>
      <c r="U795">
        <v>1.7399</v>
      </c>
      <c r="V795" t="s">
        <v>1538</v>
      </c>
      <c r="W795" t="s">
        <v>13</v>
      </c>
      <c r="X795" t="s">
        <v>17</v>
      </c>
      <c r="Y795" s="1" t="s">
        <v>548</v>
      </c>
    </row>
    <row r="796" spans="1:25" x14ac:dyDescent="0.25">
      <c r="A796" s="4">
        <v>1342</v>
      </c>
      <c r="B796" s="9" t="s">
        <v>550</v>
      </c>
      <c r="C796" s="8" t="s">
        <v>304</v>
      </c>
      <c r="D796" s="6" t="s">
        <v>295</v>
      </c>
      <c r="E796" s="10">
        <v>7</v>
      </c>
      <c r="F796">
        <v>10.665410653567999</v>
      </c>
      <c r="G796">
        <v>4.3298345976372099</v>
      </c>
      <c r="H796" t="s">
        <v>92</v>
      </c>
      <c r="I796" t="s">
        <v>266</v>
      </c>
      <c r="J796" t="s">
        <v>267</v>
      </c>
      <c r="K796" t="s">
        <v>1452</v>
      </c>
      <c r="L796">
        <v>294</v>
      </c>
      <c r="M796" t="s">
        <v>1798</v>
      </c>
      <c r="N796">
        <v>300</v>
      </c>
      <c r="O796" t="s">
        <v>1530</v>
      </c>
      <c r="P796" s="1" t="s">
        <v>528</v>
      </c>
      <c r="Q796" s="25">
        <v>32.476754999999997</v>
      </c>
      <c r="R796" s="25">
        <v>-106.797602</v>
      </c>
      <c r="S796">
        <v>-1.7399</v>
      </c>
      <c r="T796">
        <v>-38.448999999999998</v>
      </c>
      <c r="U796">
        <v>1.7399</v>
      </c>
      <c r="V796" t="s">
        <v>1538</v>
      </c>
      <c r="W796" t="s">
        <v>13</v>
      </c>
      <c r="X796" t="s">
        <v>17</v>
      </c>
      <c r="Y796" s="1" t="s">
        <v>548</v>
      </c>
    </row>
    <row r="797" spans="1:25" x14ac:dyDescent="0.25">
      <c r="A797" s="4">
        <v>1344</v>
      </c>
      <c r="B797" s="9" t="s">
        <v>551</v>
      </c>
      <c r="C797" s="8" t="s">
        <v>304</v>
      </c>
      <c r="D797" s="6" t="s">
        <v>137</v>
      </c>
      <c r="E797" s="10">
        <v>6</v>
      </c>
      <c r="F797">
        <v>20.616370248475398</v>
      </c>
      <c r="G797">
        <v>7.9276239960168597</v>
      </c>
      <c r="H797" t="s">
        <v>92</v>
      </c>
      <c r="I797" t="s">
        <v>266</v>
      </c>
      <c r="J797" t="s">
        <v>267</v>
      </c>
      <c r="K797" t="s">
        <v>1452</v>
      </c>
      <c r="L797">
        <v>294</v>
      </c>
      <c r="M797" t="s">
        <v>1798</v>
      </c>
      <c r="N797">
        <v>300</v>
      </c>
      <c r="O797" t="s">
        <v>1530</v>
      </c>
      <c r="P797" s="1" t="s">
        <v>528</v>
      </c>
      <c r="Q797" s="25">
        <v>32.476754999999997</v>
      </c>
      <c r="R797" s="25">
        <v>-106.797602</v>
      </c>
      <c r="S797">
        <v>-1.7399</v>
      </c>
      <c r="T797">
        <v>-38.448999999999998</v>
      </c>
      <c r="U797">
        <v>1.7399</v>
      </c>
      <c r="V797" t="s">
        <v>1538</v>
      </c>
      <c r="W797" t="s">
        <v>13</v>
      </c>
      <c r="X797" t="s">
        <v>17</v>
      </c>
      <c r="Y797" s="1" t="s">
        <v>548</v>
      </c>
    </row>
    <row r="798" spans="1:25" x14ac:dyDescent="0.25">
      <c r="A798" s="4">
        <v>1345</v>
      </c>
      <c r="B798" s="9" t="s">
        <v>552</v>
      </c>
      <c r="C798" s="8" t="s">
        <v>304</v>
      </c>
      <c r="D798" s="6" t="s">
        <v>137</v>
      </c>
      <c r="E798" s="10">
        <v>6</v>
      </c>
      <c r="F798">
        <v>11.142537811349101</v>
      </c>
      <c r="G798">
        <v>4.0552464007220603</v>
      </c>
      <c r="H798" t="s">
        <v>92</v>
      </c>
      <c r="I798" t="s">
        <v>266</v>
      </c>
      <c r="J798" t="s">
        <v>267</v>
      </c>
      <c r="K798" t="s">
        <v>1452</v>
      </c>
      <c r="L798">
        <v>294</v>
      </c>
      <c r="M798" t="s">
        <v>1798</v>
      </c>
      <c r="N798">
        <v>300</v>
      </c>
      <c r="O798" t="s">
        <v>1530</v>
      </c>
      <c r="P798" s="1" t="s">
        <v>528</v>
      </c>
      <c r="Q798" s="25">
        <v>32.476754999999997</v>
      </c>
      <c r="R798" s="25">
        <v>-106.797602</v>
      </c>
      <c r="S798">
        <v>-1.7399</v>
      </c>
      <c r="T798">
        <v>-38.448999999999998</v>
      </c>
      <c r="U798">
        <v>1.7399</v>
      </c>
      <c r="V798" t="s">
        <v>1538</v>
      </c>
      <c r="W798" t="s">
        <v>13</v>
      </c>
      <c r="X798" t="s">
        <v>17</v>
      </c>
      <c r="Y798" s="1" t="s">
        <v>548</v>
      </c>
    </row>
    <row r="799" spans="1:25" x14ac:dyDescent="0.25">
      <c r="A799" s="4">
        <v>1346</v>
      </c>
      <c r="B799" s="9" t="s">
        <v>556</v>
      </c>
      <c r="C799" s="8" t="s">
        <v>304</v>
      </c>
      <c r="D799" s="6" t="s">
        <v>558</v>
      </c>
      <c r="E799" s="10">
        <v>8</v>
      </c>
      <c r="F799">
        <v>17.201121169086299</v>
      </c>
      <c r="G799">
        <v>11.372240068465</v>
      </c>
      <c r="H799" t="s">
        <v>92</v>
      </c>
      <c r="I799" t="s">
        <v>266</v>
      </c>
      <c r="J799" t="s">
        <v>267</v>
      </c>
      <c r="K799" t="s">
        <v>1452</v>
      </c>
      <c r="L799">
        <v>294</v>
      </c>
      <c r="M799" t="s">
        <v>1798</v>
      </c>
      <c r="N799">
        <v>300</v>
      </c>
      <c r="O799" t="s">
        <v>1530</v>
      </c>
      <c r="P799" s="1" t="s">
        <v>528</v>
      </c>
      <c r="Q799" s="25">
        <v>32.476754999999997</v>
      </c>
      <c r="R799" s="25">
        <v>-106.797602</v>
      </c>
      <c r="S799">
        <v>-1.7399</v>
      </c>
      <c r="T799">
        <v>-38.448999999999998</v>
      </c>
      <c r="U799">
        <v>1.7399</v>
      </c>
      <c r="V799" t="s">
        <v>1538</v>
      </c>
      <c r="W799" t="s">
        <v>13</v>
      </c>
      <c r="X799" t="s">
        <v>17</v>
      </c>
      <c r="Y799" s="1" t="s">
        <v>555</v>
      </c>
    </row>
    <row r="800" spans="1:25" x14ac:dyDescent="0.25">
      <c r="A800" s="4">
        <v>1347</v>
      </c>
      <c r="B800" s="9" t="s">
        <v>557</v>
      </c>
      <c r="C800" s="8" t="s">
        <v>304</v>
      </c>
      <c r="D800" s="6" t="s">
        <v>558</v>
      </c>
      <c r="E800" s="10">
        <v>8</v>
      </c>
      <c r="F800">
        <v>14.5360797090419</v>
      </c>
      <c r="G800">
        <v>2.5542569455472899</v>
      </c>
      <c r="H800" t="s">
        <v>92</v>
      </c>
      <c r="I800" t="s">
        <v>266</v>
      </c>
      <c r="J800" t="s">
        <v>267</v>
      </c>
      <c r="K800" t="s">
        <v>1452</v>
      </c>
      <c r="L800">
        <v>294</v>
      </c>
      <c r="M800" t="s">
        <v>1798</v>
      </c>
      <c r="N800">
        <v>300</v>
      </c>
      <c r="O800" t="s">
        <v>1530</v>
      </c>
      <c r="P800" s="1" t="s">
        <v>528</v>
      </c>
      <c r="Q800" s="25">
        <v>32.476754999999997</v>
      </c>
      <c r="R800" s="25">
        <v>-106.797602</v>
      </c>
      <c r="S800">
        <v>-1.7399</v>
      </c>
      <c r="T800">
        <v>-38.448999999999998</v>
      </c>
      <c r="U800">
        <v>1.7399</v>
      </c>
      <c r="V800" t="s">
        <v>1538</v>
      </c>
      <c r="W800" t="s">
        <v>13</v>
      </c>
      <c r="X800" t="s">
        <v>17</v>
      </c>
      <c r="Y800" s="1" t="s">
        <v>555</v>
      </c>
    </row>
    <row r="801" spans="1:25" x14ac:dyDescent="0.25">
      <c r="A801" s="4">
        <v>1348</v>
      </c>
      <c r="B801" s="9" t="s">
        <v>559</v>
      </c>
      <c r="C801" s="8" t="s">
        <v>304</v>
      </c>
      <c r="D801" s="6" t="s">
        <v>558</v>
      </c>
      <c r="E801" s="10">
        <v>8</v>
      </c>
      <c r="F801">
        <v>19.9480493024246</v>
      </c>
      <c r="G801">
        <v>9.9107539685252206</v>
      </c>
      <c r="H801" t="s">
        <v>92</v>
      </c>
      <c r="I801" t="s">
        <v>266</v>
      </c>
      <c r="J801" t="s">
        <v>267</v>
      </c>
      <c r="K801" t="s">
        <v>1452</v>
      </c>
      <c r="L801">
        <v>294</v>
      </c>
      <c r="M801" t="s">
        <v>1798</v>
      </c>
      <c r="N801">
        <v>300</v>
      </c>
      <c r="O801" t="s">
        <v>1530</v>
      </c>
      <c r="P801" s="1" t="s">
        <v>528</v>
      </c>
      <c r="Q801" s="25">
        <v>32.476754999999997</v>
      </c>
      <c r="R801" s="25">
        <v>-106.797602</v>
      </c>
      <c r="S801">
        <v>-1.7399</v>
      </c>
      <c r="T801">
        <v>-38.448999999999998</v>
      </c>
      <c r="U801">
        <v>1.7399</v>
      </c>
      <c r="V801" t="s">
        <v>1538</v>
      </c>
      <c r="W801" t="s">
        <v>13</v>
      </c>
      <c r="X801" t="s">
        <v>17</v>
      </c>
      <c r="Y801" s="1" t="s">
        <v>555</v>
      </c>
    </row>
    <row r="802" spans="1:25" x14ac:dyDescent="0.25">
      <c r="A802" s="4">
        <v>1349</v>
      </c>
      <c r="B802" s="9" t="s">
        <v>560</v>
      </c>
      <c r="C802" s="8" t="s">
        <v>304</v>
      </c>
      <c r="D802" s="6" t="s">
        <v>130</v>
      </c>
      <c r="E802" s="10">
        <v>6</v>
      </c>
      <c r="F802">
        <v>15.055904533024499</v>
      </c>
      <c r="G802">
        <v>4.7124133107823196</v>
      </c>
      <c r="H802" t="s">
        <v>92</v>
      </c>
      <c r="I802" t="s">
        <v>266</v>
      </c>
      <c r="J802" t="s">
        <v>267</v>
      </c>
      <c r="K802" t="s">
        <v>1452</v>
      </c>
      <c r="L802">
        <v>294</v>
      </c>
      <c r="M802" t="s">
        <v>1798</v>
      </c>
      <c r="N802">
        <v>300</v>
      </c>
      <c r="O802" t="s">
        <v>1530</v>
      </c>
      <c r="P802" s="1" t="s">
        <v>528</v>
      </c>
      <c r="Q802" s="25">
        <v>32.476754999999997</v>
      </c>
      <c r="R802" s="25">
        <v>-106.797602</v>
      </c>
      <c r="S802">
        <v>-1.7399</v>
      </c>
      <c r="T802">
        <v>-38.448999999999998</v>
      </c>
      <c r="U802">
        <v>1.7399</v>
      </c>
      <c r="V802" t="s">
        <v>1538</v>
      </c>
      <c r="W802" t="s">
        <v>13</v>
      </c>
      <c r="X802" t="s">
        <v>17</v>
      </c>
      <c r="Y802" s="1" t="s">
        <v>555</v>
      </c>
    </row>
    <row r="803" spans="1:25" x14ac:dyDescent="0.25">
      <c r="A803" s="4">
        <v>1350</v>
      </c>
      <c r="B803" s="9" t="s">
        <v>560</v>
      </c>
      <c r="C803" s="8" t="s">
        <v>304</v>
      </c>
      <c r="D803" s="6" t="s">
        <v>130</v>
      </c>
      <c r="E803" s="10">
        <v>6</v>
      </c>
      <c r="F803">
        <v>22.100567544826902</v>
      </c>
      <c r="G803">
        <v>3.1626780008917899</v>
      </c>
      <c r="H803" t="s">
        <v>92</v>
      </c>
      <c r="I803" t="s">
        <v>266</v>
      </c>
      <c r="J803" t="s">
        <v>267</v>
      </c>
      <c r="K803" t="s">
        <v>1452</v>
      </c>
      <c r="L803">
        <v>294</v>
      </c>
      <c r="M803" t="s">
        <v>1798</v>
      </c>
      <c r="N803">
        <v>300</v>
      </c>
      <c r="O803" t="s">
        <v>1530</v>
      </c>
      <c r="P803" s="1" t="s">
        <v>528</v>
      </c>
      <c r="Q803" s="25">
        <v>32.476754999999997</v>
      </c>
      <c r="R803" s="25">
        <v>-106.797602</v>
      </c>
      <c r="S803">
        <v>-1.7399</v>
      </c>
      <c r="T803">
        <v>-38.448999999999998</v>
      </c>
      <c r="U803">
        <v>1.7399</v>
      </c>
      <c r="V803" t="s">
        <v>1538</v>
      </c>
      <c r="W803" t="s">
        <v>13</v>
      </c>
      <c r="X803" t="s">
        <v>17</v>
      </c>
      <c r="Y803" s="1" t="s">
        <v>555</v>
      </c>
    </row>
    <row r="804" spans="1:25" x14ac:dyDescent="0.25">
      <c r="A804" s="4">
        <v>1351</v>
      </c>
      <c r="B804" s="9" t="s">
        <v>560</v>
      </c>
      <c r="C804" s="8" t="s">
        <v>304</v>
      </c>
      <c r="D804" s="6" t="s">
        <v>558</v>
      </c>
      <c r="E804" s="10">
        <v>8</v>
      </c>
      <c r="F804">
        <v>18.795873647344902</v>
      </c>
      <c r="G804">
        <v>6.88639603463995</v>
      </c>
      <c r="H804" t="s">
        <v>92</v>
      </c>
      <c r="I804" t="s">
        <v>266</v>
      </c>
      <c r="J804" t="s">
        <v>267</v>
      </c>
      <c r="K804" t="s">
        <v>1452</v>
      </c>
      <c r="L804">
        <v>294</v>
      </c>
      <c r="M804" t="s">
        <v>1798</v>
      </c>
      <c r="N804">
        <v>300</v>
      </c>
      <c r="O804" t="s">
        <v>1530</v>
      </c>
      <c r="P804" s="1" t="s">
        <v>528</v>
      </c>
      <c r="Q804" s="25">
        <v>32.476754999999997</v>
      </c>
      <c r="R804" s="25">
        <v>-106.797602</v>
      </c>
      <c r="S804">
        <v>-1.7399</v>
      </c>
      <c r="T804">
        <v>-38.448999999999998</v>
      </c>
      <c r="U804">
        <v>1.7399</v>
      </c>
      <c r="V804" t="s">
        <v>1538</v>
      </c>
      <c r="W804" t="s">
        <v>13</v>
      </c>
      <c r="X804" t="s">
        <v>17</v>
      </c>
      <c r="Y804" s="1" t="s">
        <v>555</v>
      </c>
    </row>
    <row r="805" spans="1:25" x14ac:dyDescent="0.25">
      <c r="A805" s="4">
        <v>1352</v>
      </c>
      <c r="B805" s="9" t="s">
        <v>561</v>
      </c>
      <c r="C805" s="8" t="s">
        <v>304</v>
      </c>
      <c r="D805" s="6" t="s">
        <v>558</v>
      </c>
      <c r="E805" s="10">
        <v>8</v>
      </c>
      <c r="F805">
        <v>15.996585846479899</v>
      </c>
      <c r="G805">
        <v>2.3424666024187002</v>
      </c>
      <c r="H805" t="s">
        <v>92</v>
      </c>
      <c r="I805" t="s">
        <v>266</v>
      </c>
      <c r="J805" t="s">
        <v>267</v>
      </c>
      <c r="K805" t="s">
        <v>1452</v>
      </c>
      <c r="L805">
        <v>294</v>
      </c>
      <c r="M805" t="s">
        <v>1798</v>
      </c>
      <c r="N805">
        <v>300</v>
      </c>
      <c r="O805" t="s">
        <v>1530</v>
      </c>
      <c r="P805" s="1" t="s">
        <v>528</v>
      </c>
      <c r="Q805" s="25">
        <v>32.476754999999997</v>
      </c>
      <c r="R805" s="25">
        <v>-106.797602</v>
      </c>
      <c r="S805">
        <v>-1.7399</v>
      </c>
      <c r="T805">
        <v>-38.448999999999998</v>
      </c>
      <c r="U805">
        <v>1.7399</v>
      </c>
      <c r="V805" t="s">
        <v>1538</v>
      </c>
      <c r="W805" t="s">
        <v>13</v>
      </c>
      <c r="X805" t="s">
        <v>17</v>
      </c>
      <c r="Y805" s="1" t="s">
        <v>555</v>
      </c>
    </row>
    <row r="806" spans="1:25" x14ac:dyDescent="0.25">
      <c r="A806" s="4">
        <v>1353</v>
      </c>
      <c r="B806" s="9" t="s">
        <v>562</v>
      </c>
      <c r="C806" s="8" t="s">
        <v>304</v>
      </c>
      <c r="D806" s="6" t="s">
        <v>558</v>
      </c>
      <c r="E806" s="10">
        <v>8</v>
      </c>
      <c r="F806">
        <v>12.600533841425101</v>
      </c>
      <c r="G806">
        <v>6.17113227563304</v>
      </c>
      <c r="H806" t="s">
        <v>92</v>
      </c>
      <c r="I806" t="s">
        <v>266</v>
      </c>
      <c r="J806" t="s">
        <v>267</v>
      </c>
      <c r="K806" t="s">
        <v>1452</v>
      </c>
      <c r="L806">
        <v>294</v>
      </c>
      <c r="M806" t="s">
        <v>1798</v>
      </c>
      <c r="N806">
        <v>300</v>
      </c>
      <c r="O806" t="s">
        <v>1530</v>
      </c>
      <c r="P806" s="1" t="s">
        <v>528</v>
      </c>
      <c r="Q806" s="25">
        <v>32.476754999999997</v>
      </c>
      <c r="R806" s="25">
        <v>-106.797602</v>
      </c>
      <c r="S806">
        <v>-1.7399</v>
      </c>
      <c r="T806">
        <v>-38.448999999999998</v>
      </c>
      <c r="U806">
        <v>1.7399</v>
      </c>
      <c r="V806" t="s">
        <v>1538</v>
      </c>
      <c r="W806" t="s">
        <v>13</v>
      </c>
      <c r="X806" t="s">
        <v>17</v>
      </c>
      <c r="Y806" s="1" t="s">
        <v>555</v>
      </c>
    </row>
    <row r="807" spans="1:25" x14ac:dyDescent="0.25">
      <c r="A807" s="4">
        <v>1354</v>
      </c>
      <c r="B807" s="9" t="s">
        <v>563</v>
      </c>
      <c r="C807" s="8" t="s">
        <v>304</v>
      </c>
      <c r="D807" s="6" t="s">
        <v>558</v>
      </c>
      <c r="E807" s="10">
        <v>8</v>
      </c>
      <c r="F807">
        <v>10.234924909323</v>
      </c>
      <c r="G807">
        <v>2.4421507470616701</v>
      </c>
      <c r="H807" t="s">
        <v>92</v>
      </c>
      <c r="I807" t="s">
        <v>266</v>
      </c>
      <c r="J807" t="s">
        <v>267</v>
      </c>
      <c r="K807" t="s">
        <v>1452</v>
      </c>
      <c r="L807">
        <v>294</v>
      </c>
      <c r="M807" t="s">
        <v>1798</v>
      </c>
      <c r="N807">
        <v>300</v>
      </c>
      <c r="O807" t="s">
        <v>1530</v>
      </c>
      <c r="P807" s="1" t="s">
        <v>528</v>
      </c>
      <c r="Q807" s="25">
        <v>32.476754999999997</v>
      </c>
      <c r="R807" s="25">
        <v>-106.797602</v>
      </c>
      <c r="S807">
        <v>-1.7399</v>
      </c>
      <c r="T807">
        <v>-38.448999999999998</v>
      </c>
      <c r="U807">
        <v>1.7399</v>
      </c>
      <c r="V807" t="s">
        <v>1538</v>
      </c>
      <c r="W807" t="s">
        <v>13</v>
      </c>
      <c r="X807" t="s">
        <v>17</v>
      </c>
      <c r="Y807" s="1" t="s">
        <v>555</v>
      </c>
    </row>
    <row r="808" spans="1:25" x14ac:dyDescent="0.25">
      <c r="A808" s="4">
        <v>1355</v>
      </c>
      <c r="B808" s="9" t="s">
        <v>564</v>
      </c>
      <c r="C808" s="8" t="s">
        <v>304</v>
      </c>
      <c r="D808" s="6" t="s">
        <v>558</v>
      </c>
      <c r="E808" s="10">
        <v>8</v>
      </c>
      <c r="F808">
        <v>21.432016210388898</v>
      </c>
      <c r="G808">
        <v>9.9916759074027794</v>
      </c>
      <c r="H808" t="s">
        <v>92</v>
      </c>
      <c r="I808" t="s">
        <v>266</v>
      </c>
      <c r="J808" t="s">
        <v>267</v>
      </c>
      <c r="K808" t="s">
        <v>1452</v>
      </c>
      <c r="L808">
        <v>294</v>
      </c>
      <c r="M808" t="s">
        <v>1798</v>
      </c>
      <c r="N808">
        <v>300</v>
      </c>
      <c r="O808" t="s">
        <v>1530</v>
      </c>
      <c r="P808" s="1" t="s">
        <v>528</v>
      </c>
      <c r="Q808" s="25">
        <v>32.476754999999997</v>
      </c>
      <c r="R808" s="25">
        <v>-106.797602</v>
      </c>
      <c r="S808">
        <v>-1.7399</v>
      </c>
      <c r="T808">
        <v>-38.448999999999998</v>
      </c>
      <c r="U808">
        <v>1.7399</v>
      </c>
      <c r="V808" t="s">
        <v>1538</v>
      </c>
      <c r="W808" t="s">
        <v>13</v>
      </c>
      <c r="X808" t="s">
        <v>17</v>
      </c>
      <c r="Y808" s="1" t="s">
        <v>555</v>
      </c>
    </row>
    <row r="809" spans="1:25" x14ac:dyDescent="0.25">
      <c r="A809" s="4">
        <v>1356</v>
      </c>
      <c r="B809" s="9" t="s">
        <v>565</v>
      </c>
      <c r="C809" s="8" t="s">
        <v>304</v>
      </c>
      <c r="D809" s="6" t="s">
        <v>558</v>
      </c>
      <c r="E809" s="10">
        <v>8</v>
      </c>
      <c r="F809">
        <v>57.059066281086203</v>
      </c>
      <c r="G809">
        <v>28.388861342540601</v>
      </c>
      <c r="H809" t="s">
        <v>92</v>
      </c>
      <c r="I809" t="s">
        <v>266</v>
      </c>
      <c r="J809" t="s">
        <v>267</v>
      </c>
      <c r="K809" t="s">
        <v>1452</v>
      </c>
      <c r="L809">
        <v>294</v>
      </c>
      <c r="M809" t="s">
        <v>1798</v>
      </c>
      <c r="N809">
        <v>300</v>
      </c>
      <c r="O809" t="s">
        <v>1530</v>
      </c>
      <c r="P809" s="1" t="s">
        <v>528</v>
      </c>
      <c r="Q809" s="25">
        <v>32.476754999999997</v>
      </c>
      <c r="R809" s="25">
        <v>-106.797602</v>
      </c>
      <c r="S809">
        <v>-1.7399</v>
      </c>
      <c r="T809">
        <v>-38.448999999999998</v>
      </c>
      <c r="U809">
        <v>1.7399</v>
      </c>
      <c r="V809" t="s">
        <v>1538</v>
      </c>
      <c r="W809" t="s">
        <v>13</v>
      </c>
      <c r="X809" t="s">
        <v>17</v>
      </c>
      <c r="Y809" s="1" t="s">
        <v>555</v>
      </c>
    </row>
    <row r="810" spans="1:25" x14ac:dyDescent="0.25">
      <c r="A810" s="4">
        <v>1357</v>
      </c>
      <c r="B810" s="9" t="s">
        <v>566</v>
      </c>
      <c r="C810" s="8" t="s">
        <v>304</v>
      </c>
      <c r="D810" s="6" t="s">
        <v>130</v>
      </c>
      <c r="E810" s="10">
        <v>6</v>
      </c>
      <c r="F810">
        <v>27.1850013906231</v>
      </c>
      <c r="G810">
        <v>7.2696644075194001</v>
      </c>
      <c r="H810" t="s">
        <v>92</v>
      </c>
      <c r="I810" t="s">
        <v>266</v>
      </c>
      <c r="J810" t="s">
        <v>267</v>
      </c>
      <c r="K810" t="s">
        <v>1452</v>
      </c>
      <c r="L810">
        <v>294</v>
      </c>
      <c r="M810" t="s">
        <v>1798</v>
      </c>
      <c r="N810">
        <v>300</v>
      </c>
      <c r="O810" t="s">
        <v>1530</v>
      </c>
      <c r="P810" s="1" t="s">
        <v>528</v>
      </c>
      <c r="Q810" s="25">
        <v>32.476754999999997</v>
      </c>
      <c r="R810" s="25">
        <v>-106.797602</v>
      </c>
      <c r="S810">
        <v>-1.7399</v>
      </c>
      <c r="T810">
        <v>-38.448999999999998</v>
      </c>
      <c r="U810">
        <v>1.7399</v>
      </c>
      <c r="V810" t="s">
        <v>1538</v>
      </c>
      <c r="W810" t="s">
        <v>13</v>
      </c>
      <c r="X810" t="s">
        <v>17</v>
      </c>
      <c r="Y810" s="1" t="s">
        <v>555</v>
      </c>
    </row>
    <row r="811" spans="1:25" x14ac:dyDescent="0.25">
      <c r="A811" s="4">
        <v>1358</v>
      </c>
      <c r="B811" s="9" t="s">
        <v>566</v>
      </c>
      <c r="C811" s="8" t="s">
        <v>304</v>
      </c>
      <c r="D811" s="6" t="s">
        <v>130</v>
      </c>
      <c r="E811" s="10">
        <v>6</v>
      </c>
      <c r="F811">
        <v>32.917980712775901</v>
      </c>
      <c r="G811">
        <v>5.8622617200505003</v>
      </c>
      <c r="H811" t="s">
        <v>92</v>
      </c>
      <c r="I811" t="s">
        <v>266</v>
      </c>
      <c r="J811" t="s">
        <v>267</v>
      </c>
      <c r="K811" t="s">
        <v>1452</v>
      </c>
      <c r="L811">
        <v>294</v>
      </c>
      <c r="M811" t="s">
        <v>1798</v>
      </c>
      <c r="N811">
        <v>300</v>
      </c>
      <c r="O811" t="s">
        <v>1530</v>
      </c>
      <c r="P811" s="1" t="s">
        <v>528</v>
      </c>
      <c r="Q811" s="25">
        <v>32.476754999999997</v>
      </c>
      <c r="R811" s="25">
        <v>-106.797602</v>
      </c>
      <c r="S811">
        <v>-1.7399</v>
      </c>
      <c r="T811">
        <v>-38.448999999999998</v>
      </c>
      <c r="U811">
        <v>1.7399</v>
      </c>
      <c r="V811" t="s">
        <v>1538</v>
      </c>
      <c r="W811" t="s">
        <v>13</v>
      </c>
      <c r="X811" t="s">
        <v>17</v>
      </c>
      <c r="Y811" s="1" t="s">
        <v>555</v>
      </c>
    </row>
    <row r="812" spans="1:25" x14ac:dyDescent="0.25">
      <c r="A812" s="4">
        <v>1361</v>
      </c>
      <c r="B812" s="9">
        <v>12386</v>
      </c>
      <c r="C812" s="8" t="s">
        <v>70</v>
      </c>
      <c r="D812" s="6" t="s">
        <v>60</v>
      </c>
      <c r="E812" s="10">
        <v>5</v>
      </c>
      <c r="F812">
        <v>3.1794960904424201</v>
      </c>
      <c r="G812">
        <v>0.41177191718917699</v>
      </c>
      <c r="H812" t="s">
        <v>52</v>
      </c>
      <c r="I812" t="s">
        <v>266</v>
      </c>
      <c r="J812" t="s">
        <v>267</v>
      </c>
      <c r="K812" t="s">
        <v>1432</v>
      </c>
      <c r="L812">
        <v>287</v>
      </c>
      <c r="M812" t="s">
        <v>1453</v>
      </c>
      <c r="N812">
        <v>280</v>
      </c>
      <c r="O812" t="s">
        <v>54</v>
      </c>
      <c r="P812" s="1" t="s">
        <v>1446</v>
      </c>
      <c r="Q812" s="25">
        <v>-28.499604999999999</v>
      </c>
      <c r="R812" s="25">
        <v>-65.545153999999997</v>
      </c>
      <c r="S812">
        <v>-41.306399999999996</v>
      </c>
      <c r="T812">
        <v>-45.6892</v>
      </c>
      <c r="U812">
        <v>41.306399999999996</v>
      </c>
      <c r="V812" t="s">
        <v>1537</v>
      </c>
      <c r="W812" t="s">
        <v>14</v>
      </c>
      <c r="X812" t="s">
        <v>17</v>
      </c>
      <c r="Y812" s="1" t="s">
        <v>599</v>
      </c>
    </row>
    <row r="813" spans="1:25" x14ac:dyDescent="0.25">
      <c r="A813" s="4">
        <v>1364</v>
      </c>
      <c r="B813" s="9">
        <v>12386</v>
      </c>
      <c r="C813" s="8" t="s">
        <v>70</v>
      </c>
      <c r="D813" s="6" t="s">
        <v>64</v>
      </c>
      <c r="E813" s="10">
        <v>8</v>
      </c>
      <c r="F813">
        <v>3.0582388421256002</v>
      </c>
      <c r="G813">
        <v>0.246528860268724</v>
      </c>
      <c r="H813" t="s">
        <v>52</v>
      </c>
      <c r="I813" t="s">
        <v>266</v>
      </c>
      <c r="J813" t="s">
        <v>267</v>
      </c>
      <c r="K813" t="s">
        <v>1432</v>
      </c>
      <c r="L813">
        <v>287</v>
      </c>
      <c r="M813" t="s">
        <v>1453</v>
      </c>
      <c r="N813">
        <v>280</v>
      </c>
      <c r="O813" t="s">
        <v>54</v>
      </c>
      <c r="P813" s="1" t="s">
        <v>1446</v>
      </c>
      <c r="Q813" s="25">
        <v>-28.499604999999999</v>
      </c>
      <c r="R813" s="25">
        <v>-65.545153999999997</v>
      </c>
      <c r="S813">
        <v>-41.306399999999996</v>
      </c>
      <c r="T813">
        <v>-45.6892</v>
      </c>
      <c r="U813">
        <v>41.306399999999996</v>
      </c>
      <c r="V813" t="s">
        <v>1537</v>
      </c>
      <c r="W813" t="s">
        <v>14</v>
      </c>
      <c r="X813" t="s">
        <v>17</v>
      </c>
      <c r="Y813" s="1" t="s">
        <v>599</v>
      </c>
    </row>
    <row r="814" spans="1:25" x14ac:dyDescent="0.25">
      <c r="A814" s="4">
        <v>1367</v>
      </c>
      <c r="B814" s="9">
        <v>12389</v>
      </c>
      <c r="C814" s="8" t="s">
        <v>70</v>
      </c>
      <c r="D814" s="6" t="s">
        <v>59</v>
      </c>
      <c r="E814" s="10">
        <v>5</v>
      </c>
      <c r="F814">
        <v>6.5671027535362896</v>
      </c>
      <c r="G814">
        <v>3.9774101254299001</v>
      </c>
      <c r="H814" t="s">
        <v>52</v>
      </c>
      <c r="I814" t="s">
        <v>266</v>
      </c>
      <c r="J814" t="s">
        <v>267</v>
      </c>
      <c r="K814" t="s">
        <v>1432</v>
      </c>
      <c r="L814">
        <v>287</v>
      </c>
      <c r="M814" t="s">
        <v>1453</v>
      </c>
      <c r="N814">
        <v>280</v>
      </c>
      <c r="O814" t="s">
        <v>54</v>
      </c>
      <c r="P814" s="1" t="s">
        <v>1446</v>
      </c>
      <c r="Q814" s="25">
        <v>-28.499604999999999</v>
      </c>
      <c r="R814" s="25">
        <v>-65.545153999999997</v>
      </c>
      <c r="S814">
        <v>-41.306399999999996</v>
      </c>
      <c r="T814">
        <v>-45.6892</v>
      </c>
      <c r="U814">
        <v>41.306399999999996</v>
      </c>
      <c r="V814" t="s">
        <v>1537</v>
      </c>
      <c r="W814" t="s">
        <v>14</v>
      </c>
      <c r="X814" t="s">
        <v>17</v>
      </c>
      <c r="Y814" s="1" t="s">
        <v>599</v>
      </c>
    </row>
    <row r="815" spans="1:25" x14ac:dyDescent="0.25">
      <c r="A815" s="4">
        <v>1368</v>
      </c>
      <c r="B815" s="9" t="s">
        <v>602</v>
      </c>
      <c r="C815" s="8" t="s">
        <v>304</v>
      </c>
      <c r="D815" s="6" t="s">
        <v>208</v>
      </c>
      <c r="E815" s="10">
        <v>7</v>
      </c>
      <c r="F815">
        <v>67.342277092041897</v>
      </c>
      <c r="G815">
        <v>29.9466427318531</v>
      </c>
      <c r="H815" t="s">
        <v>92</v>
      </c>
      <c r="I815" t="s">
        <v>266</v>
      </c>
      <c r="J815" t="s">
        <v>267</v>
      </c>
      <c r="K815" t="s">
        <v>1432</v>
      </c>
      <c r="L815">
        <v>287</v>
      </c>
      <c r="M815" t="s">
        <v>1453</v>
      </c>
      <c r="N815">
        <v>280</v>
      </c>
      <c r="O815" s="1" t="s">
        <v>1440</v>
      </c>
      <c r="P815" s="1" t="s">
        <v>525</v>
      </c>
      <c r="Q815" s="25">
        <v>33.349176999999997</v>
      </c>
      <c r="R815" s="25">
        <v>-107.093051</v>
      </c>
      <c r="S815">
        <v>5.14</v>
      </c>
      <c r="T815">
        <v>-34.611800000000002</v>
      </c>
      <c r="U815">
        <v>5.14</v>
      </c>
      <c r="V815" s="25" t="s">
        <v>1536</v>
      </c>
      <c r="W815" t="s">
        <v>14</v>
      </c>
      <c r="X815" t="s">
        <v>17</v>
      </c>
      <c r="Y815" s="1" t="s">
        <v>601</v>
      </c>
    </row>
    <row r="816" spans="1:25" x14ac:dyDescent="0.25">
      <c r="A816" s="4">
        <v>1369</v>
      </c>
      <c r="B816" s="9" t="s">
        <v>603</v>
      </c>
      <c r="C816" s="8" t="s">
        <v>304</v>
      </c>
      <c r="D816" s="6" t="s">
        <v>137</v>
      </c>
      <c r="E816" s="10">
        <v>6</v>
      </c>
      <c r="F816">
        <v>15.865469614895799</v>
      </c>
      <c r="G816">
        <v>9.5986669516620999</v>
      </c>
      <c r="H816" t="s">
        <v>92</v>
      </c>
      <c r="I816" t="s">
        <v>266</v>
      </c>
      <c r="J816" t="s">
        <v>267</v>
      </c>
      <c r="K816" t="s">
        <v>1432</v>
      </c>
      <c r="L816">
        <v>287</v>
      </c>
      <c r="M816" t="s">
        <v>1453</v>
      </c>
      <c r="N816">
        <v>280</v>
      </c>
      <c r="O816" s="1" t="s">
        <v>1440</v>
      </c>
      <c r="P816" s="1" t="s">
        <v>525</v>
      </c>
      <c r="Q816" s="25">
        <v>33.349176999999997</v>
      </c>
      <c r="R816" s="25">
        <v>-107.093051</v>
      </c>
      <c r="S816">
        <v>5.14</v>
      </c>
      <c r="T816">
        <v>-34.611800000000002</v>
      </c>
      <c r="U816">
        <v>5.14</v>
      </c>
      <c r="V816" s="25" t="s">
        <v>1536</v>
      </c>
      <c r="W816" t="s">
        <v>14</v>
      </c>
      <c r="X816" t="s">
        <v>17</v>
      </c>
      <c r="Y816" s="1" t="s">
        <v>601</v>
      </c>
    </row>
    <row r="817" spans="1:25" x14ac:dyDescent="0.25">
      <c r="A817" s="4">
        <v>1371</v>
      </c>
      <c r="B817" s="9" t="s">
        <v>605</v>
      </c>
      <c r="C817" s="8" t="s">
        <v>304</v>
      </c>
      <c r="D817" s="6" t="s">
        <v>295</v>
      </c>
      <c r="E817" s="10">
        <v>7</v>
      </c>
      <c r="F817">
        <v>9.3319966825153102</v>
      </c>
      <c r="G817">
        <v>2.20069924383386</v>
      </c>
      <c r="H817" t="s">
        <v>92</v>
      </c>
      <c r="I817" t="s">
        <v>266</v>
      </c>
      <c r="J817" t="s">
        <v>267</v>
      </c>
      <c r="K817" t="s">
        <v>1432</v>
      </c>
      <c r="L817">
        <v>287</v>
      </c>
      <c r="M817" t="s">
        <v>1453</v>
      </c>
      <c r="N817">
        <v>280</v>
      </c>
      <c r="O817" s="1" t="s">
        <v>1440</v>
      </c>
      <c r="P817" s="1" t="s">
        <v>525</v>
      </c>
      <c r="Q817" s="25">
        <v>33.349176999999997</v>
      </c>
      <c r="R817" s="25">
        <v>-107.093051</v>
      </c>
      <c r="S817">
        <v>5.14</v>
      </c>
      <c r="T817">
        <v>-34.611800000000002</v>
      </c>
      <c r="U817">
        <v>5.14</v>
      </c>
      <c r="V817" s="25" t="s">
        <v>1536</v>
      </c>
      <c r="W817" t="s">
        <v>14</v>
      </c>
      <c r="X817" t="s">
        <v>17</v>
      </c>
      <c r="Y817" s="1" t="s">
        <v>601</v>
      </c>
    </row>
    <row r="818" spans="1:25" x14ac:dyDescent="0.25">
      <c r="A818" s="4">
        <v>1372</v>
      </c>
      <c r="B818" s="9" t="s">
        <v>606</v>
      </c>
      <c r="C818" s="8" t="s">
        <v>304</v>
      </c>
      <c r="D818" s="6" t="s">
        <v>295</v>
      </c>
      <c r="E818" s="10">
        <v>7</v>
      </c>
      <c r="F818">
        <v>11.2690427911888</v>
      </c>
      <c r="G818">
        <v>3.3004417099791499</v>
      </c>
      <c r="H818" t="s">
        <v>92</v>
      </c>
      <c r="I818" t="s">
        <v>266</v>
      </c>
      <c r="J818" t="s">
        <v>267</v>
      </c>
      <c r="K818" t="s">
        <v>1432</v>
      </c>
      <c r="L818">
        <v>287</v>
      </c>
      <c r="M818" t="s">
        <v>1453</v>
      </c>
      <c r="N818">
        <v>280</v>
      </c>
      <c r="O818" s="1" t="s">
        <v>1440</v>
      </c>
      <c r="P818" s="1" t="s">
        <v>525</v>
      </c>
      <c r="Q818" s="25">
        <v>33.349176999999997</v>
      </c>
      <c r="R818" s="25">
        <v>-107.093051</v>
      </c>
      <c r="S818">
        <v>5.14</v>
      </c>
      <c r="T818">
        <v>-34.611800000000002</v>
      </c>
      <c r="U818">
        <v>5.14</v>
      </c>
      <c r="V818" s="25" t="s">
        <v>1536</v>
      </c>
      <c r="W818" t="s">
        <v>14</v>
      </c>
      <c r="X818" t="s">
        <v>17</v>
      </c>
      <c r="Y818" s="1" t="s">
        <v>601</v>
      </c>
    </row>
    <row r="819" spans="1:25" x14ac:dyDescent="0.25">
      <c r="A819" s="4">
        <v>1373</v>
      </c>
      <c r="B819" s="9" t="s">
        <v>607</v>
      </c>
      <c r="C819" s="8" t="s">
        <v>304</v>
      </c>
      <c r="D819" s="6" t="s">
        <v>295</v>
      </c>
      <c r="E819" s="10">
        <v>7</v>
      </c>
      <c r="F819">
        <v>8.2396436800927599</v>
      </c>
      <c r="G819">
        <v>2.3099987167990901</v>
      </c>
      <c r="H819" t="s">
        <v>92</v>
      </c>
      <c r="I819" t="s">
        <v>266</v>
      </c>
      <c r="J819" t="s">
        <v>267</v>
      </c>
      <c r="K819" t="s">
        <v>1432</v>
      </c>
      <c r="L819">
        <v>287</v>
      </c>
      <c r="M819" t="s">
        <v>1453</v>
      </c>
      <c r="N819">
        <v>280</v>
      </c>
      <c r="O819" s="1" t="s">
        <v>1440</v>
      </c>
      <c r="P819" s="1" t="s">
        <v>525</v>
      </c>
      <c r="Q819" s="25">
        <v>33.349176999999997</v>
      </c>
      <c r="R819" s="25">
        <v>-107.093051</v>
      </c>
      <c r="S819">
        <v>5.14</v>
      </c>
      <c r="T819">
        <v>-34.611800000000002</v>
      </c>
      <c r="U819">
        <v>5.14</v>
      </c>
      <c r="V819" s="25" t="s">
        <v>1536</v>
      </c>
      <c r="W819" t="s">
        <v>14</v>
      </c>
      <c r="X819" t="s">
        <v>17</v>
      </c>
      <c r="Y819" s="1" t="s">
        <v>601</v>
      </c>
    </row>
    <row r="820" spans="1:25" x14ac:dyDescent="0.25">
      <c r="A820" s="4">
        <v>1374</v>
      </c>
      <c r="B820" s="9" t="s">
        <v>608</v>
      </c>
      <c r="C820" s="8" t="s">
        <v>304</v>
      </c>
      <c r="D820" s="6" t="s">
        <v>295</v>
      </c>
      <c r="E820" s="10">
        <v>7</v>
      </c>
      <c r="F820">
        <v>7.4871782396739199</v>
      </c>
      <c r="G820">
        <v>1.4437623277732301</v>
      </c>
      <c r="H820" t="s">
        <v>92</v>
      </c>
      <c r="I820" t="s">
        <v>266</v>
      </c>
      <c r="J820" t="s">
        <v>267</v>
      </c>
      <c r="K820" t="s">
        <v>1432</v>
      </c>
      <c r="L820">
        <v>287</v>
      </c>
      <c r="M820" t="s">
        <v>1453</v>
      </c>
      <c r="N820">
        <v>280</v>
      </c>
      <c r="O820" s="1" t="s">
        <v>1440</v>
      </c>
      <c r="P820" s="1" t="s">
        <v>525</v>
      </c>
      <c r="Q820" s="25">
        <v>33.349176999999997</v>
      </c>
      <c r="R820" s="25">
        <v>-107.093051</v>
      </c>
      <c r="S820">
        <v>5.14</v>
      </c>
      <c r="T820">
        <v>-34.611800000000002</v>
      </c>
      <c r="U820">
        <v>5.14</v>
      </c>
      <c r="V820" s="25" t="s">
        <v>1536</v>
      </c>
      <c r="W820" t="s">
        <v>14</v>
      </c>
      <c r="X820" t="s">
        <v>17</v>
      </c>
      <c r="Y820" s="1" t="s">
        <v>601</v>
      </c>
    </row>
    <row r="821" spans="1:25" x14ac:dyDescent="0.25">
      <c r="A821" s="4">
        <v>1375</v>
      </c>
      <c r="B821" s="9" t="s">
        <v>609</v>
      </c>
      <c r="C821" s="8" t="s">
        <v>304</v>
      </c>
      <c r="D821" s="6" t="s">
        <v>295</v>
      </c>
      <c r="E821" s="10">
        <v>7</v>
      </c>
      <c r="F821">
        <v>8.5598666354559505</v>
      </c>
      <c r="G821">
        <v>1.40577645944489</v>
      </c>
      <c r="H821" t="s">
        <v>92</v>
      </c>
      <c r="I821" t="s">
        <v>266</v>
      </c>
      <c r="J821" t="s">
        <v>267</v>
      </c>
      <c r="K821" t="s">
        <v>1432</v>
      </c>
      <c r="L821">
        <v>287</v>
      </c>
      <c r="M821" t="s">
        <v>1453</v>
      </c>
      <c r="N821">
        <v>280</v>
      </c>
      <c r="O821" s="1" t="s">
        <v>1440</v>
      </c>
      <c r="P821" s="1" t="s">
        <v>525</v>
      </c>
      <c r="Q821" s="25">
        <v>33.349176999999997</v>
      </c>
      <c r="R821" s="25">
        <v>-107.093051</v>
      </c>
      <c r="S821">
        <v>5.14</v>
      </c>
      <c r="T821">
        <v>-34.611800000000002</v>
      </c>
      <c r="U821">
        <v>5.14</v>
      </c>
      <c r="V821" s="25" t="s">
        <v>1536</v>
      </c>
      <c r="W821" t="s">
        <v>14</v>
      </c>
      <c r="X821" t="s">
        <v>17</v>
      </c>
      <c r="Y821" s="1" t="s">
        <v>601</v>
      </c>
    </row>
    <row r="822" spans="1:25" x14ac:dyDescent="0.25">
      <c r="A822" s="4">
        <v>1377</v>
      </c>
      <c r="B822" s="9" t="s">
        <v>610</v>
      </c>
      <c r="C822" s="8" t="s">
        <v>304</v>
      </c>
      <c r="D822" s="6" t="s">
        <v>295</v>
      </c>
      <c r="E822" s="10">
        <v>7</v>
      </c>
      <c r="F822">
        <v>7.50643113333531</v>
      </c>
      <c r="G822">
        <v>1.2739556587184999</v>
      </c>
      <c r="H822" t="s">
        <v>92</v>
      </c>
      <c r="I822" t="s">
        <v>266</v>
      </c>
      <c r="J822" t="s">
        <v>267</v>
      </c>
      <c r="K822" t="s">
        <v>1432</v>
      </c>
      <c r="L822">
        <v>287</v>
      </c>
      <c r="M822" t="s">
        <v>1453</v>
      </c>
      <c r="N822">
        <v>280</v>
      </c>
      <c r="O822" s="1" t="s">
        <v>1440</v>
      </c>
      <c r="P822" s="1" t="s">
        <v>525</v>
      </c>
      <c r="Q822" s="25">
        <v>33.349176999999997</v>
      </c>
      <c r="R822" s="25">
        <v>-107.093051</v>
      </c>
      <c r="S822">
        <v>5.14</v>
      </c>
      <c r="T822">
        <v>-34.611800000000002</v>
      </c>
      <c r="U822">
        <v>5.14</v>
      </c>
      <c r="V822" s="25" t="s">
        <v>1536</v>
      </c>
      <c r="W822" t="s">
        <v>14</v>
      </c>
      <c r="X822" t="s">
        <v>17</v>
      </c>
      <c r="Y822" s="1" t="s">
        <v>601</v>
      </c>
    </row>
    <row r="823" spans="1:25" x14ac:dyDescent="0.25">
      <c r="A823" s="4">
        <v>1378</v>
      </c>
      <c r="B823" s="9" t="s">
        <v>611</v>
      </c>
      <c r="C823" s="8" t="s">
        <v>304</v>
      </c>
      <c r="D823" s="6" t="s">
        <v>295</v>
      </c>
      <c r="E823" s="10">
        <v>7</v>
      </c>
      <c r="F823">
        <v>13.261089202139701</v>
      </c>
      <c r="G823">
        <v>3.10478960205127</v>
      </c>
      <c r="H823" t="s">
        <v>92</v>
      </c>
      <c r="I823" t="s">
        <v>266</v>
      </c>
      <c r="J823" t="s">
        <v>267</v>
      </c>
      <c r="K823" t="s">
        <v>1432</v>
      </c>
      <c r="L823">
        <v>287</v>
      </c>
      <c r="M823" t="s">
        <v>1453</v>
      </c>
      <c r="N823">
        <v>280</v>
      </c>
      <c r="O823" s="1" t="s">
        <v>1440</v>
      </c>
      <c r="P823" s="1" t="s">
        <v>525</v>
      </c>
      <c r="Q823" s="25">
        <v>33.349176999999997</v>
      </c>
      <c r="R823" s="25">
        <v>-107.093051</v>
      </c>
      <c r="S823">
        <v>5.14</v>
      </c>
      <c r="T823">
        <v>-34.611800000000002</v>
      </c>
      <c r="U823">
        <v>5.14</v>
      </c>
      <c r="V823" s="25" t="s">
        <v>1536</v>
      </c>
      <c r="W823" t="s">
        <v>14</v>
      </c>
      <c r="X823" t="s">
        <v>17</v>
      </c>
      <c r="Y823" s="1" t="s">
        <v>601</v>
      </c>
    </row>
    <row r="824" spans="1:25" x14ac:dyDescent="0.25">
      <c r="A824" s="4">
        <v>1379</v>
      </c>
      <c r="B824" s="9" t="s">
        <v>613</v>
      </c>
      <c r="C824" s="8" t="s">
        <v>304</v>
      </c>
      <c r="D824" s="6" t="s">
        <v>534</v>
      </c>
      <c r="E824" s="10">
        <v>6</v>
      </c>
      <c r="F824">
        <v>7.5163740263205403</v>
      </c>
      <c r="G824">
        <v>3.89041546815763</v>
      </c>
      <c r="H824" t="s">
        <v>92</v>
      </c>
      <c r="I824" t="s">
        <v>266</v>
      </c>
      <c r="J824" t="s">
        <v>267</v>
      </c>
      <c r="K824" t="s">
        <v>1432</v>
      </c>
      <c r="L824">
        <v>287</v>
      </c>
      <c r="M824" t="s">
        <v>1453</v>
      </c>
      <c r="N824">
        <v>280</v>
      </c>
      <c r="O824" s="1" t="s">
        <v>1440</v>
      </c>
      <c r="P824" s="1" t="s">
        <v>525</v>
      </c>
      <c r="Q824" s="25">
        <v>33.349176999999997</v>
      </c>
      <c r="R824" s="25">
        <v>-107.093051</v>
      </c>
      <c r="S824">
        <v>5.14</v>
      </c>
      <c r="T824">
        <v>-34.611800000000002</v>
      </c>
      <c r="U824">
        <v>5.14</v>
      </c>
      <c r="V824" s="25" t="s">
        <v>1536</v>
      </c>
      <c r="W824" t="s">
        <v>14</v>
      </c>
      <c r="X824" t="s">
        <v>17</v>
      </c>
      <c r="Y824" s="1" t="s">
        <v>614</v>
      </c>
    </row>
    <row r="825" spans="1:25" x14ac:dyDescent="0.25">
      <c r="A825" s="4">
        <v>1381</v>
      </c>
      <c r="B825" s="9" t="s">
        <v>616</v>
      </c>
      <c r="C825" s="8" t="s">
        <v>304</v>
      </c>
      <c r="D825" s="6" t="s">
        <v>534</v>
      </c>
      <c r="E825" s="10">
        <v>6</v>
      </c>
      <c r="F825">
        <v>26.2270938697392</v>
      </c>
      <c r="G825">
        <v>8.8038088535354397</v>
      </c>
      <c r="H825" t="s">
        <v>92</v>
      </c>
      <c r="I825" t="s">
        <v>266</v>
      </c>
      <c r="J825" t="s">
        <v>267</v>
      </c>
      <c r="K825" t="s">
        <v>1432</v>
      </c>
      <c r="L825">
        <v>287</v>
      </c>
      <c r="M825" t="s">
        <v>1453</v>
      </c>
      <c r="N825">
        <v>280</v>
      </c>
      <c r="O825" s="1" t="s">
        <v>1440</v>
      </c>
      <c r="P825" s="1" t="s">
        <v>525</v>
      </c>
      <c r="Q825" s="25">
        <v>33.349176999999997</v>
      </c>
      <c r="R825" s="25">
        <v>-107.093051</v>
      </c>
      <c r="S825">
        <v>5.14</v>
      </c>
      <c r="T825">
        <v>-34.611800000000002</v>
      </c>
      <c r="U825">
        <v>5.14</v>
      </c>
      <c r="V825" s="25" t="s">
        <v>1536</v>
      </c>
      <c r="W825" t="s">
        <v>14</v>
      </c>
      <c r="X825" t="s">
        <v>17</v>
      </c>
      <c r="Y825" s="1" t="s">
        <v>614</v>
      </c>
    </row>
    <row r="826" spans="1:25" x14ac:dyDescent="0.25">
      <c r="A826" s="4">
        <v>1382</v>
      </c>
      <c r="B826" s="9" t="s">
        <v>617</v>
      </c>
      <c r="C826" s="8" t="s">
        <v>304</v>
      </c>
      <c r="D826" s="6" t="s">
        <v>137</v>
      </c>
      <c r="E826" s="10">
        <v>6</v>
      </c>
      <c r="F826">
        <v>12.094735634239299</v>
      </c>
      <c r="G826">
        <v>6.8612860308959398</v>
      </c>
      <c r="H826" t="s">
        <v>92</v>
      </c>
      <c r="I826" t="s">
        <v>266</v>
      </c>
      <c r="J826" t="s">
        <v>267</v>
      </c>
      <c r="K826" t="s">
        <v>1432</v>
      </c>
      <c r="L826">
        <v>287</v>
      </c>
      <c r="M826" t="s">
        <v>1453</v>
      </c>
      <c r="N826">
        <v>280</v>
      </c>
      <c r="O826" s="1" t="s">
        <v>1440</v>
      </c>
      <c r="P826" s="1" t="s">
        <v>525</v>
      </c>
      <c r="Q826" s="25">
        <v>33.349176999999997</v>
      </c>
      <c r="R826" s="25">
        <v>-107.093051</v>
      </c>
      <c r="S826">
        <v>5.14</v>
      </c>
      <c r="T826">
        <v>-34.611800000000002</v>
      </c>
      <c r="U826">
        <v>5.14</v>
      </c>
      <c r="V826" s="25" t="s">
        <v>1536</v>
      </c>
      <c r="W826" t="s">
        <v>14</v>
      </c>
      <c r="X826" t="s">
        <v>17</v>
      </c>
      <c r="Y826" s="1" t="s">
        <v>614</v>
      </c>
    </row>
    <row r="827" spans="1:25" x14ac:dyDescent="0.25">
      <c r="A827" s="4">
        <v>1383</v>
      </c>
      <c r="B827" s="9" t="s">
        <v>618</v>
      </c>
      <c r="C827" s="8" t="s">
        <v>304</v>
      </c>
      <c r="D827" s="6" t="s">
        <v>137</v>
      </c>
      <c r="E827" s="10">
        <v>6</v>
      </c>
      <c r="F827">
        <v>7.39902060443971</v>
      </c>
      <c r="G827">
        <v>3.83616533653933</v>
      </c>
      <c r="H827" t="s">
        <v>92</v>
      </c>
      <c r="I827" t="s">
        <v>266</v>
      </c>
      <c r="J827" t="s">
        <v>267</v>
      </c>
      <c r="K827" t="s">
        <v>1432</v>
      </c>
      <c r="L827">
        <v>287</v>
      </c>
      <c r="M827" t="s">
        <v>1453</v>
      </c>
      <c r="N827">
        <v>280</v>
      </c>
      <c r="O827" s="1" t="s">
        <v>1440</v>
      </c>
      <c r="P827" s="1" t="s">
        <v>525</v>
      </c>
      <c r="Q827" s="25">
        <v>33.349176999999997</v>
      </c>
      <c r="R827" s="25">
        <v>-107.093051</v>
      </c>
      <c r="S827">
        <v>5.14</v>
      </c>
      <c r="T827">
        <v>-34.611800000000002</v>
      </c>
      <c r="U827">
        <v>5.14</v>
      </c>
      <c r="V827" s="25" t="s">
        <v>1536</v>
      </c>
      <c r="W827" t="s">
        <v>14</v>
      </c>
      <c r="X827" t="s">
        <v>17</v>
      </c>
      <c r="Y827" s="1" t="s">
        <v>614</v>
      </c>
    </row>
    <row r="828" spans="1:25" x14ac:dyDescent="0.25">
      <c r="A828" s="4">
        <v>1384</v>
      </c>
      <c r="B828" s="9" t="s">
        <v>619</v>
      </c>
      <c r="C828" s="8" t="s">
        <v>304</v>
      </c>
      <c r="D828" s="6" t="s">
        <v>137</v>
      </c>
      <c r="E828" s="10">
        <v>6</v>
      </c>
      <c r="F828">
        <v>8.8002376319123705</v>
      </c>
      <c r="G828">
        <v>4.3113833906044396</v>
      </c>
      <c r="H828" t="s">
        <v>92</v>
      </c>
      <c r="I828" t="s">
        <v>266</v>
      </c>
      <c r="J828" t="s">
        <v>267</v>
      </c>
      <c r="K828" t="s">
        <v>1432</v>
      </c>
      <c r="L828">
        <v>287</v>
      </c>
      <c r="M828" t="s">
        <v>1453</v>
      </c>
      <c r="N828">
        <v>280</v>
      </c>
      <c r="O828" s="1" t="s">
        <v>1440</v>
      </c>
      <c r="P828" s="1" t="s">
        <v>525</v>
      </c>
      <c r="Q828" s="25">
        <v>33.349176999999997</v>
      </c>
      <c r="R828" s="25">
        <v>-107.093051</v>
      </c>
      <c r="S828">
        <v>5.14</v>
      </c>
      <c r="T828">
        <v>-34.611800000000002</v>
      </c>
      <c r="U828">
        <v>5.14</v>
      </c>
      <c r="V828" s="25" t="s">
        <v>1536</v>
      </c>
      <c r="W828" t="s">
        <v>14</v>
      </c>
      <c r="X828" t="s">
        <v>17</v>
      </c>
      <c r="Y828" s="1" t="s">
        <v>614</v>
      </c>
    </row>
    <row r="829" spans="1:25" x14ac:dyDescent="0.25">
      <c r="A829" s="4">
        <v>1386</v>
      </c>
      <c r="B829" s="9" t="s">
        <v>621</v>
      </c>
      <c r="C829" s="8" t="s">
        <v>304</v>
      </c>
      <c r="D829" s="6" t="s">
        <v>137</v>
      </c>
      <c r="E829" s="10">
        <v>6</v>
      </c>
      <c r="F829">
        <v>8.58550918095575</v>
      </c>
      <c r="G829">
        <v>3.81110095977043</v>
      </c>
      <c r="H829" t="s">
        <v>92</v>
      </c>
      <c r="I829" t="s">
        <v>266</v>
      </c>
      <c r="J829" t="s">
        <v>267</v>
      </c>
      <c r="K829" t="s">
        <v>1432</v>
      </c>
      <c r="L829">
        <v>287</v>
      </c>
      <c r="M829" t="s">
        <v>1453</v>
      </c>
      <c r="N829">
        <v>280</v>
      </c>
      <c r="O829" s="1" t="s">
        <v>1440</v>
      </c>
      <c r="P829" s="1" t="s">
        <v>525</v>
      </c>
      <c r="Q829" s="25">
        <v>33.349176999999997</v>
      </c>
      <c r="R829" s="25">
        <v>-107.093051</v>
      </c>
      <c r="S829">
        <v>5.14</v>
      </c>
      <c r="T829">
        <v>-34.611800000000002</v>
      </c>
      <c r="U829">
        <v>5.14</v>
      </c>
      <c r="V829" s="25" t="s">
        <v>1536</v>
      </c>
      <c r="W829" t="s">
        <v>14</v>
      </c>
      <c r="X829" t="s">
        <v>17</v>
      </c>
      <c r="Y829" s="1" t="s">
        <v>614</v>
      </c>
    </row>
    <row r="830" spans="1:25" x14ac:dyDescent="0.25">
      <c r="A830" s="4">
        <v>1387</v>
      </c>
      <c r="B830" s="9" t="s">
        <v>622</v>
      </c>
      <c r="C830" s="8" t="s">
        <v>304</v>
      </c>
      <c r="D830" s="6" t="s">
        <v>295</v>
      </c>
      <c r="E830" s="10">
        <v>7</v>
      </c>
      <c r="F830">
        <v>7.7832236107871804</v>
      </c>
      <c r="G830">
        <v>1.6540103284938199</v>
      </c>
      <c r="H830" t="s">
        <v>92</v>
      </c>
      <c r="I830" t="s">
        <v>266</v>
      </c>
      <c r="J830" t="s">
        <v>267</v>
      </c>
      <c r="K830" t="s">
        <v>1432</v>
      </c>
      <c r="L830">
        <v>287</v>
      </c>
      <c r="M830" t="s">
        <v>1453</v>
      </c>
      <c r="N830">
        <v>280</v>
      </c>
      <c r="O830" s="1" t="s">
        <v>1440</v>
      </c>
      <c r="P830" s="1" t="s">
        <v>525</v>
      </c>
      <c r="Q830" s="25">
        <v>33.349176999999997</v>
      </c>
      <c r="R830" s="25">
        <v>-107.093051</v>
      </c>
      <c r="S830">
        <v>5.14</v>
      </c>
      <c r="T830">
        <v>-34.611800000000002</v>
      </c>
      <c r="U830">
        <v>5.14</v>
      </c>
      <c r="V830" s="25" t="s">
        <v>1536</v>
      </c>
      <c r="W830" t="s">
        <v>14</v>
      </c>
      <c r="X830" t="s">
        <v>17</v>
      </c>
      <c r="Y830" s="1" t="s">
        <v>614</v>
      </c>
    </row>
    <row r="831" spans="1:25" x14ac:dyDescent="0.25">
      <c r="A831" s="4">
        <v>1388</v>
      </c>
      <c r="B831" s="9" t="s">
        <v>623</v>
      </c>
      <c r="C831" s="8" t="s">
        <v>304</v>
      </c>
      <c r="D831" s="6" t="s">
        <v>295</v>
      </c>
      <c r="E831" s="10">
        <v>7</v>
      </c>
      <c r="F831">
        <v>4.5488318839160202</v>
      </c>
      <c r="G831">
        <v>1.2228358117869</v>
      </c>
      <c r="H831" t="s">
        <v>92</v>
      </c>
      <c r="I831" t="s">
        <v>266</v>
      </c>
      <c r="J831" t="s">
        <v>267</v>
      </c>
      <c r="K831" t="s">
        <v>1432</v>
      </c>
      <c r="L831">
        <v>287</v>
      </c>
      <c r="M831" t="s">
        <v>1453</v>
      </c>
      <c r="N831">
        <v>280</v>
      </c>
      <c r="O831" s="1" t="s">
        <v>1440</v>
      </c>
      <c r="P831" s="1" t="s">
        <v>525</v>
      </c>
      <c r="Q831" s="25">
        <v>33.349176999999997</v>
      </c>
      <c r="R831" s="25">
        <v>-107.093051</v>
      </c>
      <c r="S831">
        <v>5.14</v>
      </c>
      <c r="T831">
        <v>-34.611800000000002</v>
      </c>
      <c r="U831">
        <v>5.14</v>
      </c>
      <c r="V831" s="25" t="s">
        <v>1536</v>
      </c>
      <c r="W831" t="s">
        <v>14</v>
      </c>
      <c r="X831" t="s">
        <v>17</v>
      </c>
      <c r="Y831" s="1" t="s">
        <v>614</v>
      </c>
    </row>
    <row r="832" spans="1:25" x14ac:dyDescent="0.25">
      <c r="A832" s="4">
        <v>1389</v>
      </c>
      <c r="B832" s="9" t="s">
        <v>624</v>
      </c>
      <c r="C832" s="8" t="s">
        <v>304</v>
      </c>
      <c r="D832" s="6" t="s">
        <v>295</v>
      </c>
      <c r="E832" s="10">
        <v>7</v>
      </c>
      <c r="F832">
        <v>6.8496457615575803</v>
      </c>
      <c r="G832">
        <v>2.6856413914106199</v>
      </c>
      <c r="H832" t="s">
        <v>92</v>
      </c>
      <c r="I832" t="s">
        <v>266</v>
      </c>
      <c r="J832" t="s">
        <v>267</v>
      </c>
      <c r="K832" t="s">
        <v>1432</v>
      </c>
      <c r="L832">
        <v>287</v>
      </c>
      <c r="M832" t="s">
        <v>1453</v>
      </c>
      <c r="N832">
        <v>280</v>
      </c>
      <c r="O832" s="1" t="s">
        <v>1440</v>
      </c>
      <c r="P832" s="1" t="s">
        <v>525</v>
      </c>
      <c r="Q832" s="25">
        <v>33.349176999999997</v>
      </c>
      <c r="R832" s="25">
        <v>-107.093051</v>
      </c>
      <c r="S832">
        <v>5.14</v>
      </c>
      <c r="T832">
        <v>-34.611800000000002</v>
      </c>
      <c r="U832">
        <v>5.14</v>
      </c>
      <c r="V832" s="25" t="s">
        <v>1536</v>
      </c>
      <c r="W832" t="s">
        <v>14</v>
      </c>
      <c r="X832" t="s">
        <v>17</v>
      </c>
      <c r="Y832" s="1" t="s">
        <v>614</v>
      </c>
    </row>
    <row r="833" spans="1:25" x14ac:dyDescent="0.25">
      <c r="A833" s="4">
        <v>1390</v>
      </c>
      <c r="B833" s="9" t="s">
        <v>624</v>
      </c>
      <c r="C833" s="8" t="s">
        <v>304</v>
      </c>
      <c r="D833" s="6" t="s">
        <v>295</v>
      </c>
      <c r="E833" s="10">
        <v>7</v>
      </c>
      <c r="F833">
        <v>9.9521024859776794</v>
      </c>
      <c r="G833">
        <v>2.4970570913871901</v>
      </c>
      <c r="H833" t="s">
        <v>92</v>
      </c>
      <c r="I833" t="s">
        <v>266</v>
      </c>
      <c r="J833" t="s">
        <v>267</v>
      </c>
      <c r="K833" t="s">
        <v>1432</v>
      </c>
      <c r="L833">
        <v>287</v>
      </c>
      <c r="M833" t="s">
        <v>1453</v>
      </c>
      <c r="N833">
        <v>280</v>
      </c>
      <c r="O833" s="1" t="s">
        <v>1440</v>
      </c>
      <c r="P833" s="1" t="s">
        <v>525</v>
      </c>
      <c r="Q833" s="25">
        <v>33.349176999999997</v>
      </c>
      <c r="R833" s="25">
        <v>-107.093051</v>
      </c>
      <c r="S833">
        <v>5.14</v>
      </c>
      <c r="T833">
        <v>-34.611800000000002</v>
      </c>
      <c r="U833">
        <v>5.14</v>
      </c>
      <c r="V833" s="25" t="s">
        <v>1536</v>
      </c>
      <c r="W833" t="s">
        <v>14</v>
      </c>
      <c r="X833" t="s">
        <v>17</v>
      </c>
      <c r="Y833" s="1" t="s">
        <v>614</v>
      </c>
    </row>
    <row r="834" spans="1:25" x14ac:dyDescent="0.25">
      <c r="A834" s="4">
        <v>1391</v>
      </c>
      <c r="B834" s="9" t="s">
        <v>625</v>
      </c>
      <c r="C834" s="8" t="s">
        <v>304</v>
      </c>
      <c r="D834" s="6" t="s">
        <v>295</v>
      </c>
      <c r="E834" s="10">
        <v>7</v>
      </c>
      <c r="F834">
        <v>8.4335901186123792</v>
      </c>
      <c r="G834">
        <v>1.8775849986458799</v>
      </c>
      <c r="H834" t="s">
        <v>92</v>
      </c>
      <c r="I834" t="s">
        <v>266</v>
      </c>
      <c r="J834" t="s">
        <v>267</v>
      </c>
      <c r="K834" t="s">
        <v>1432</v>
      </c>
      <c r="L834">
        <v>287</v>
      </c>
      <c r="M834" t="s">
        <v>1453</v>
      </c>
      <c r="N834">
        <v>280</v>
      </c>
      <c r="O834" s="1" t="s">
        <v>1440</v>
      </c>
      <c r="P834" s="1" t="s">
        <v>525</v>
      </c>
      <c r="Q834" s="25">
        <v>33.349176999999997</v>
      </c>
      <c r="R834" s="25">
        <v>-107.093051</v>
      </c>
      <c r="S834">
        <v>5.14</v>
      </c>
      <c r="T834">
        <v>-34.611800000000002</v>
      </c>
      <c r="U834">
        <v>5.14</v>
      </c>
      <c r="V834" s="25" t="s">
        <v>1536</v>
      </c>
      <c r="W834" t="s">
        <v>14</v>
      </c>
      <c r="X834" t="s">
        <v>17</v>
      </c>
      <c r="Y834" s="1" t="s">
        <v>614</v>
      </c>
    </row>
    <row r="835" spans="1:25" x14ac:dyDescent="0.25">
      <c r="A835" s="4">
        <v>1392</v>
      </c>
      <c r="B835" s="9" t="s">
        <v>626</v>
      </c>
      <c r="C835" s="8" t="s">
        <v>304</v>
      </c>
      <c r="D835" s="6" t="s">
        <v>295</v>
      </c>
      <c r="E835" s="10">
        <v>7</v>
      </c>
      <c r="F835">
        <v>9.2353321015743202</v>
      </c>
      <c r="G835">
        <v>1.7388065665455901</v>
      </c>
      <c r="H835" t="s">
        <v>92</v>
      </c>
      <c r="I835" t="s">
        <v>266</v>
      </c>
      <c r="J835" t="s">
        <v>267</v>
      </c>
      <c r="K835" t="s">
        <v>1432</v>
      </c>
      <c r="L835">
        <v>287</v>
      </c>
      <c r="M835" t="s">
        <v>1453</v>
      </c>
      <c r="N835">
        <v>280</v>
      </c>
      <c r="O835" s="1" t="s">
        <v>1440</v>
      </c>
      <c r="P835" s="1" t="s">
        <v>525</v>
      </c>
      <c r="Q835" s="25">
        <v>33.349176999999997</v>
      </c>
      <c r="R835" s="25">
        <v>-107.093051</v>
      </c>
      <c r="S835">
        <v>5.14</v>
      </c>
      <c r="T835">
        <v>-34.611800000000002</v>
      </c>
      <c r="U835">
        <v>5.14</v>
      </c>
      <c r="V835" s="25" t="s">
        <v>1536</v>
      </c>
      <c r="W835" t="s">
        <v>14</v>
      </c>
      <c r="X835" t="s">
        <v>17</v>
      </c>
      <c r="Y835" s="1" t="s">
        <v>614</v>
      </c>
    </row>
    <row r="836" spans="1:25" x14ac:dyDescent="0.25">
      <c r="A836" s="4">
        <v>1393</v>
      </c>
      <c r="B836" s="9" t="s">
        <v>627</v>
      </c>
      <c r="C836" s="8" t="s">
        <v>304</v>
      </c>
      <c r="D836" s="6" t="s">
        <v>295</v>
      </c>
      <c r="E836" s="10">
        <v>7</v>
      </c>
      <c r="F836">
        <v>8.8952074463893407</v>
      </c>
      <c r="G836">
        <v>2.8750620879909898</v>
      </c>
      <c r="H836" t="s">
        <v>92</v>
      </c>
      <c r="I836" t="s">
        <v>266</v>
      </c>
      <c r="J836" t="s">
        <v>267</v>
      </c>
      <c r="K836" t="s">
        <v>1432</v>
      </c>
      <c r="L836">
        <v>287</v>
      </c>
      <c r="M836" t="s">
        <v>1453</v>
      </c>
      <c r="N836">
        <v>280</v>
      </c>
      <c r="O836" s="1" t="s">
        <v>1440</v>
      </c>
      <c r="P836" s="1" t="s">
        <v>525</v>
      </c>
      <c r="Q836" s="25">
        <v>33.349176999999997</v>
      </c>
      <c r="R836" s="25">
        <v>-107.093051</v>
      </c>
      <c r="S836">
        <v>5.14</v>
      </c>
      <c r="T836">
        <v>-34.611800000000002</v>
      </c>
      <c r="U836">
        <v>5.14</v>
      </c>
      <c r="V836" s="25" t="s">
        <v>1536</v>
      </c>
      <c r="W836" t="s">
        <v>14</v>
      </c>
      <c r="X836" t="s">
        <v>17</v>
      </c>
      <c r="Y836" s="1" t="s">
        <v>614</v>
      </c>
    </row>
    <row r="837" spans="1:25" x14ac:dyDescent="0.25">
      <c r="A837" s="4">
        <v>1394</v>
      </c>
      <c r="B837" s="9" t="s">
        <v>628</v>
      </c>
      <c r="C837" s="8" t="s">
        <v>304</v>
      </c>
      <c r="D837" s="6" t="s">
        <v>137</v>
      </c>
      <c r="E837" s="10">
        <v>6</v>
      </c>
      <c r="F837">
        <v>18.572693995834999</v>
      </c>
      <c r="G837">
        <v>6.8295380450941101</v>
      </c>
      <c r="H837" t="s">
        <v>92</v>
      </c>
      <c r="I837" t="s">
        <v>266</v>
      </c>
      <c r="J837" t="s">
        <v>267</v>
      </c>
      <c r="K837" t="s">
        <v>1432</v>
      </c>
      <c r="L837">
        <v>287</v>
      </c>
      <c r="M837" t="s">
        <v>1453</v>
      </c>
      <c r="N837">
        <v>280</v>
      </c>
      <c r="O837" s="1" t="s">
        <v>1440</v>
      </c>
      <c r="P837" s="1" t="s">
        <v>525</v>
      </c>
      <c r="Q837" s="25">
        <v>33.349176999999997</v>
      </c>
      <c r="R837" s="25">
        <v>-107.093051</v>
      </c>
      <c r="S837">
        <v>5.14</v>
      </c>
      <c r="T837">
        <v>-34.611800000000002</v>
      </c>
      <c r="U837">
        <v>5.14</v>
      </c>
      <c r="V837" s="25" t="s">
        <v>1536</v>
      </c>
      <c r="W837" t="s">
        <v>14</v>
      </c>
      <c r="X837" t="s">
        <v>17</v>
      </c>
      <c r="Y837" s="1" t="s">
        <v>614</v>
      </c>
    </row>
    <row r="838" spans="1:25" x14ac:dyDescent="0.25">
      <c r="A838" s="4">
        <v>1396</v>
      </c>
      <c r="B838" s="9" t="s">
        <v>697</v>
      </c>
      <c r="C838" s="8" t="s">
        <v>696</v>
      </c>
      <c r="D838" s="6" t="s">
        <v>60</v>
      </c>
      <c r="E838" s="10">
        <v>5</v>
      </c>
      <c r="F838">
        <v>1.38170105525891</v>
      </c>
      <c r="G838">
        <v>0.18522015046274501</v>
      </c>
      <c r="H838" t="s">
        <v>203</v>
      </c>
      <c r="I838" t="s">
        <v>266</v>
      </c>
      <c r="J838" t="s">
        <v>267</v>
      </c>
      <c r="L838">
        <v>286</v>
      </c>
      <c r="M838" t="s">
        <v>1453</v>
      </c>
      <c r="N838">
        <v>280</v>
      </c>
      <c r="O838" t="s">
        <v>633</v>
      </c>
      <c r="P838" s="1" t="s">
        <v>694</v>
      </c>
      <c r="Q838" s="25">
        <v>43.133249999999997</v>
      </c>
      <c r="R838" s="25">
        <v>-5.2871579999999998</v>
      </c>
      <c r="S838">
        <v>3.2625999999999999</v>
      </c>
      <c r="T838">
        <v>15.188599999999999</v>
      </c>
      <c r="U838">
        <v>3.2625999999999999</v>
      </c>
      <c r="V838" s="25" t="s">
        <v>1538</v>
      </c>
      <c r="W838" t="s">
        <v>14</v>
      </c>
      <c r="X838" t="s">
        <v>17</v>
      </c>
      <c r="Y838" s="1" t="s">
        <v>631</v>
      </c>
    </row>
    <row r="839" spans="1:25" x14ac:dyDescent="0.25">
      <c r="A839" s="4">
        <v>1413</v>
      </c>
      <c r="B839" s="9" t="s">
        <v>657</v>
      </c>
      <c r="C839" s="8" t="s">
        <v>304</v>
      </c>
      <c r="D839" s="6" t="s">
        <v>60</v>
      </c>
      <c r="E839" s="10">
        <v>5</v>
      </c>
      <c r="F839">
        <v>6.7844878001818403</v>
      </c>
      <c r="G839">
        <v>1.17909908658888</v>
      </c>
      <c r="H839" t="s">
        <v>92</v>
      </c>
      <c r="I839" t="s">
        <v>266</v>
      </c>
      <c r="J839" t="s">
        <v>267</v>
      </c>
      <c r="K839" t="s">
        <v>1432</v>
      </c>
      <c r="L839">
        <v>287</v>
      </c>
      <c r="M839" t="s">
        <v>1453</v>
      </c>
      <c r="N839">
        <v>280</v>
      </c>
      <c r="O839" s="1" t="s">
        <v>1440</v>
      </c>
      <c r="P839" s="1" t="s">
        <v>525</v>
      </c>
      <c r="Q839" s="25">
        <v>34.126840000000001</v>
      </c>
      <c r="R839" s="25">
        <v>-106.794161</v>
      </c>
      <c r="S839">
        <v>5.6429</v>
      </c>
      <c r="T839">
        <v>-33.965800000000002</v>
      </c>
      <c r="U839">
        <v>5.6429</v>
      </c>
      <c r="V839" s="25" t="s">
        <v>1536</v>
      </c>
      <c r="W839" t="s">
        <v>14</v>
      </c>
      <c r="X839" t="s">
        <v>17</v>
      </c>
      <c r="Y839" s="1" t="s">
        <v>654</v>
      </c>
    </row>
    <row r="840" spans="1:25" x14ac:dyDescent="0.25">
      <c r="A840" s="4">
        <v>1414</v>
      </c>
      <c r="B840" s="9" t="s">
        <v>658</v>
      </c>
      <c r="C840" s="8" t="s">
        <v>304</v>
      </c>
      <c r="D840" s="6" t="s">
        <v>60</v>
      </c>
      <c r="E840" s="10">
        <v>5</v>
      </c>
      <c r="F840">
        <v>8.2863242693837105</v>
      </c>
      <c r="G840">
        <v>0.88859490894371396</v>
      </c>
      <c r="H840" t="s">
        <v>92</v>
      </c>
      <c r="I840" t="s">
        <v>266</v>
      </c>
      <c r="J840" t="s">
        <v>267</v>
      </c>
      <c r="K840" t="s">
        <v>1432</v>
      </c>
      <c r="L840">
        <v>287</v>
      </c>
      <c r="M840" t="s">
        <v>1453</v>
      </c>
      <c r="N840">
        <v>280</v>
      </c>
      <c r="O840" s="1" t="s">
        <v>1440</v>
      </c>
      <c r="P840" s="1" t="s">
        <v>525</v>
      </c>
      <c r="Q840" s="25">
        <v>34.126840000000001</v>
      </c>
      <c r="R840" s="25">
        <v>-106.794161</v>
      </c>
      <c r="S840">
        <v>5.6429</v>
      </c>
      <c r="T840">
        <v>-33.965800000000002</v>
      </c>
      <c r="U840">
        <v>5.6429</v>
      </c>
      <c r="V840" s="25" t="s">
        <v>1536</v>
      </c>
      <c r="W840" t="s">
        <v>14</v>
      </c>
      <c r="X840" t="s">
        <v>17</v>
      </c>
      <c r="Y840" s="1" t="s">
        <v>654</v>
      </c>
    </row>
    <row r="841" spans="1:25" x14ac:dyDescent="0.25">
      <c r="A841" s="4">
        <v>1417</v>
      </c>
      <c r="B841" s="9" t="s">
        <v>659</v>
      </c>
      <c r="C841" s="8" t="s">
        <v>304</v>
      </c>
      <c r="D841" s="6" t="s">
        <v>28</v>
      </c>
      <c r="E841" s="10">
        <v>6</v>
      </c>
      <c r="F841">
        <v>7.8499311595634804</v>
      </c>
      <c r="G841">
        <v>4.3480137696277401</v>
      </c>
      <c r="H841" t="s">
        <v>92</v>
      </c>
      <c r="I841" t="s">
        <v>266</v>
      </c>
      <c r="J841" t="s">
        <v>267</v>
      </c>
      <c r="K841" t="s">
        <v>1432</v>
      </c>
      <c r="L841">
        <v>287</v>
      </c>
      <c r="M841" t="s">
        <v>1453</v>
      </c>
      <c r="N841">
        <v>280</v>
      </c>
      <c r="O841" s="1" t="s">
        <v>1440</v>
      </c>
      <c r="P841" s="1" t="s">
        <v>525</v>
      </c>
      <c r="Q841" s="25">
        <v>34.126840000000001</v>
      </c>
      <c r="R841" s="25">
        <v>-106.794161</v>
      </c>
      <c r="S841">
        <v>5.6429</v>
      </c>
      <c r="T841">
        <v>-33.965800000000002</v>
      </c>
      <c r="U841">
        <v>5.6429</v>
      </c>
      <c r="V841" s="25" t="s">
        <v>1536</v>
      </c>
      <c r="W841" t="s">
        <v>14</v>
      </c>
      <c r="X841" t="s">
        <v>17</v>
      </c>
      <c r="Y841" s="1" t="s">
        <v>654</v>
      </c>
    </row>
    <row r="842" spans="1:25" x14ac:dyDescent="0.25">
      <c r="A842" s="4">
        <v>1418</v>
      </c>
      <c r="B842" s="9" t="s">
        <v>660</v>
      </c>
      <c r="C842" s="8" t="s">
        <v>304</v>
      </c>
      <c r="D842" s="6" t="s">
        <v>28</v>
      </c>
      <c r="E842" s="10">
        <v>6</v>
      </c>
      <c r="F842">
        <v>2.75872176972325</v>
      </c>
      <c r="G842">
        <v>1.5366986388589401</v>
      </c>
      <c r="H842" t="s">
        <v>92</v>
      </c>
      <c r="I842" t="s">
        <v>266</v>
      </c>
      <c r="J842" t="s">
        <v>267</v>
      </c>
      <c r="K842" t="s">
        <v>1432</v>
      </c>
      <c r="L842">
        <v>287</v>
      </c>
      <c r="M842" t="s">
        <v>1453</v>
      </c>
      <c r="N842">
        <v>280</v>
      </c>
      <c r="O842" s="1" t="s">
        <v>1440</v>
      </c>
      <c r="P842" s="1" t="s">
        <v>525</v>
      </c>
      <c r="Q842" s="25">
        <v>34.126840000000001</v>
      </c>
      <c r="R842" s="25">
        <v>-106.794161</v>
      </c>
      <c r="S842">
        <v>5.6429</v>
      </c>
      <c r="T842">
        <v>-33.965800000000002</v>
      </c>
      <c r="U842">
        <v>5.6429</v>
      </c>
      <c r="V842" s="25" t="s">
        <v>1536</v>
      </c>
      <c r="W842" t="s">
        <v>14</v>
      </c>
      <c r="X842" t="s">
        <v>17</v>
      </c>
      <c r="Y842" s="1" t="s">
        <v>654</v>
      </c>
    </row>
    <row r="843" spans="1:25" x14ac:dyDescent="0.25">
      <c r="A843" s="4">
        <v>1421</v>
      </c>
      <c r="B843" s="9" t="s">
        <v>655</v>
      </c>
      <c r="C843" s="8" t="s">
        <v>304</v>
      </c>
      <c r="D843" s="6" t="s">
        <v>64</v>
      </c>
      <c r="E843" s="10">
        <v>8</v>
      </c>
      <c r="F843">
        <v>10.147943500424701</v>
      </c>
      <c r="G843">
        <v>1.46648540646124</v>
      </c>
      <c r="H843" t="s">
        <v>92</v>
      </c>
      <c r="I843" t="s">
        <v>266</v>
      </c>
      <c r="J843" t="s">
        <v>267</v>
      </c>
      <c r="K843" t="s">
        <v>1432</v>
      </c>
      <c r="L843">
        <v>287</v>
      </c>
      <c r="M843" t="s">
        <v>1453</v>
      </c>
      <c r="N843">
        <v>280</v>
      </c>
      <c r="O843" s="1" t="s">
        <v>1440</v>
      </c>
      <c r="P843" s="1" t="s">
        <v>525</v>
      </c>
      <c r="Q843" s="25">
        <v>34.126840000000001</v>
      </c>
      <c r="R843" s="25">
        <v>-106.794161</v>
      </c>
      <c r="S843">
        <v>5.6429</v>
      </c>
      <c r="T843">
        <v>-33.965800000000002</v>
      </c>
      <c r="U843">
        <v>5.6429</v>
      </c>
      <c r="V843" s="25" t="s">
        <v>1536</v>
      </c>
      <c r="W843" t="s">
        <v>14</v>
      </c>
      <c r="X843" t="s">
        <v>17</v>
      </c>
      <c r="Y843" s="1" t="s">
        <v>654</v>
      </c>
    </row>
    <row r="844" spans="1:25" x14ac:dyDescent="0.25">
      <c r="A844" s="4">
        <v>1424</v>
      </c>
      <c r="B844" s="9" t="s">
        <v>662</v>
      </c>
      <c r="C844" s="8" t="s">
        <v>304</v>
      </c>
      <c r="D844" s="6" t="s">
        <v>60</v>
      </c>
      <c r="E844" s="10">
        <v>5</v>
      </c>
      <c r="F844">
        <v>8.6136121324251107</v>
      </c>
      <c r="G844">
        <v>1.1153496960037901</v>
      </c>
      <c r="H844" t="s">
        <v>92</v>
      </c>
      <c r="I844" t="s">
        <v>266</v>
      </c>
      <c r="J844" t="s">
        <v>267</v>
      </c>
      <c r="K844" t="s">
        <v>1432</v>
      </c>
      <c r="L844">
        <v>287</v>
      </c>
      <c r="M844" t="s">
        <v>1453</v>
      </c>
      <c r="N844">
        <v>280</v>
      </c>
      <c r="O844" s="1" t="s">
        <v>1440</v>
      </c>
      <c r="P844" s="1" t="s">
        <v>525</v>
      </c>
      <c r="Q844" s="25">
        <v>34.126840000000001</v>
      </c>
      <c r="R844" s="25">
        <v>-106.794161</v>
      </c>
      <c r="S844">
        <v>5.6429</v>
      </c>
      <c r="T844">
        <v>-33.965800000000002</v>
      </c>
      <c r="U844">
        <v>5.6429</v>
      </c>
      <c r="V844" s="25" t="s">
        <v>1536</v>
      </c>
      <c r="W844" t="s">
        <v>14</v>
      </c>
      <c r="X844" t="s">
        <v>17</v>
      </c>
      <c r="Y844" s="1" t="s">
        <v>654</v>
      </c>
    </row>
    <row r="845" spans="1:25" x14ac:dyDescent="0.25">
      <c r="A845" s="4">
        <v>1425</v>
      </c>
      <c r="B845" s="9" t="s">
        <v>662</v>
      </c>
      <c r="C845" s="8" t="s">
        <v>304</v>
      </c>
      <c r="D845" s="6" t="s">
        <v>64</v>
      </c>
      <c r="E845" s="10">
        <v>8</v>
      </c>
      <c r="F845">
        <v>9.3392058751397293</v>
      </c>
      <c r="G845">
        <v>1.89018674560238</v>
      </c>
      <c r="H845" t="s">
        <v>92</v>
      </c>
      <c r="I845" t="s">
        <v>266</v>
      </c>
      <c r="J845" t="s">
        <v>267</v>
      </c>
      <c r="K845" t="s">
        <v>1432</v>
      </c>
      <c r="L845">
        <v>287</v>
      </c>
      <c r="M845" t="s">
        <v>1453</v>
      </c>
      <c r="N845">
        <v>280</v>
      </c>
      <c r="O845" s="1" t="s">
        <v>1440</v>
      </c>
      <c r="P845" s="1" t="s">
        <v>525</v>
      </c>
      <c r="Q845" s="25">
        <v>34.126840000000001</v>
      </c>
      <c r="R845" s="25">
        <v>-106.794161</v>
      </c>
      <c r="S845">
        <v>5.6429</v>
      </c>
      <c r="T845">
        <v>-33.965800000000002</v>
      </c>
      <c r="U845">
        <v>5.6429</v>
      </c>
      <c r="V845" s="25" t="s">
        <v>1536</v>
      </c>
      <c r="W845" t="s">
        <v>14</v>
      </c>
      <c r="X845" t="s">
        <v>17</v>
      </c>
      <c r="Y845" s="1" t="s">
        <v>654</v>
      </c>
    </row>
    <row r="846" spans="1:25" x14ac:dyDescent="0.25">
      <c r="A846" s="4">
        <v>1427</v>
      </c>
      <c r="B846" s="9" t="s">
        <v>692</v>
      </c>
      <c r="C846" s="8" t="s">
        <v>673</v>
      </c>
      <c r="D846" s="6" t="s">
        <v>534</v>
      </c>
      <c r="E846" s="10">
        <v>6</v>
      </c>
      <c r="F846">
        <v>22.7543693230736</v>
      </c>
      <c r="G846">
        <v>10.055917185450999</v>
      </c>
      <c r="H846" t="s">
        <v>588</v>
      </c>
      <c r="I846" t="s">
        <v>266</v>
      </c>
      <c r="J846" t="s">
        <v>267</v>
      </c>
      <c r="L846">
        <v>286</v>
      </c>
      <c r="M846" t="s">
        <v>1453</v>
      </c>
      <c r="N846">
        <v>280</v>
      </c>
      <c r="O846" s="1" t="s">
        <v>664</v>
      </c>
      <c r="P846" s="1" t="s">
        <v>663</v>
      </c>
      <c r="Q846" s="25">
        <v>50.119478000000001</v>
      </c>
      <c r="R846" s="25">
        <v>8.3904040000000002</v>
      </c>
      <c r="S846">
        <v>9.5770999999999997</v>
      </c>
      <c r="T846">
        <v>22.236999999999998</v>
      </c>
      <c r="U846">
        <v>9.5770999999999997</v>
      </c>
      <c r="V846" t="s">
        <v>1538</v>
      </c>
      <c r="W846" t="s">
        <v>14</v>
      </c>
      <c r="X846" t="s">
        <v>17</v>
      </c>
      <c r="Y846" s="1" t="s">
        <v>665</v>
      </c>
    </row>
    <row r="847" spans="1:25" x14ac:dyDescent="0.25">
      <c r="A847" s="4">
        <v>1428</v>
      </c>
      <c r="B847" s="9" t="s">
        <v>692</v>
      </c>
      <c r="C847" s="8" t="s">
        <v>673</v>
      </c>
      <c r="D847" s="6" t="s">
        <v>28</v>
      </c>
      <c r="E847" s="10">
        <v>6</v>
      </c>
      <c r="F847">
        <v>22.753943145224699</v>
      </c>
      <c r="G847">
        <v>7.7567046355012303</v>
      </c>
      <c r="H847" t="s">
        <v>588</v>
      </c>
      <c r="I847" t="s">
        <v>266</v>
      </c>
      <c r="J847" t="s">
        <v>267</v>
      </c>
      <c r="L847">
        <v>286</v>
      </c>
      <c r="M847" t="s">
        <v>1453</v>
      </c>
      <c r="N847">
        <v>280</v>
      </c>
      <c r="O847" s="1" t="s">
        <v>664</v>
      </c>
      <c r="P847" s="1" t="s">
        <v>663</v>
      </c>
      <c r="Q847" s="25">
        <v>50.119478000000001</v>
      </c>
      <c r="R847" s="25">
        <v>8.3904040000000002</v>
      </c>
      <c r="S847">
        <v>9.5770999999999997</v>
      </c>
      <c r="T847">
        <v>22.236999999999998</v>
      </c>
      <c r="U847">
        <v>9.5770999999999997</v>
      </c>
      <c r="V847" t="s">
        <v>1538</v>
      </c>
      <c r="W847" t="s">
        <v>14</v>
      </c>
      <c r="X847" t="s">
        <v>17</v>
      </c>
      <c r="Y847" s="1" t="s">
        <v>665</v>
      </c>
    </row>
    <row r="848" spans="1:25" x14ac:dyDescent="0.25">
      <c r="A848" s="4">
        <v>1429</v>
      </c>
      <c r="B848" s="9" t="s">
        <v>693</v>
      </c>
      <c r="C848" s="8" t="s">
        <v>673</v>
      </c>
      <c r="D848" s="6" t="s">
        <v>308</v>
      </c>
      <c r="E848" s="10">
        <v>6</v>
      </c>
      <c r="F848">
        <v>24.409687177894501</v>
      </c>
      <c r="G848">
        <v>13.402125384381501</v>
      </c>
      <c r="H848" t="s">
        <v>588</v>
      </c>
      <c r="I848" t="s">
        <v>266</v>
      </c>
      <c r="J848" t="s">
        <v>267</v>
      </c>
      <c r="L848">
        <v>286</v>
      </c>
      <c r="M848" t="s">
        <v>1453</v>
      </c>
      <c r="N848">
        <v>280</v>
      </c>
      <c r="O848" s="1" t="s">
        <v>664</v>
      </c>
      <c r="P848" s="1" t="s">
        <v>663</v>
      </c>
      <c r="Q848" s="25">
        <v>50.119478000000001</v>
      </c>
      <c r="R848" s="25">
        <v>8.3904040000000002</v>
      </c>
      <c r="S848">
        <v>9.5770999999999997</v>
      </c>
      <c r="T848">
        <v>22.236999999999998</v>
      </c>
      <c r="U848">
        <v>9.5770999999999997</v>
      </c>
      <c r="V848" t="s">
        <v>1538</v>
      </c>
      <c r="W848" t="s">
        <v>14</v>
      </c>
      <c r="X848" t="s">
        <v>17</v>
      </c>
      <c r="Y848" s="1" t="s">
        <v>665</v>
      </c>
    </row>
    <row r="849" spans="1:25" x14ac:dyDescent="0.25">
      <c r="A849" s="4">
        <v>1430</v>
      </c>
      <c r="B849" s="9" t="s">
        <v>690</v>
      </c>
      <c r="C849" s="8" t="s">
        <v>673</v>
      </c>
      <c r="D849" s="6" t="s">
        <v>534</v>
      </c>
      <c r="E849" s="10">
        <v>6</v>
      </c>
      <c r="F849">
        <v>23.312061430510902</v>
      </c>
      <c r="G849">
        <v>9.7928403195837692</v>
      </c>
      <c r="H849" t="s">
        <v>588</v>
      </c>
      <c r="I849" t="s">
        <v>266</v>
      </c>
      <c r="J849" t="s">
        <v>267</v>
      </c>
      <c r="L849">
        <v>286</v>
      </c>
      <c r="M849" t="s">
        <v>1453</v>
      </c>
      <c r="N849">
        <v>280</v>
      </c>
      <c r="O849" s="1" t="s">
        <v>664</v>
      </c>
      <c r="P849" s="1" t="s">
        <v>663</v>
      </c>
      <c r="Q849" s="25">
        <v>50.119478000000001</v>
      </c>
      <c r="R849" s="25">
        <v>8.3904040000000002</v>
      </c>
      <c r="S849">
        <v>9.5770999999999997</v>
      </c>
      <c r="T849">
        <v>22.236999999999998</v>
      </c>
      <c r="U849">
        <v>9.5770999999999997</v>
      </c>
      <c r="V849" t="s">
        <v>1538</v>
      </c>
      <c r="W849" t="s">
        <v>14</v>
      </c>
      <c r="X849" t="s">
        <v>17</v>
      </c>
      <c r="Y849" s="1" t="s">
        <v>689</v>
      </c>
    </row>
    <row r="850" spans="1:25" x14ac:dyDescent="0.25">
      <c r="A850" s="4">
        <v>1431</v>
      </c>
      <c r="B850" s="9" t="s">
        <v>691</v>
      </c>
      <c r="C850" s="8" t="s">
        <v>673</v>
      </c>
      <c r="D850" s="6" t="s">
        <v>28</v>
      </c>
      <c r="E850" s="10">
        <v>6</v>
      </c>
      <c r="F850">
        <v>10.0628962582889</v>
      </c>
      <c r="G850">
        <v>5.8708170927107002</v>
      </c>
      <c r="H850" t="s">
        <v>588</v>
      </c>
      <c r="I850" t="s">
        <v>266</v>
      </c>
      <c r="J850" t="s">
        <v>267</v>
      </c>
      <c r="L850">
        <v>286</v>
      </c>
      <c r="M850" t="s">
        <v>1453</v>
      </c>
      <c r="N850">
        <v>280</v>
      </c>
      <c r="O850" s="1" t="s">
        <v>664</v>
      </c>
      <c r="P850" s="1" t="s">
        <v>663</v>
      </c>
      <c r="Q850" s="25">
        <v>50.119478000000001</v>
      </c>
      <c r="R850" s="25">
        <v>8.3904040000000002</v>
      </c>
      <c r="S850">
        <v>9.5770999999999997</v>
      </c>
      <c r="T850">
        <v>22.236999999999998</v>
      </c>
      <c r="U850">
        <v>9.5770999999999997</v>
      </c>
      <c r="V850" t="s">
        <v>1538</v>
      </c>
      <c r="W850" t="s">
        <v>14</v>
      </c>
      <c r="X850" t="s">
        <v>17</v>
      </c>
      <c r="Y850" s="1" t="s">
        <v>689</v>
      </c>
    </row>
    <row r="851" spans="1:25" x14ac:dyDescent="0.25">
      <c r="A851" s="4">
        <v>1433</v>
      </c>
      <c r="B851" s="9" t="s">
        <v>669</v>
      </c>
      <c r="C851" s="8" t="s">
        <v>670</v>
      </c>
      <c r="D851" s="6" t="s">
        <v>534</v>
      </c>
      <c r="E851" s="10">
        <v>6</v>
      </c>
      <c r="F851">
        <v>27.4823346209199</v>
      </c>
      <c r="G851">
        <v>9.9413272794084993</v>
      </c>
      <c r="H851" t="s">
        <v>588</v>
      </c>
      <c r="I851" t="s">
        <v>266</v>
      </c>
      <c r="J851" t="s">
        <v>267</v>
      </c>
      <c r="L851">
        <v>286</v>
      </c>
      <c r="M851" t="s">
        <v>1453</v>
      </c>
      <c r="N851">
        <v>280</v>
      </c>
      <c r="O851" s="1" t="s">
        <v>664</v>
      </c>
      <c r="P851" s="1" t="s">
        <v>663</v>
      </c>
      <c r="Q851" s="25">
        <v>50.119478000000001</v>
      </c>
      <c r="R851" s="25">
        <v>8.3904040000000002</v>
      </c>
      <c r="S851">
        <v>9.5770999999999997</v>
      </c>
      <c r="T851">
        <v>22.236999999999998</v>
      </c>
      <c r="U851">
        <v>9.5770999999999997</v>
      </c>
      <c r="V851" t="s">
        <v>1538</v>
      </c>
      <c r="W851" t="s">
        <v>14</v>
      </c>
      <c r="X851" t="s">
        <v>17</v>
      </c>
      <c r="Y851" s="1" t="s">
        <v>675</v>
      </c>
    </row>
    <row r="852" spans="1:25" x14ac:dyDescent="0.25">
      <c r="A852" s="4">
        <v>1440</v>
      </c>
      <c r="B852" s="9" t="s">
        <v>676</v>
      </c>
      <c r="C852" s="8" t="s">
        <v>673</v>
      </c>
      <c r="D852" s="6" t="s">
        <v>534</v>
      </c>
      <c r="E852" s="10">
        <v>6</v>
      </c>
      <c r="F852">
        <v>23.6295480666824</v>
      </c>
      <c r="G852">
        <v>9.1649170958898694</v>
      </c>
      <c r="H852" t="s">
        <v>588</v>
      </c>
      <c r="I852" t="s">
        <v>266</v>
      </c>
      <c r="J852" t="s">
        <v>267</v>
      </c>
      <c r="L852">
        <v>286</v>
      </c>
      <c r="M852" t="s">
        <v>1453</v>
      </c>
      <c r="N852">
        <v>280</v>
      </c>
      <c r="O852" s="1" t="s">
        <v>664</v>
      </c>
      <c r="P852" s="1" t="s">
        <v>663</v>
      </c>
      <c r="Q852" s="25">
        <v>50.119478000000001</v>
      </c>
      <c r="R852" s="25">
        <v>8.3904040000000002</v>
      </c>
      <c r="S852">
        <v>9.5770999999999997</v>
      </c>
      <c r="T852">
        <v>22.236999999999998</v>
      </c>
      <c r="U852">
        <v>9.5770999999999997</v>
      </c>
      <c r="V852" t="s">
        <v>1538</v>
      </c>
      <c r="W852" t="s">
        <v>14</v>
      </c>
      <c r="X852" t="s">
        <v>17</v>
      </c>
      <c r="Y852" s="1" t="s">
        <v>675</v>
      </c>
    </row>
    <row r="853" spans="1:25" x14ac:dyDescent="0.25">
      <c r="A853" s="4">
        <v>1441</v>
      </c>
      <c r="B853" s="9" t="s">
        <v>676</v>
      </c>
      <c r="C853" s="8" t="s">
        <v>673</v>
      </c>
      <c r="D853" s="6" t="s">
        <v>534</v>
      </c>
      <c r="E853" s="10">
        <v>6</v>
      </c>
      <c r="F853">
        <v>27.045968294387102</v>
      </c>
      <c r="G853">
        <v>9.5396712845384304</v>
      </c>
      <c r="H853" t="s">
        <v>588</v>
      </c>
      <c r="I853" t="s">
        <v>266</v>
      </c>
      <c r="J853" t="s">
        <v>267</v>
      </c>
      <c r="L853">
        <v>286</v>
      </c>
      <c r="M853" t="s">
        <v>1453</v>
      </c>
      <c r="N853">
        <v>280</v>
      </c>
      <c r="O853" s="1" t="s">
        <v>664</v>
      </c>
      <c r="P853" s="1" t="s">
        <v>663</v>
      </c>
      <c r="Q853" s="25">
        <v>50.119478000000001</v>
      </c>
      <c r="R853" s="25">
        <v>8.3904040000000002</v>
      </c>
      <c r="S853">
        <v>9.5770999999999997</v>
      </c>
      <c r="T853">
        <v>22.236999999999998</v>
      </c>
      <c r="U853">
        <v>9.5770999999999997</v>
      </c>
      <c r="V853" t="s">
        <v>1538</v>
      </c>
      <c r="W853" t="s">
        <v>14</v>
      </c>
      <c r="X853" t="s">
        <v>17</v>
      </c>
      <c r="Y853" s="1" t="s">
        <v>675</v>
      </c>
    </row>
    <row r="854" spans="1:25" x14ac:dyDescent="0.25">
      <c r="A854" s="4">
        <v>1442</v>
      </c>
      <c r="B854" s="9" t="s">
        <v>677</v>
      </c>
      <c r="C854" s="8" t="s">
        <v>673</v>
      </c>
      <c r="D854" s="6" t="s">
        <v>534</v>
      </c>
      <c r="E854" s="10">
        <v>6</v>
      </c>
      <c r="F854">
        <v>25.475364675219399</v>
      </c>
      <c r="G854">
        <v>9.1508509647558505</v>
      </c>
      <c r="H854" t="s">
        <v>588</v>
      </c>
      <c r="I854" t="s">
        <v>266</v>
      </c>
      <c r="J854" t="s">
        <v>267</v>
      </c>
      <c r="L854">
        <v>286</v>
      </c>
      <c r="M854" t="s">
        <v>1453</v>
      </c>
      <c r="N854">
        <v>280</v>
      </c>
      <c r="O854" s="1" t="s">
        <v>664</v>
      </c>
      <c r="P854" s="1" t="s">
        <v>663</v>
      </c>
      <c r="Q854" s="25">
        <v>50.119478000000001</v>
      </c>
      <c r="R854" s="25">
        <v>8.3904040000000002</v>
      </c>
      <c r="S854">
        <v>9.5770999999999997</v>
      </c>
      <c r="T854">
        <v>22.236999999999998</v>
      </c>
      <c r="U854">
        <v>9.5770999999999997</v>
      </c>
      <c r="V854" t="s">
        <v>1538</v>
      </c>
      <c r="W854" t="s">
        <v>14</v>
      </c>
      <c r="X854" t="s">
        <v>17</v>
      </c>
      <c r="Y854" s="1" t="s">
        <v>675</v>
      </c>
    </row>
    <row r="855" spans="1:25" x14ac:dyDescent="0.25">
      <c r="A855" s="4">
        <v>1443</v>
      </c>
      <c r="B855" s="9" t="s">
        <v>678</v>
      </c>
      <c r="C855" s="8" t="s">
        <v>673</v>
      </c>
      <c r="D855" s="6" t="s">
        <v>534</v>
      </c>
      <c r="E855" s="10">
        <v>6</v>
      </c>
      <c r="F855">
        <v>28.813030865270999</v>
      </c>
      <c r="G855">
        <v>14.899355405288301</v>
      </c>
      <c r="H855" t="s">
        <v>588</v>
      </c>
      <c r="I855" t="s">
        <v>266</v>
      </c>
      <c r="J855" t="s">
        <v>267</v>
      </c>
      <c r="L855">
        <v>286</v>
      </c>
      <c r="M855" t="s">
        <v>1453</v>
      </c>
      <c r="N855">
        <v>280</v>
      </c>
      <c r="O855" s="1" t="s">
        <v>664</v>
      </c>
      <c r="P855" s="1" t="s">
        <v>663</v>
      </c>
      <c r="Q855" s="25">
        <v>50.119478000000001</v>
      </c>
      <c r="R855" s="25">
        <v>8.3904040000000002</v>
      </c>
      <c r="S855">
        <v>9.5770999999999997</v>
      </c>
      <c r="T855">
        <v>22.236999999999998</v>
      </c>
      <c r="U855">
        <v>9.5770999999999997</v>
      </c>
      <c r="V855" t="s">
        <v>1538</v>
      </c>
      <c r="W855" t="s">
        <v>14</v>
      </c>
      <c r="X855" t="s">
        <v>17</v>
      </c>
      <c r="Y855" s="1" t="s">
        <v>675</v>
      </c>
    </row>
    <row r="856" spans="1:25" x14ac:dyDescent="0.25">
      <c r="A856" s="4">
        <v>1444</v>
      </c>
      <c r="B856" s="9" t="s">
        <v>679</v>
      </c>
      <c r="C856" s="8" t="s">
        <v>673</v>
      </c>
      <c r="D856" s="6" t="s">
        <v>534</v>
      </c>
      <c r="E856" s="10">
        <v>6</v>
      </c>
      <c r="F856">
        <v>14.653269278443799</v>
      </c>
      <c r="G856">
        <v>6.68325586216561</v>
      </c>
      <c r="H856" t="s">
        <v>588</v>
      </c>
      <c r="I856" t="s">
        <v>266</v>
      </c>
      <c r="J856" t="s">
        <v>267</v>
      </c>
      <c r="L856">
        <v>286</v>
      </c>
      <c r="M856" t="s">
        <v>1453</v>
      </c>
      <c r="N856">
        <v>280</v>
      </c>
      <c r="O856" s="1" t="s">
        <v>664</v>
      </c>
      <c r="P856" s="1" t="s">
        <v>663</v>
      </c>
      <c r="Q856" s="25">
        <v>50.119478000000001</v>
      </c>
      <c r="R856" s="25">
        <v>8.3904040000000002</v>
      </c>
      <c r="S856">
        <v>9.5770999999999997</v>
      </c>
      <c r="T856">
        <v>22.236999999999998</v>
      </c>
      <c r="U856">
        <v>9.5770999999999997</v>
      </c>
      <c r="V856" t="s">
        <v>1538</v>
      </c>
      <c r="W856" t="s">
        <v>14</v>
      </c>
      <c r="X856" t="s">
        <v>17</v>
      </c>
      <c r="Y856" s="1" t="s">
        <v>675</v>
      </c>
    </row>
    <row r="857" spans="1:25" x14ac:dyDescent="0.25">
      <c r="A857" s="4">
        <v>1445</v>
      </c>
      <c r="B857" s="9" t="s">
        <v>680</v>
      </c>
      <c r="C857" s="8" t="s">
        <v>670</v>
      </c>
      <c r="D857" s="6" t="s">
        <v>534</v>
      </c>
      <c r="E857" s="10">
        <v>6</v>
      </c>
      <c r="F857">
        <v>10.8499940213346</v>
      </c>
      <c r="G857">
        <v>2.6361196319018401</v>
      </c>
      <c r="H857" t="s">
        <v>588</v>
      </c>
      <c r="I857" t="s">
        <v>266</v>
      </c>
      <c r="J857" t="s">
        <v>267</v>
      </c>
      <c r="L857">
        <v>286</v>
      </c>
      <c r="M857" t="s">
        <v>1453</v>
      </c>
      <c r="N857">
        <v>280</v>
      </c>
      <c r="O857" s="1" t="s">
        <v>664</v>
      </c>
      <c r="P857" s="1" t="s">
        <v>663</v>
      </c>
      <c r="Q857" s="25">
        <v>50.119478000000001</v>
      </c>
      <c r="R857" s="25">
        <v>8.3904040000000002</v>
      </c>
      <c r="S857">
        <v>9.5770999999999997</v>
      </c>
      <c r="T857">
        <v>22.236999999999998</v>
      </c>
      <c r="U857">
        <v>9.5770999999999997</v>
      </c>
      <c r="V857" t="s">
        <v>1538</v>
      </c>
      <c r="W857" t="s">
        <v>14</v>
      </c>
      <c r="X857" t="s">
        <v>17</v>
      </c>
      <c r="Y857" s="1" t="s">
        <v>675</v>
      </c>
    </row>
    <row r="858" spans="1:25" x14ac:dyDescent="0.25">
      <c r="A858" s="4">
        <v>1446</v>
      </c>
      <c r="B858" s="9" t="s">
        <v>681</v>
      </c>
      <c r="C858" s="8" t="s">
        <v>673</v>
      </c>
      <c r="D858" s="6" t="s">
        <v>534</v>
      </c>
      <c r="E858" s="10">
        <v>6</v>
      </c>
      <c r="F858">
        <v>26.5747477670424</v>
      </c>
      <c r="G858">
        <v>12.140177382132601</v>
      </c>
      <c r="H858" t="s">
        <v>588</v>
      </c>
      <c r="I858" t="s">
        <v>266</v>
      </c>
      <c r="J858" t="s">
        <v>267</v>
      </c>
      <c r="L858">
        <v>286</v>
      </c>
      <c r="M858" t="s">
        <v>1453</v>
      </c>
      <c r="N858">
        <v>280</v>
      </c>
      <c r="O858" s="1" t="s">
        <v>664</v>
      </c>
      <c r="P858" s="1" t="s">
        <v>663</v>
      </c>
      <c r="Q858" s="25">
        <v>50.119478000000001</v>
      </c>
      <c r="R858" s="25">
        <v>8.3904040000000002</v>
      </c>
      <c r="S858">
        <v>9.5770999999999997</v>
      </c>
      <c r="T858">
        <v>22.236999999999998</v>
      </c>
      <c r="U858">
        <v>9.5770999999999997</v>
      </c>
      <c r="V858" t="s">
        <v>1538</v>
      </c>
      <c r="W858" t="s">
        <v>14</v>
      </c>
      <c r="X858" t="s">
        <v>17</v>
      </c>
      <c r="Y858" s="1" t="s">
        <v>675</v>
      </c>
    </row>
    <row r="859" spans="1:25" x14ac:dyDescent="0.25">
      <c r="A859" s="4">
        <v>1447</v>
      </c>
      <c r="B859" s="9" t="s">
        <v>1752</v>
      </c>
      <c r="C859" s="8" t="s">
        <v>670</v>
      </c>
      <c r="D859" s="6" t="s">
        <v>534</v>
      </c>
      <c r="E859" s="10">
        <v>6</v>
      </c>
      <c r="F859">
        <v>17.096540118076199</v>
      </c>
      <c r="G859">
        <v>7.4837152208668396</v>
      </c>
      <c r="H859" t="s">
        <v>588</v>
      </c>
      <c r="I859" t="s">
        <v>266</v>
      </c>
      <c r="J859" t="s">
        <v>267</v>
      </c>
      <c r="L859">
        <v>286</v>
      </c>
      <c r="M859" t="s">
        <v>1453</v>
      </c>
      <c r="N859">
        <v>280</v>
      </c>
      <c r="O859" s="1" t="s">
        <v>664</v>
      </c>
      <c r="P859" s="1" t="s">
        <v>663</v>
      </c>
      <c r="Q859" s="25">
        <v>50.119478000000001</v>
      </c>
      <c r="R859" s="25">
        <v>8.3904040000000002</v>
      </c>
      <c r="S859">
        <v>9.5770999999999997</v>
      </c>
      <c r="T859">
        <v>22.236999999999998</v>
      </c>
      <c r="U859">
        <v>9.5770999999999997</v>
      </c>
      <c r="V859" t="s">
        <v>1538</v>
      </c>
      <c r="W859" t="s">
        <v>14</v>
      </c>
      <c r="X859" t="s">
        <v>17</v>
      </c>
      <c r="Y859" s="1" t="s">
        <v>675</v>
      </c>
    </row>
    <row r="860" spans="1:25" x14ac:dyDescent="0.25">
      <c r="A860" s="4">
        <v>1448</v>
      </c>
      <c r="B860" s="9" t="s">
        <v>682</v>
      </c>
      <c r="C860" s="8" t="s">
        <v>670</v>
      </c>
      <c r="D860" s="6" t="s">
        <v>534</v>
      </c>
      <c r="E860" s="10">
        <v>6</v>
      </c>
      <c r="F860">
        <v>13.7714460100665</v>
      </c>
      <c r="G860">
        <v>4.5274940220398401</v>
      </c>
      <c r="H860" t="s">
        <v>588</v>
      </c>
      <c r="I860" t="s">
        <v>266</v>
      </c>
      <c r="J860" t="s">
        <v>267</v>
      </c>
      <c r="L860">
        <v>286</v>
      </c>
      <c r="M860" t="s">
        <v>1453</v>
      </c>
      <c r="N860">
        <v>280</v>
      </c>
      <c r="O860" s="1" t="s">
        <v>664</v>
      </c>
      <c r="P860" s="1" t="s">
        <v>663</v>
      </c>
      <c r="Q860" s="25">
        <v>50.119478000000001</v>
      </c>
      <c r="R860" s="25">
        <v>8.3904040000000002</v>
      </c>
      <c r="S860">
        <v>9.5770999999999997</v>
      </c>
      <c r="T860">
        <v>22.236999999999998</v>
      </c>
      <c r="U860">
        <v>9.5770999999999997</v>
      </c>
      <c r="V860" t="s">
        <v>1538</v>
      </c>
      <c r="W860" t="s">
        <v>14</v>
      </c>
      <c r="X860" t="s">
        <v>17</v>
      </c>
      <c r="Y860" s="1" t="s">
        <v>675</v>
      </c>
    </row>
    <row r="861" spans="1:25" x14ac:dyDescent="0.25">
      <c r="A861" s="4">
        <v>1449</v>
      </c>
      <c r="B861" s="9" t="s">
        <v>683</v>
      </c>
      <c r="C861" s="8" t="s">
        <v>670</v>
      </c>
      <c r="D861" s="6" t="s">
        <v>137</v>
      </c>
      <c r="E861" s="10">
        <v>6</v>
      </c>
      <c r="F861">
        <v>18.122500790263899</v>
      </c>
      <c r="G861">
        <v>8.1212891101352795</v>
      </c>
      <c r="H861" t="s">
        <v>588</v>
      </c>
      <c r="I861" t="s">
        <v>266</v>
      </c>
      <c r="J861" t="s">
        <v>267</v>
      </c>
      <c r="L861">
        <v>286</v>
      </c>
      <c r="M861" t="s">
        <v>1453</v>
      </c>
      <c r="N861">
        <v>280</v>
      </c>
      <c r="O861" s="1" t="s">
        <v>664</v>
      </c>
      <c r="P861" s="1" t="s">
        <v>663</v>
      </c>
      <c r="Q861" s="25">
        <v>50.119478000000001</v>
      </c>
      <c r="R861" s="25">
        <v>8.3904040000000002</v>
      </c>
      <c r="S861">
        <v>9.5770999999999997</v>
      </c>
      <c r="T861">
        <v>22.236999999999998</v>
      </c>
      <c r="U861">
        <v>9.5770999999999997</v>
      </c>
      <c r="V861" t="s">
        <v>1538</v>
      </c>
      <c r="W861" t="s">
        <v>14</v>
      </c>
      <c r="X861" t="s">
        <v>17</v>
      </c>
      <c r="Y861" s="1" t="s">
        <v>675</v>
      </c>
    </row>
    <row r="862" spans="1:25" x14ac:dyDescent="0.25">
      <c r="A862" s="4">
        <v>1450</v>
      </c>
      <c r="B862" s="9" t="s">
        <v>684</v>
      </c>
      <c r="C862" s="8" t="s">
        <v>670</v>
      </c>
      <c r="D862" s="6" t="s">
        <v>308</v>
      </c>
      <c r="E862" s="10">
        <v>6</v>
      </c>
      <c r="F862">
        <v>29.824616173266701</v>
      </c>
      <c r="G862">
        <v>13.214914549880399</v>
      </c>
      <c r="H862" t="s">
        <v>588</v>
      </c>
      <c r="I862" t="s">
        <v>266</v>
      </c>
      <c r="J862" t="s">
        <v>267</v>
      </c>
      <c r="L862">
        <v>286</v>
      </c>
      <c r="M862" t="s">
        <v>1453</v>
      </c>
      <c r="N862">
        <v>280</v>
      </c>
      <c r="O862" s="1" t="s">
        <v>664</v>
      </c>
      <c r="P862" s="1" t="s">
        <v>663</v>
      </c>
      <c r="Q862" s="25">
        <v>50.119478000000001</v>
      </c>
      <c r="R862" s="25">
        <v>8.3904040000000002</v>
      </c>
      <c r="S862">
        <v>9.5770999999999997</v>
      </c>
      <c r="T862">
        <v>22.236999999999998</v>
      </c>
      <c r="U862">
        <v>9.5770999999999997</v>
      </c>
      <c r="V862" t="s">
        <v>1538</v>
      </c>
      <c r="W862" t="s">
        <v>14</v>
      </c>
      <c r="X862" t="s">
        <v>17</v>
      </c>
      <c r="Y862" s="1" t="s">
        <v>675</v>
      </c>
    </row>
    <row r="863" spans="1:25" x14ac:dyDescent="0.25">
      <c r="A863" s="4">
        <v>1451</v>
      </c>
      <c r="B863" s="9" t="s">
        <v>685</v>
      </c>
      <c r="C863" s="8" t="s">
        <v>673</v>
      </c>
      <c r="D863" s="6" t="s">
        <v>28</v>
      </c>
      <c r="E863" s="10">
        <v>6</v>
      </c>
      <c r="F863">
        <v>2.8267719932247202</v>
      </c>
      <c r="G863">
        <v>0.90119498254194896</v>
      </c>
      <c r="H863" t="s">
        <v>588</v>
      </c>
      <c r="I863" t="s">
        <v>266</v>
      </c>
      <c r="J863" t="s">
        <v>267</v>
      </c>
      <c r="L863">
        <v>286</v>
      </c>
      <c r="M863" t="s">
        <v>1453</v>
      </c>
      <c r="N863">
        <v>280</v>
      </c>
      <c r="O863" s="1" t="s">
        <v>664</v>
      </c>
      <c r="P863" s="1" t="s">
        <v>663</v>
      </c>
      <c r="Q863" s="25">
        <v>50.119478000000001</v>
      </c>
      <c r="R863" s="25">
        <v>8.3904040000000002</v>
      </c>
      <c r="S863">
        <v>9.5770999999999997</v>
      </c>
      <c r="T863">
        <v>22.236999999999998</v>
      </c>
      <c r="U863">
        <v>9.5770999999999997</v>
      </c>
      <c r="V863" t="s">
        <v>1538</v>
      </c>
      <c r="W863" t="s">
        <v>14</v>
      </c>
      <c r="X863" t="s">
        <v>17</v>
      </c>
      <c r="Y863" s="1" t="s">
        <v>675</v>
      </c>
    </row>
    <row r="864" spans="1:25" x14ac:dyDescent="0.25">
      <c r="A864" s="4">
        <v>1464</v>
      </c>
      <c r="B864" s="9" t="s">
        <v>686</v>
      </c>
      <c r="C864" s="8" t="s">
        <v>670</v>
      </c>
      <c r="D864" s="6" t="s">
        <v>59</v>
      </c>
      <c r="E864" s="10">
        <v>5</v>
      </c>
      <c r="F864">
        <v>1.79342322352587</v>
      </c>
      <c r="G864">
        <v>0.92813220522904605</v>
      </c>
      <c r="H864" t="s">
        <v>588</v>
      </c>
      <c r="I864" t="s">
        <v>266</v>
      </c>
      <c r="J864" t="s">
        <v>267</v>
      </c>
      <c r="L864">
        <v>286</v>
      </c>
      <c r="M864" t="s">
        <v>1453</v>
      </c>
      <c r="N864">
        <v>280</v>
      </c>
      <c r="O864" s="1" t="s">
        <v>664</v>
      </c>
      <c r="P864" s="1" t="s">
        <v>663</v>
      </c>
      <c r="Q864" s="25">
        <v>50.119478000000001</v>
      </c>
      <c r="R864" s="25">
        <v>8.3904040000000002</v>
      </c>
      <c r="S864">
        <v>9.5770999999999997</v>
      </c>
      <c r="T864">
        <v>22.236999999999998</v>
      </c>
      <c r="U864">
        <v>9.5770999999999997</v>
      </c>
      <c r="V864" t="s">
        <v>1538</v>
      </c>
      <c r="W864" t="s">
        <v>14</v>
      </c>
      <c r="X864" t="s">
        <v>17</v>
      </c>
      <c r="Y864" s="1" t="s">
        <v>675</v>
      </c>
    </row>
    <row r="865" spans="1:25" x14ac:dyDescent="0.25">
      <c r="A865" s="4">
        <v>1466</v>
      </c>
      <c r="B865" s="9" t="s">
        <v>687</v>
      </c>
      <c r="C865" s="8" t="s">
        <v>670</v>
      </c>
      <c r="D865" s="6" t="s">
        <v>688</v>
      </c>
      <c r="E865" s="10">
        <v>6</v>
      </c>
      <c r="F865">
        <v>16.044145620719899</v>
      </c>
      <c r="G865">
        <v>1.4918361926152499</v>
      </c>
      <c r="H865" t="s">
        <v>588</v>
      </c>
      <c r="I865" t="s">
        <v>266</v>
      </c>
      <c r="J865" t="s">
        <v>267</v>
      </c>
      <c r="L865">
        <v>286</v>
      </c>
      <c r="M865" t="s">
        <v>1453</v>
      </c>
      <c r="N865">
        <v>280</v>
      </c>
      <c r="O865" s="1" t="s">
        <v>664</v>
      </c>
      <c r="P865" s="1" t="s">
        <v>663</v>
      </c>
      <c r="Q865" s="25">
        <v>50.119478000000001</v>
      </c>
      <c r="R865" s="25">
        <v>8.3904040000000002</v>
      </c>
      <c r="S865">
        <v>9.5770999999999997</v>
      </c>
      <c r="T865">
        <v>22.236999999999998</v>
      </c>
      <c r="U865">
        <v>9.5770999999999997</v>
      </c>
      <c r="V865" t="s">
        <v>1538</v>
      </c>
      <c r="W865" t="s">
        <v>14</v>
      </c>
      <c r="X865" t="s">
        <v>17</v>
      </c>
      <c r="Y865" s="1" t="s">
        <v>675</v>
      </c>
    </row>
    <row r="866" spans="1:25" x14ac:dyDescent="0.25">
      <c r="A866" s="4">
        <v>1469</v>
      </c>
      <c r="B866" s="9">
        <v>3691</v>
      </c>
      <c r="C866" s="8" t="s">
        <v>702</v>
      </c>
      <c r="D866" s="6" t="s">
        <v>308</v>
      </c>
      <c r="E866" s="10">
        <v>6</v>
      </c>
      <c r="F866">
        <v>24.157760670946502</v>
      </c>
      <c r="G866">
        <v>11.1129499930819</v>
      </c>
      <c r="H866" t="s">
        <v>92</v>
      </c>
      <c r="I866" t="s">
        <v>266</v>
      </c>
      <c r="J866" t="s">
        <v>267</v>
      </c>
      <c r="K866" t="s">
        <v>1434</v>
      </c>
      <c r="L866">
        <v>278</v>
      </c>
      <c r="M866" t="s">
        <v>1453</v>
      </c>
      <c r="N866">
        <v>280</v>
      </c>
      <c r="O866" t="s">
        <v>1526</v>
      </c>
      <c r="P866" s="1" t="s">
        <v>715</v>
      </c>
      <c r="Q866" s="25">
        <v>35.835306000000003</v>
      </c>
      <c r="R866" s="25">
        <v>-112.510446</v>
      </c>
      <c r="S866">
        <v>11.5611</v>
      </c>
      <c r="T866">
        <v>-40.272500000000001</v>
      </c>
      <c r="U866">
        <v>11.5611</v>
      </c>
      <c r="V866" t="s">
        <v>1536</v>
      </c>
      <c r="W866" t="s">
        <v>14</v>
      </c>
      <c r="X866" t="s">
        <v>18</v>
      </c>
      <c r="Y866" s="1" t="s">
        <v>699</v>
      </c>
    </row>
    <row r="867" spans="1:25" x14ac:dyDescent="0.25">
      <c r="A867" s="4">
        <v>1470</v>
      </c>
      <c r="B867" s="9" t="s">
        <v>704</v>
      </c>
      <c r="C867" s="8" t="s">
        <v>702</v>
      </c>
      <c r="D867" s="6" t="s">
        <v>137</v>
      </c>
      <c r="E867" s="10">
        <v>6</v>
      </c>
      <c r="F867">
        <v>35.907747714433299</v>
      </c>
      <c r="G867">
        <v>23.496209731183001</v>
      </c>
      <c r="H867" t="s">
        <v>588</v>
      </c>
      <c r="I867" t="s">
        <v>266</v>
      </c>
      <c r="J867" t="s">
        <v>267</v>
      </c>
      <c r="K867" t="s">
        <v>1432</v>
      </c>
      <c r="L867">
        <v>287</v>
      </c>
      <c r="M867" t="s">
        <v>1453</v>
      </c>
      <c r="N867">
        <v>280</v>
      </c>
      <c r="O867" t="s">
        <v>701</v>
      </c>
      <c r="P867" s="1" t="s">
        <v>698</v>
      </c>
      <c r="Q867" s="25">
        <v>48.825941999999998</v>
      </c>
      <c r="R867" s="25">
        <v>8.3529070000000001</v>
      </c>
      <c r="S867">
        <v>8.3114000000000008</v>
      </c>
      <c r="T867">
        <v>22.508700000000001</v>
      </c>
      <c r="U867">
        <v>8.3114000000000008</v>
      </c>
      <c r="V867" t="s">
        <v>1538</v>
      </c>
      <c r="W867" t="s">
        <v>14</v>
      </c>
      <c r="X867" t="s">
        <v>17</v>
      </c>
      <c r="Y867" s="1" t="s">
        <v>699</v>
      </c>
    </row>
    <row r="868" spans="1:25" x14ac:dyDescent="0.25">
      <c r="A868" s="4">
        <v>1471</v>
      </c>
      <c r="B868" s="9" t="s">
        <v>705</v>
      </c>
      <c r="C868" s="8" t="s">
        <v>702</v>
      </c>
      <c r="D868" s="6" t="s">
        <v>137</v>
      </c>
      <c r="E868" s="10">
        <v>6</v>
      </c>
      <c r="F868">
        <v>35.761456122710499</v>
      </c>
      <c r="G868">
        <v>22.433621145388202</v>
      </c>
      <c r="H868" t="s">
        <v>588</v>
      </c>
      <c r="I868" t="s">
        <v>266</v>
      </c>
      <c r="J868" t="s">
        <v>267</v>
      </c>
      <c r="K868" t="s">
        <v>1432</v>
      </c>
      <c r="L868">
        <v>287</v>
      </c>
      <c r="M868" t="s">
        <v>1453</v>
      </c>
      <c r="N868">
        <v>280</v>
      </c>
      <c r="O868" t="s">
        <v>701</v>
      </c>
      <c r="P868" s="1" t="s">
        <v>698</v>
      </c>
      <c r="Q868" s="25">
        <v>48.825941999999998</v>
      </c>
      <c r="R868" s="25">
        <v>8.3529070000000001</v>
      </c>
      <c r="S868">
        <v>8.3114000000000008</v>
      </c>
      <c r="T868">
        <v>22.508700000000001</v>
      </c>
      <c r="U868">
        <v>8.3114000000000008</v>
      </c>
      <c r="V868" t="s">
        <v>1538</v>
      </c>
      <c r="W868" t="s">
        <v>14</v>
      </c>
      <c r="X868" t="s">
        <v>17</v>
      </c>
      <c r="Y868" s="1" t="s">
        <v>699</v>
      </c>
    </row>
    <row r="869" spans="1:25" x14ac:dyDescent="0.25">
      <c r="A869" s="4">
        <v>1472</v>
      </c>
      <c r="B869" s="9" t="s">
        <v>163</v>
      </c>
      <c r="C869" s="8" t="s">
        <v>29</v>
      </c>
      <c r="D869" s="6" t="s">
        <v>60</v>
      </c>
      <c r="E869" s="10">
        <v>5</v>
      </c>
      <c r="F869">
        <v>7.4274054191626604</v>
      </c>
      <c r="G869">
        <v>0.82013606247937798</v>
      </c>
      <c r="H869" t="s">
        <v>641</v>
      </c>
      <c r="I869" t="s">
        <v>266</v>
      </c>
      <c r="J869" t="s">
        <v>267</v>
      </c>
      <c r="L869">
        <v>286</v>
      </c>
      <c r="M869" t="s">
        <v>1453</v>
      </c>
      <c r="N869">
        <v>280</v>
      </c>
      <c r="O869" t="s">
        <v>709</v>
      </c>
      <c r="P869" s="1" t="s">
        <v>708</v>
      </c>
      <c r="Q869" s="25">
        <v>44.399295000000002</v>
      </c>
      <c r="R869" s="25">
        <v>2.2106249999999998</v>
      </c>
      <c r="S869">
        <v>3.1678000000000002</v>
      </c>
      <c r="T869">
        <v>19.1904</v>
      </c>
      <c r="U869">
        <v>3.1678000000000002</v>
      </c>
      <c r="V869" t="s">
        <v>1538</v>
      </c>
      <c r="W869" t="s">
        <v>14</v>
      </c>
      <c r="X869" t="s">
        <v>17</v>
      </c>
      <c r="Y869" s="1" t="s">
        <v>707</v>
      </c>
    </row>
    <row r="870" spans="1:25" x14ac:dyDescent="0.25">
      <c r="A870" s="4">
        <v>1473</v>
      </c>
      <c r="B870" s="9" t="s">
        <v>163</v>
      </c>
      <c r="C870" s="8" t="s">
        <v>29</v>
      </c>
      <c r="D870" s="6" t="s">
        <v>64</v>
      </c>
      <c r="E870" s="10">
        <v>8</v>
      </c>
      <c r="F870">
        <v>6.5148270537443302</v>
      </c>
      <c r="G870">
        <v>0.90517955537608696</v>
      </c>
      <c r="H870" t="s">
        <v>641</v>
      </c>
      <c r="I870" t="s">
        <v>266</v>
      </c>
      <c r="J870" t="s">
        <v>267</v>
      </c>
      <c r="L870">
        <v>286</v>
      </c>
      <c r="M870" t="s">
        <v>1453</v>
      </c>
      <c r="N870">
        <v>280</v>
      </c>
      <c r="O870" t="s">
        <v>709</v>
      </c>
      <c r="P870" s="1" t="s">
        <v>708</v>
      </c>
      <c r="Q870" s="25">
        <v>44.399295000000002</v>
      </c>
      <c r="R870" s="25">
        <v>2.2106249999999998</v>
      </c>
      <c r="S870">
        <v>3.1678000000000002</v>
      </c>
      <c r="T870">
        <v>19.1904</v>
      </c>
      <c r="U870">
        <v>3.1678000000000002</v>
      </c>
      <c r="V870" t="s">
        <v>1538</v>
      </c>
      <c r="W870" t="s">
        <v>14</v>
      </c>
      <c r="X870" t="s">
        <v>17</v>
      </c>
      <c r="Y870" s="1" t="s">
        <v>707</v>
      </c>
    </row>
    <row r="871" spans="1:25" x14ac:dyDescent="0.25">
      <c r="A871" s="4">
        <v>1474</v>
      </c>
      <c r="B871" s="9" t="s">
        <v>296</v>
      </c>
      <c r="C871" s="8" t="s">
        <v>29</v>
      </c>
      <c r="D871" s="6" t="s">
        <v>64</v>
      </c>
      <c r="E871" s="10">
        <v>8</v>
      </c>
      <c r="F871">
        <v>11.003187821625099</v>
      </c>
      <c r="G871">
        <v>2.3782226263811399</v>
      </c>
      <c r="H871" t="s">
        <v>641</v>
      </c>
      <c r="I871" t="s">
        <v>266</v>
      </c>
      <c r="J871" t="s">
        <v>267</v>
      </c>
      <c r="L871">
        <v>286</v>
      </c>
      <c r="M871" t="s">
        <v>1453</v>
      </c>
      <c r="N871">
        <v>280</v>
      </c>
      <c r="O871" t="s">
        <v>709</v>
      </c>
      <c r="P871" s="1" t="s">
        <v>708</v>
      </c>
      <c r="Q871" s="25">
        <v>44.399295000000002</v>
      </c>
      <c r="R871" s="25">
        <v>2.2106249999999998</v>
      </c>
      <c r="S871">
        <v>3.1678000000000002</v>
      </c>
      <c r="T871">
        <v>19.1904</v>
      </c>
      <c r="U871">
        <v>3.1678000000000002</v>
      </c>
      <c r="V871" t="s">
        <v>1538</v>
      </c>
      <c r="W871" t="s">
        <v>14</v>
      </c>
      <c r="X871" t="s">
        <v>17</v>
      </c>
      <c r="Y871" s="1" t="s">
        <v>707</v>
      </c>
    </row>
    <row r="872" spans="1:25" x14ac:dyDescent="0.25">
      <c r="A872" s="4">
        <v>1475</v>
      </c>
      <c r="B872" s="9" t="s">
        <v>297</v>
      </c>
      <c r="C872" s="8" t="s">
        <v>29</v>
      </c>
      <c r="D872" s="6" t="s">
        <v>64</v>
      </c>
      <c r="E872" s="10">
        <v>8</v>
      </c>
      <c r="F872">
        <v>12.131510818032501</v>
      </c>
      <c r="G872">
        <v>1.6107356090074001</v>
      </c>
      <c r="H872" t="s">
        <v>641</v>
      </c>
      <c r="I872" t="s">
        <v>266</v>
      </c>
      <c r="J872" t="s">
        <v>267</v>
      </c>
      <c r="L872">
        <v>286</v>
      </c>
      <c r="M872" t="s">
        <v>1453</v>
      </c>
      <c r="N872">
        <v>280</v>
      </c>
      <c r="O872" t="s">
        <v>709</v>
      </c>
      <c r="P872" s="1" t="s">
        <v>708</v>
      </c>
      <c r="Q872" s="25">
        <v>44.399295000000002</v>
      </c>
      <c r="R872" s="25">
        <v>2.2106249999999998</v>
      </c>
      <c r="S872">
        <v>3.1678000000000002</v>
      </c>
      <c r="T872">
        <v>19.1904</v>
      </c>
      <c r="U872">
        <v>3.1678000000000002</v>
      </c>
      <c r="V872" t="s">
        <v>1538</v>
      </c>
      <c r="W872" t="s">
        <v>14</v>
      </c>
      <c r="X872" t="s">
        <v>17</v>
      </c>
      <c r="Y872" s="1" t="s">
        <v>707</v>
      </c>
    </row>
    <row r="873" spans="1:25" x14ac:dyDescent="0.25">
      <c r="A873" s="4">
        <v>1476</v>
      </c>
      <c r="B873" s="9" t="s">
        <v>168</v>
      </c>
      <c r="C873" s="8" t="s">
        <v>29</v>
      </c>
      <c r="D873" s="6" t="s">
        <v>60</v>
      </c>
      <c r="E873" s="10">
        <v>5</v>
      </c>
      <c r="F873">
        <v>9.9392268445172594</v>
      </c>
      <c r="G873">
        <v>0.50028988605337399</v>
      </c>
      <c r="H873" t="s">
        <v>641</v>
      </c>
      <c r="I873" t="s">
        <v>266</v>
      </c>
      <c r="J873" t="s">
        <v>267</v>
      </c>
      <c r="L873">
        <v>286</v>
      </c>
      <c r="M873" t="s">
        <v>1453</v>
      </c>
      <c r="N873">
        <v>280</v>
      </c>
      <c r="O873" t="s">
        <v>709</v>
      </c>
      <c r="P873" s="1" t="s">
        <v>708</v>
      </c>
      <c r="Q873" s="25">
        <v>44.399295000000002</v>
      </c>
      <c r="R873" s="25">
        <v>2.2106249999999998</v>
      </c>
      <c r="S873">
        <v>3.1678000000000002</v>
      </c>
      <c r="T873">
        <v>19.1904</v>
      </c>
      <c r="U873">
        <v>3.1678000000000002</v>
      </c>
      <c r="V873" t="s">
        <v>1538</v>
      </c>
      <c r="W873" t="s">
        <v>14</v>
      </c>
      <c r="X873" t="s">
        <v>17</v>
      </c>
      <c r="Y873" s="1" t="s">
        <v>707</v>
      </c>
    </row>
    <row r="874" spans="1:25" x14ac:dyDescent="0.25">
      <c r="A874" s="4">
        <v>1478</v>
      </c>
      <c r="B874" s="9" t="s">
        <v>711</v>
      </c>
      <c r="C874" s="8" t="s">
        <v>29</v>
      </c>
      <c r="D874" s="6" t="s">
        <v>28</v>
      </c>
      <c r="E874" s="10">
        <v>6</v>
      </c>
      <c r="F874">
        <v>13.6197230556936</v>
      </c>
      <c r="G874">
        <v>6.22363678599792</v>
      </c>
      <c r="H874" t="s">
        <v>641</v>
      </c>
      <c r="I874" t="s">
        <v>266</v>
      </c>
      <c r="J874" t="s">
        <v>267</v>
      </c>
      <c r="L874">
        <v>286</v>
      </c>
      <c r="M874" t="s">
        <v>1453</v>
      </c>
      <c r="N874">
        <v>280</v>
      </c>
      <c r="O874" t="s">
        <v>709</v>
      </c>
      <c r="P874" s="1" t="s">
        <v>708</v>
      </c>
      <c r="Q874" s="25">
        <v>44.399295000000002</v>
      </c>
      <c r="R874" s="25">
        <v>2.2106249999999998</v>
      </c>
      <c r="S874">
        <v>3.1678000000000002</v>
      </c>
      <c r="T874">
        <v>19.1904</v>
      </c>
      <c r="U874">
        <v>3.1678000000000002</v>
      </c>
      <c r="V874" t="s">
        <v>1538</v>
      </c>
      <c r="W874" t="s">
        <v>14</v>
      </c>
      <c r="X874" t="s">
        <v>17</v>
      </c>
      <c r="Y874" s="1" t="s">
        <v>707</v>
      </c>
    </row>
    <row r="875" spans="1:25" x14ac:dyDescent="0.25">
      <c r="A875" s="4">
        <v>1479</v>
      </c>
      <c r="B875" s="9" t="s">
        <v>712</v>
      </c>
      <c r="C875" s="8" t="s">
        <v>29</v>
      </c>
      <c r="D875" s="6" t="s">
        <v>64</v>
      </c>
      <c r="E875" s="10">
        <v>8</v>
      </c>
      <c r="F875">
        <v>1.6327390855310799</v>
      </c>
      <c r="G875">
        <v>0.52497312634557203</v>
      </c>
      <c r="H875" t="s">
        <v>641</v>
      </c>
      <c r="I875" t="s">
        <v>266</v>
      </c>
      <c r="J875" t="s">
        <v>267</v>
      </c>
      <c r="L875">
        <v>286</v>
      </c>
      <c r="M875" t="s">
        <v>1453</v>
      </c>
      <c r="N875">
        <v>280</v>
      </c>
      <c r="O875" t="s">
        <v>709</v>
      </c>
      <c r="P875" s="1" t="s">
        <v>708</v>
      </c>
      <c r="Q875" s="25">
        <v>44.399295000000002</v>
      </c>
      <c r="R875" s="25">
        <v>2.2106249999999998</v>
      </c>
      <c r="S875">
        <v>3.1678000000000002</v>
      </c>
      <c r="T875">
        <v>19.1904</v>
      </c>
      <c r="U875">
        <v>3.1678000000000002</v>
      </c>
      <c r="V875" t="s">
        <v>1538</v>
      </c>
      <c r="W875" t="s">
        <v>14</v>
      </c>
      <c r="X875" t="s">
        <v>17</v>
      </c>
      <c r="Y875" s="1" t="s">
        <v>707</v>
      </c>
    </row>
    <row r="876" spans="1:25" x14ac:dyDescent="0.25">
      <c r="A876" s="4">
        <v>1480</v>
      </c>
      <c r="B876" s="9" t="s">
        <v>713</v>
      </c>
      <c r="C876" s="8" t="s">
        <v>29</v>
      </c>
      <c r="D876" s="6" t="s">
        <v>64</v>
      </c>
      <c r="E876" s="10">
        <v>8</v>
      </c>
      <c r="F876">
        <v>2.9310696977825899</v>
      </c>
      <c r="G876">
        <v>0.187333402448352</v>
      </c>
      <c r="H876" t="s">
        <v>641</v>
      </c>
      <c r="I876" t="s">
        <v>266</v>
      </c>
      <c r="J876" t="s">
        <v>267</v>
      </c>
      <c r="L876">
        <v>286</v>
      </c>
      <c r="M876" t="s">
        <v>1453</v>
      </c>
      <c r="N876">
        <v>280</v>
      </c>
      <c r="O876" t="s">
        <v>709</v>
      </c>
      <c r="P876" s="1" t="s">
        <v>708</v>
      </c>
      <c r="Q876" s="25">
        <v>44.399295000000002</v>
      </c>
      <c r="R876" s="25">
        <v>2.2106249999999998</v>
      </c>
      <c r="S876">
        <v>3.1678000000000002</v>
      </c>
      <c r="T876">
        <v>19.1904</v>
      </c>
      <c r="U876">
        <v>3.1678000000000002</v>
      </c>
      <c r="V876" t="s">
        <v>1538</v>
      </c>
      <c r="W876" t="s">
        <v>14</v>
      </c>
      <c r="X876" t="s">
        <v>17</v>
      </c>
      <c r="Y876" s="1" t="s">
        <v>707</v>
      </c>
    </row>
    <row r="877" spans="1:25" x14ac:dyDescent="0.25">
      <c r="A877" s="4">
        <v>1485</v>
      </c>
      <c r="B877" s="9" t="s">
        <v>714</v>
      </c>
      <c r="C877" s="8" t="s">
        <v>29</v>
      </c>
      <c r="D877" s="6" t="s">
        <v>64</v>
      </c>
      <c r="E877" s="10">
        <v>8</v>
      </c>
      <c r="F877">
        <v>2.1327851492032499</v>
      </c>
      <c r="G877">
        <v>0.72329026558836795</v>
      </c>
      <c r="H877" t="s">
        <v>641</v>
      </c>
      <c r="I877" t="s">
        <v>266</v>
      </c>
      <c r="J877" t="s">
        <v>267</v>
      </c>
      <c r="L877">
        <v>286</v>
      </c>
      <c r="M877" t="s">
        <v>1453</v>
      </c>
      <c r="N877">
        <v>280</v>
      </c>
      <c r="O877" t="s">
        <v>709</v>
      </c>
      <c r="P877" s="1" t="s">
        <v>708</v>
      </c>
      <c r="Q877" s="25">
        <v>44.399295000000002</v>
      </c>
      <c r="R877" s="25">
        <v>2.2106249999999998</v>
      </c>
      <c r="S877">
        <v>3.1678000000000002</v>
      </c>
      <c r="T877">
        <v>19.1904</v>
      </c>
      <c r="U877">
        <v>3.1678000000000002</v>
      </c>
      <c r="V877" t="s">
        <v>1538</v>
      </c>
      <c r="W877" t="s">
        <v>14</v>
      </c>
      <c r="X877" t="s">
        <v>17</v>
      </c>
      <c r="Y877" s="1" t="s">
        <v>707</v>
      </c>
    </row>
    <row r="878" spans="1:25" x14ac:dyDescent="0.25">
      <c r="A878" s="4">
        <v>1489</v>
      </c>
      <c r="B878" s="9">
        <v>11145</v>
      </c>
      <c r="C878" s="8" t="s">
        <v>717</v>
      </c>
      <c r="D878" s="6" t="s">
        <v>308</v>
      </c>
      <c r="E878" s="10">
        <v>6</v>
      </c>
      <c r="F878">
        <v>28.363511228432898</v>
      </c>
      <c r="G878">
        <v>14.7612403999855</v>
      </c>
      <c r="H878" t="s">
        <v>92</v>
      </c>
      <c r="I878" t="s">
        <v>266</v>
      </c>
      <c r="J878" t="s">
        <v>267</v>
      </c>
      <c r="K878" t="s">
        <v>1434</v>
      </c>
      <c r="L878">
        <v>278</v>
      </c>
      <c r="M878" t="s">
        <v>1453</v>
      </c>
      <c r="N878">
        <v>280</v>
      </c>
      <c r="O878" t="s">
        <v>1526</v>
      </c>
      <c r="P878" s="1" t="s">
        <v>715</v>
      </c>
      <c r="Q878" s="25">
        <v>35.835306000000003</v>
      </c>
      <c r="R878" s="25">
        <v>-112.510446</v>
      </c>
      <c r="S878">
        <v>11.5611</v>
      </c>
      <c r="T878">
        <v>-40.272500000000001</v>
      </c>
      <c r="U878">
        <v>11.5611</v>
      </c>
      <c r="V878" t="s">
        <v>1536</v>
      </c>
      <c r="W878" t="s">
        <v>14</v>
      </c>
      <c r="X878" t="s">
        <v>18</v>
      </c>
      <c r="Y878" s="1" t="s">
        <v>720</v>
      </c>
    </row>
    <row r="879" spans="1:25" x14ac:dyDescent="0.25">
      <c r="A879" s="4">
        <v>1490</v>
      </c>
      <c r="B879" s="9">
        <v>11155</v>
      </c>
      <c r="C879" s="8" t="s">
        <v>717</v>
      </c>
      <c r="D879" s="6" t="s">
        <v>308</v>
      </c>
      <c r="E879" s="10">
        <v>6</v>
      </c>
      <c r="F879">
        <v>24.091177099709899</v>
      </c>
      <c r="G879">
        <v>14.8880984415946</v>
      </c>
      <c r="H879" t="s">
        <v>92</v>
      </c>
      <c r="I879" t="s">
        <v>266</v>
      </c>
      <c r="J879" t="s">
        <v>267</v>
      </c>
      <c r="K879" t="s">
        <v>1434</v>
      </c>
      <c r="L879">
        <v>278</v>
      </c>
      <c r="M879" t="s">
        <v>1453</v>
      </c>
      <c r="N879">
        <v>280</v>
      </c>
      <c r="O879" t="s">
        <v>1526</v>
      </c>
      <c r="P879" s="1" t="s">
        <v>715</v>
      </c>
      <c r="Q879" s="25">
        <v>35.835306000000003</v>
      </c>
      <c r="R879" s="25">
        <v>-112.510446</v>
      </c>
      <c r="S879">
        <v>11.5611</v>
      </c>
      <c r="T879">
        <v>-40.272500000000001</v>
      </c>
      <c r="U879">
        <v>11.5611</v>
      </c>
      <c r="V879" t="s">
        <v>1536</v>
      </c>
      <c r="W879" t="s">
        <v>14</v>
      </c>
      <c r="X879" t="s">
        <v>18</v>
      </c>
      <c r="Y879" s="1" t="s">
        <v>720</v>
      </c>
    </row>
    <row r="880" spans="1:25" x14ac:dyDescent="0.25">
      <c r="A880" s="4">
        <v>1491</v>
      </c>
      <c r="B880" s="9">
        <v>11501</v>
      </c>
      <c r="C880" s="8" t="s">
        <v>717</v>
      </c>
      <c r="D880" s="6" t="s">
        <v>721</v>
      </c>
      <c r="E880" s="10">
        <v>6</v>
      </c>
      <c r="F880">
        <v>95.640641545771601</v>
      </c>
      <c r="G880">
        <v>34.522913307973099</v>
      </c>
      <c r="H880" t="s">
        <v>92</v>
      </c>
      <c r="I880" t="s">
        <v>266</v>
      </c>
      <c r="J880" t="s">
        <v>267</v>
      </c>
      <c r="K880" t="s">
        <v>1434</v>
      </c>
      <c r="L880">
        <v>278</v>
      </c>
      <c r="M880" t="s">
        <v>1453</v>
      </c>
      <c r="N880">
        <v>280</v>
      </c>
      <c r="O880" t="s">
        <v>1526</v>
      </c>
      <c r="P880" s="1" t="s">
        <v>715</v>
      </c>
      <c r="Q880" s="25">
        <v>35.835306000000003</v>
      </c>
      <c r="R880" s="25">
        <v>-112.510446</v>
      </c>
      <c r="S880">
        <v>11.5611</v>
      </c>
      <c r="T880">
        <v>-40.272500000000001</v>
      </c>
      <c r="U880">
        <v>11.5611</v>
      </c>
      <c r="V880" t="s">
        <v>1536</v>
      </c>
      <c r="W880" t="s">
        <v>14</v>
      </c>
      <c r="X880" t="s">
        <v>18</v>
      </c>
      <c r="Y880" s="1" t="s">
        <v>722</v>
      </c>
    </row>
    <row r="881" spans="1:25" x14ac:dyDescent="0.25">
      <c r="A881" s="4">
        <v>1492</v>
      </c>
      <c r="B881" s="9">
        <v>11510</v>
      </c>
      <c r="C881" s="8" t="s">
        <v>717</v>
      </c>
      <c r="D881" s="6" t="s">
        <v>308</v>
      </c>
      <c r="E881" s="10">
        <v>6</v>
      </c>
      <c r="F881">
        <v>22.339932552805301</v>
      </c>
      <c r="G881">
        <v>6.1223441421111797</v>
      </c>
      <c r="H881" t="s">
        <v>92</v>
      </c>
      <c r="I881" t="s">
        <v>266</v>
      </c>
      <c r="J881" t="s">
        <v>267</v>
      </c>
      <c r="K881" t="s">
        <v>1434</v>
      </c>
      <c r="L881">
        <v>278</v>
      </c>
      <c r="M881" t="s">
        <v>1453</v>
      </c>
      <c r="N881">
        <v>280</v>
      </c>
      <c r="O881" t="s">
        <v>1526</v>
      </c>
      <c r="P881" s="1" t="s">
        <v>715</v>
      </c>
      <c r="Q881" s="25">
        <v>35.835306000000003</v>
      </c>
      <c r="R881" s="25">
        <v>-112.510446</v>
      </c>
      <c r="S881">
        <v>11.5611</v>
      </c>
      <c r="T881">
        <v>-40.272500000000001</v>
      </c>
      <c r="U881">
        <v>11.5611</v>
      </c>
      <c r="V881" t="s">
        <v>1536</v>
      </c>
      <c r="W881" t="s">
        <v>14</v>
      </c>
      <c r="X881" t="s">
        <v>18</v>
      </c>
      <c r="Y881" s="1" t="s">
        <v>722</v>
      </c>
    </row>
    <row r="882" spans="1:25" x14ac:dyDescent="0.25">
      <c r="A882" s="4">
        <v>1493</v>
      </c>
      <c r="B882" s="9" t="s">
        <v>724</v>
      </c>
      <c r="C882" s="8" t="s">
        <v>702</v>
      </c>
      <c r="D882" s="6" t="s">
        <v>721</v>
      </c>
      <c r="E882" s="10">
        <v>6</v>
      </c>
      <c r="F882">
        <v>54.870671978074803</v>
      </c>
      <c r="G882">
        <v>27.653341981914998</v>
      </c>
      <c r="H882" t="s">
        <v>92</v>
      </c>
      <c r="I882" t="s">
        <v>266</v>
      </c>
      <c r="J882" t="s">
        <v>267</v>
      </c>
      <c r="K882" t="s">
        <v>1434</v>
      </c>
      <c r="L882">
        <v>278</v>
      </c>
      <c r="M882" t="s">
        <v>1453</v>
      </c>
      <c r="N882">
        <v>280</v>
      </c>
      <c r="O882" t="s">
        <v>1526</v>
      </c>
      <c r="P882" s="1" t="s">
        <v>715</v>
      </c>
      <c r="Q882" s="25">
        <v>35.835306000000003</v>
      </c>
      <c r="R882" s="25">
        <v>-112.510446</v>
      </c>
      <c r="S882">
        <v>11.5611</v>
      </c>
      <c r="T882">
        <v>-40.272500000000001</v>
      </c>
      <c r="U882">
        <v>11.5611</v>
      </c>
      <c r="V882" t="s">
        <v>1536</v>
      </c>
      <c r="W882" t="s">
        <v>14</v>
      </c>
      <c r="X882" t="s">
        <v>18</v>
      </c>
      <c r="Y882" s="1" t="s">
        <v>725</v>
      </c>
    </row>
    <row r="883" spans="1:25" x14ac:dyDescent="0.25">
      <c r="A883" s="4">
        <v>1494</v>
      </c>
      <c r="B883" s="9" t="s">
        <v>727</v>
      </c>
      <c r="C883" s="8" t="s">
        <v>702</v>
      </c>
      <c r="D883" s="6" t="s">
        <v>721</v>
      </c>
      <c r="E883" s="10">
        <v>6</v>
      </c>
      <c r="F883">
        <v>65.787490503959802</v>
      </c>
      <c r="G883">
        <v>24.648336923211101</v>
      </c>
      <c r="H883" t="s">
        <v>92</v>
      </c>
      <c r="I883" t="s">
        <v>266</v>
      </c>
      <c r="J883" t="s">
        <v>267</v>
      </c>
      <c r="K883" t="s">
        <v>1434</v>
      </c>
      <c r="L883">
        <v>278</v>
      </c>
      <c r="M883" t="s">
        <v>1453</v>
      </c>
      <c r="N883">
        <v>280</v>
      </c>
      <c r="O883" t="s">
        <v>1526</v>
      </c>
      <c r="P883" s="1" t="s">
        <v>715</v>
      </c>
      <c r="Q883" s="25">
        <v>35.835306000000003</v>
      </c>
      <c r="R883" s="25">
        <v>-112.510446</v>
      </c>
      <c r="S883">
        <v>11.5611</v>
      </c>
      <c r="T883">
        <v>-40.272500000000001</v>
      </c>
      <c r="U883">
        <v>11.5611</v>
      </c>
      <c r="V883" t="s">
        <v>1536</v>
      </c>
      <c r="W883" t="s">
        <v>14</v>
      </c>
      <c r="X883" t="s">
        <v>18</v>
      </c>
      <c r="Y883" s="1" t="s">
        <v>725</v>
      </c>
    </row>
    <row r="884" spans="1:25" x14ac:dyDescent="0.25">
      <c r="A884" s="4">
        <v>1496</v>
      </c>
      <c r="B884" s="9" t="s">
        <v>728</v>
      </c>
      <c r="C884" s="8" t="s">
        <v>702</v>
      </c>
      <c r="D884" s="6" t="s">
        <v>308</v>
      </c>
      <c r="E884" s="10">
        <v>6</v>
      </c>
      <c r="F884">
        <v>27.145353113482301</v>
      </c>
      <c r="G884">
        <v>16.387186018699801</v>
      </c>
      <c r="H884" t="s">
        <v>92</v>
      </c>
      <c r="I884" t="s">
        <v>266</v>
      </c>
      <c r="J884" t="s">
        <v>267</v>
      </c>
      <c r="K884" t="s">
        <v>1434</v>
      </c>
      <c r="L884">
        <v>278</v>
      </c>
      <c r="M884" t="s">
        <v>1453</v>
      </c>
      <c r="N884">
        <v>280</v>
      </c>
      <c r="O884" t="s">
        <v>1526</v>
      </c>
      <c r="P884" s="1" t="s">
        <v>715</v>
      </c>
      <c r="Q884" s="25">
        <v>35.835306000000003</v>
      </c>
      <c r="R884" s="25">
        <v>-112.510446</v>
      </c>
      <c r="S884">
        <v>11.5611</v>
      </c>
      <c r="T884">
        <v>-40.272500000000001</v>
      </c>
      <c r="U884">
        <v>11.5611</v>
      </c>
      <c r="V884" t="s">
        <v>1536</v>
      </c>
      <c r="W884" t="s">
        <v>14</v>
      </c>
      <c r="X884" t="s">
        <v>18</v>
      </c>
      <c r="Y884" s="1" t="s">
        <v>725</v>
      </c>
    </row>
    <row r="885" spans="1:25" x14ac:dyDescent="0.25">
      <c r="A885" s="4">
        <v>1497</v>
      </c>
      <c r="B885" s="9" t="s">
        <v>729</v>
      </c>
      <c r="C885" s="8" t="s">
        <v>702</v>
      </c>
      <c r="D885" s="6" t="s">
        <v>308</v>
      </c>
      <c r="E885" s="10">
        <v>6</v>
      </c>
      <c r="F885">
        <v>26.233645213231402</v>
      </c>
      <c r="G885">
        <v>9.2552340425336492</v>
      </c>
      <c r="H885" t="s">
        <v>92</v>
      </c>
      <c r="I885" t="s">
        <v>266</v>
      </c>
      <c r="J885" t="s">
        <v>267</v>
      </c>
      <c r="K885" t="s">
        <v>1434</v>
      </c>
      <c r="L885">
        <v>278</v>
      </c>
      <c r="M885" t="s">
        <v>1453</v>
      </c>
      <c r="N885">
        <v>280</v>
      </c>
      <c r="O885" t="s">
        <v>1526</v>
      </c>
      <c r="P885" s="1" t="s">
        <v>715</v>
      </c>
      <c r="Q885" s="25">
        <v>35.835306000000003</v>
      </c>
      <c r="R885" s="25">
        <v>-112.510446</v>
      </c>
      <c r="S885">
        <v>11.5611</v>
      </c>
      <c r="T885">
        <v>-40.272500000000001</v>
      </c>
      <c r="U885">
        <v>11.5611</v>
      </c>
      <c r="V885" t="s">
        <v>1536</v>
      </c>
      <c r="W885" t="s">
        <v>14</v>
      </c>
      <c r="X885" t="s">
        <v>18</v>
      </c>
      <c r="Y885" s="1" t="s">
        <v>725</v>
      </c>
    </row>
    <row r="886" spans="1:25" x14ac:dyDescent="0.25">
      <c r="A886" s="4">
        <v>1498</v>
      </c>
      <c r="B886" s="9" t="s">
        <v>730</v>
      </c>
      <c r="C886" s="8" t="s">
        <v>702</v>
      </c>
      <c r="D886" s="6" t="s">
        <v>308</v>
      </c>
      <c r="E886" s="10">
        <v>6</v>
      </c>
      <c r="F886">
        <v>21.753957366787098</v>
      </c>
      <c r="G886">
        <v>8.4924976162557293</v>
      </c>
      <c r="H886" t="s">
        <v>92</v>
      </c>
      <c r="I886" t="s">
        <v>266</v>
      </c>
      <c r="J886" t="s">
        <v>267</v>
      </c>
      <c r="K886" t="s">
        <v>1434</v>
      </c>
      <c r="L886">
        <v>278</v>
      </c>
      <c r="M886" t="s">
        <v>1453</v>
      </c>
      <c r="N886">
        <v>280</v>
      </c>
      <c r="O886" t="s">
        <v>1526</v>
      </c>
      <c r="P886" s="1" t="s">
        <v>715</v>
      </c>
      <c r="Q886" s="25">
        <v>35.835306000000003</v>
      </c>
      <c r="R886" s="25">
        <v>-112.510446</v>
      </c>
      <c r="S886">
        <v>11.5611</v>
      </c>
      <c r="T886">
        <v>-40.272500000000001</v>
      </c>
      <c r="U886">
        <v>11.5611</v>
      </c>
      <c r="V886" t="s">
        <v>1536</v>
      </c>
      <c r="W886" t="s">
        <v>14</v>
      </c>
      <c r="X886" t="s">
        <v>18</v>
      </c>
      <c r="Y886" s="1" t="s">
        <v>725</v>
      </c>
    </row>
    <row r="887" spans="1:25" x14ac:dyDescent="0.25">
      <c r="A887" s="4">
        <v>1500</v>
      </c>
      <c r="B887" s="9" t="s">
        <v>731</v>
      </c>
      <c r="C887" s="8" t="s">
        <v>702</v>
      </c>
      <c r="D887" s="6" t="s">
        <v>59</v>
      </c>
      <c r="E887" s="10">
        <v>5</v>
      </c>
      <c r="F887">
        <v>8.9307021266559605</v>
      </c>
      <c r="G887">
        <v>4.8247599286081098</v>
      </c>
      <c r="H887" t="s">
        <v>92</v>
      </c>
      <c r="I887" t="s">
        <v>266</v>
      </c>
      <c r="J887" t="s">
        <v>267</v>
      </c>
      <c r="K887" t="s">
        <v>1434</v>
      </c>
      <c r="L887">
        <v>278</v>
      </c>
      <c r="M887" t="s">
        <v>1453</v>
      </c>
      <c r="N887">
        <v>280</v>
      </c>
      <c r="O887" t="s">
        <v>1526</v>
      </c>
      <c r="P887" s="1" t="s">
        <v>715</v>
      </c>
      <c r="Q887" s="25">
        <v>35.835306000000003</v>
      </c>
      <c r="R887" s="25">
        <v>-112.510446</v>
      </c>
      <c r="S887">
        <v>11.5611</v>
      </c>
      <c r="T887">
        <v>-40.272500000000001</v>
      </c>
      <c r="U887">
        <v>11.5611</v>
      </c>
      <c r="V887" t="s">
        <v>1536</v>
      </c>
      <c r="W887" t="s">
        <v>14</v>
      </c>
      <c r="X887" t="s">
        <v>18</v>
      </c>
      <c r="Y887" s="1" t="s">
        <v>725</v>
      </c>
    </row>
    <row r="888" spans="1:25" x14ac:dyDescent="0.25">
      <c r="A888" s="4">
        <v>1501</v>
      </c>
      <c r="B888" s="9" t="s">
        <v>732</v>
      </c>
      <c r="C888" s="8" t="s">
        <v>702</v>
      </c>
      <c r="D888" s="6" t="s">
        <v>60</v>
      </c>
      <c r="E888" s="10">
        <v>5</v>
      </c>
      <c r="F888">
        <v>11.7062307630751</v>
      </c>
      <c r="G888">
        <v>2.24581392229604</v>
      </c>
      <c r="H888" t="s">
        <v>92</v>
      </c>
      <c r="I888" t="s">
        <v>266</v>
      </c>
      <c r="J888" t="s">
        <v>267</v>
      </c>
      <c r="K888" t="s">
        <v>1434</v>
      </c>
      <c r="L888">
        <v>278</v>
      </c>
      <c r="M888" t="s">
        <v>1453</v>
      </c>
      <c r="N888">
        <v>280</v>
      </c>
      <c r="O888" t="s">
        <v>1526</v>
      </c>
      <c r="P888" s="1" t="s">
        <v>715</v>
      </c>
      <c r="Q888" s="25">
        <v>35.835306000000003</v>
      </c>
      <c r="R888" s="25">
        <v>-112.510446</v>
      </c>
      <c r="S888">
        <v>11.5611</v>
      </c>
      <c r="T888">
        <v>-40.272500000000001</v>
      </c>
      <c r="U888">
        <v>11.5611</v>
      </c>
      <c r="V888" t="s">
        <v>1536</v>
      </c>
      <c r="W888" t="s">
        <v>14</v>
      </c>
      <c r="X888" t="s">
        <v>18</v>
      </c>
      <c r="Y888" s="1" t="s">
        <v>725</v>
      </c>
    </row>
    <row r="889" spans="1:25" x14ac:dyDescent="0.25">
      <c r="A889" s="4">
        <v>1502</v>
      </c>
      <c r="B889" s="9" t="s">
        <v>732</v>
      </c>
      <c r="C889" s="8" t="s">
        <v>702</v>
      </c>
      <c r="D889" s="6" t="s">
        <v>308</v>
      </c>
      <c r="E889" s="10">
        <v>6</v>
      </c>
      <c r="F889">
        <v>23.242142314030598</v>
      </c>
      <c r="G889">
        <v>9.2198179851976008</v>
      </c>
      <c r="H889" t="s">
        <v>92</v>
      </c>
      <c r="I889" t="s">
        <v>266</v>
      </c>
      <c r="J889" t="s">
        <v>267</v>
      </c>
      <c r="K889" t="s">
        <v>1434</v>
      </c>
      <c r="L889">
        <v>278</v>
      </c>
      <c r="M889" t="s">
        <v>1453</v>
      </c>
      <c r="N889">
        <v>280</v>
      </c>
      <c r="O889" t="s">
        <v>1526</v>
      </c>
      <c r="P889" s="1" t="s">
        <v>715</v>
      </c>
      <c r="Q889" s="25">
        <v>35.835306000000003</v>
      </c>
      <c r="R889" s="25">
        <v>-112.510446</v>
      </c>
      <c r="S889">
        <v>11.5611</v>
      </c>
      <c r="T889">
        <v>-40.272500000000001</v>
      </c>
      <c r="U889">
        <v>11.5611</v>
      </c>
      <c r="V889" t="s">
        <v>1536</v>
      </c>
      <c r="W889" t="s">
        <v>14</v>
      </c>
      <c r="X889" t="s">
        <v>18</v>
      </c>
      <c r="Y889" s="1" t="s">
        <v>725</v>
      </c>
    </row>
    <row r="890" spans="1:25" x14ac:dyDescent="0.25">
      <c r="A890" s="4">
        <v>1504</v>
      </c>
      <c r="B890" s="9" t="s">
        <v>733</v>
      </c>
      <c r="C890" s="8" t="s">
        <v>702</v>
      </c>
      <c r="D890" s="6" t="s">
        <v>59</v>
      </c>
      <c r="E890" s="10">
        <v>5</v>
      </c>
      <c r="F890">
        <v>5.20199513895572</v>
      </c>
      <c r="G890">
        <v>2.05259920276107</v>
      </c>
      <c r="H890" t="s">
        <v>92</v>
      </c>
      <c r="I890" t="s">
        <v>266</v>
      </c>
      <c r="J890" t="s">
        <v>267</v>
      </c>
      <c r="K890" t="s">
        <v>1434</v>
      </c>
      <c r="L890">
        <v>278</v>
      </c>
      <c r="M890" t="s">
        <v>1453</v>
      </c>
      <c r="N890">
        <v>280</v>
      </c>
      <c r="O890" t="s">
        <v>1526</v>
      </c>
      <c r="P890" s="1" t="s">
        <v>715</v>
      </c>
      <c r="Q890" s="25">
        <v>35.835306000000003</v>
      </c>
      <c r="R890" s="25">
        <v>-112.510446</v>
      </c>
      <c r="S890">
        <v>11.5611</v>
      </c>
      <c r="T890">
        <v>-40.272500000000001</v>
      </c>
      <c r="U890">
        <v>11.5611</v>
      </c>
      <c r="V890" t="s">
        <v>1536</v>
      </c>
      <c r="W890" t="s">
        <v>14</v>
      </c>
      <c r="X890" t="s">
        <v>18</v>
      </c>
      <c r="Y890" s="1" t="s">
        <v>725</v>
      </c>
    </row>
    <row r="891" spans="1:25" x14ac:dyDescent="0.25">
      <c r="A891" s="4">
        <v>1507</v>
      </c>
      <c r="B891" s="9" t="s">
        <v>734</v>
      </c>
      <c r="C891" s="8" t="s">
        <v>702</v>
      </c>
      <c r="D891" s="6" t="s">
        <v>721</v>
      </c>
      <c r="E891" s="10">
        <v>6</v>
      </c>
      <c r="F891">
        <v>40.642998339751301</v>
      </c>
      <c r="G891">
        <v>19.609332720964101</v>
      </c>
      <c r="H891" t="s">
        <v>92</v>
      </c>
      <c r="I891" t="s">
        <v>266</v>
      </c>
      <c r="J891" t="s">
        <v>267</v>
      </c>
      <c r="K891" t="s">
        <v>1434</v>
      </c>
      <c r="L891">
        <v>278</v>
      </c>
      <c r="M891" t="s">
        <v>1453</v>
      </c>
      <c r="N891">
        <v>280</v>
      </c>
      <c r="O891" t="s">
        <v>1526</v>
      </c>
      <c r="P891" s="1" t="s">
        <v>715</v>
      </c>
      <c r="Q891" s="25">
        <v>35.835306000000003</v>
      </c>
      <c r="R891" s="25">
        <v>-112.510446</v>
      </c>
      <c r="S891">
        <v>11.5611</v>
      </c>
      <c r="T891">
        <v>-40.272500000000001</v>
      </c>
      <c r="U891">
        <v>11.5611</v>
      </c>
      <c r="V891" t="s">
        <v>1536</v>
      </c>
      <c r="W891" t="s">
        <v>14</v>
      </c>
      <c r="X891" t="s">
        <v>18</v>
      </c>
      <c r="Y891" s="1" t="s">
        <v>725</v>
      </c>
    </row>
    <row r="892" spans="1:25" x14ac:dyDescent="0.25">
      <c r="A892" s="4">
        <v>1508</v>
      </c>
      <c r="B892" s="9" t="s">
        <v>735</v>
      </c>
      <c r="C892" s="8" t="s">
        <v>702</v>
      </c>
      <c r="D892" s="6" t="s">
        <v>308</v>
      </c>
      <c r="E892" s="10">
        <v>6</v>
      </c>
      <c r="F892">
        <v>9.9807055922836696</v>
      </c>
      <c r="G892">
        <v>3.22592905515023</v>
      </c>
      <c r="H892" t="s">
        <v>92</v>
      </c>
      <c r="I892" t="s">
        <v>266</v>
      </c>
      <c r="J892" t="s">
        <v>267</v>
      </c>
      <c r="K892" t="s">
        <v>1434</v>
      </c>
      <c r="L892">
        <v>278</v>
      </c>
      <c r="M892" t="s">
        <v>1453</v>
      </c>
      <c r="N892">
        <v>280</v>
      </c>
      <c r="O892" t="s">
        <v>1526</v>
      </c>
      <c r="P892" s="1" t="s">
        <v>715</v>
      </c>
      <c r="Q892" s="25">
        <v>35.835306000000003</v>
      </c>
      <c r="R892" s="25">
        <v>-112.510446</v>
      </c>
      <c r="S892">
        <v>11.5611</v>
      </c>
      <c r="T892">
        <v>-40.272500000000001</v>
      </c>
      <c r="U892">
        <v>11.5611</v>
      </c>
      <c r="V892" t="s">
        <v>1536</v>
      </c>
      <c r="W892" t="s">
        <v>14</v>
      </c>
      <c r="X892" t="s">
        <v>18</v>
      </c>
      <c r="Y892" s="1" t="s">
        <v>736</v>
      </c>
    </row>
    <row r="893" spans="1:25" x14ac:dyDescent="0.25">
      <c r="A893" s="4">
        <v>1509</v>
      </c>
      <c r="B893" s="9" t="s">
        <v>738</v>
      </c>
      <c r="C893" s="8" t="s">
        <v>702</v>
      </c>
      <c r="D893" s="6" t="s">
        <v>308</v>
      </c>
      <c r="E893" s="10">
        <v>6</v>
      </c>
      <c r="F893">
        <v>29.927370535997198</v>
      </c>
      <c r="G893">
        <v>9.7603391567090707</v>
      </c>
      <c r="H893" t="s">
        <v>92</v>
      </c>
      <c r="I893" t="s">
        <v>266</v>
      </c>
      <c r="J893" t="s">
        <v>267</v>
      </c>
      <c r="K893" t="s">
        <v>1434</v>
      </c>
      <c r="L893">
        <v>278</v>
      </c>
      <c r="M893" t="s">
        <v>1453</v>
      </c>
      <c r="N893">
        <v>280</v>
      </c>
      <c r="O893" t="s">
        <v>1526</v>
      </c>
      <c r="P893" s="1" t="s">
        <v>715</v>
      </c>
      <c r="Q893" s="25">
        <v>35.835306000000003</v>
      </c>
      <c r="R893" s="25">
        <v>-112.510446</v>
      </c>
      <c r="S893">
        <v>11.5611</v>
      </c>
      <c r="T893">
        <v>-40.272500000000001</v>
      </c>
      <c r="U893">
        <v>11.5611</v>
      </c>
      <c r="V893" t="s">
        <v>1536</v>
      </c>
      <c r="W893" t="s">
        <v>14</v>
      </c>
      <c r="X893" t="s">
        <v>18</v>
      </c>
      <c r="Y893" s="1" t="s">
        <v>736</v>
      </c>
    </row>
    <row r="894" spans="1:25" x14ac:dyDescent="0.25">
      <c r="A894" s="4">
        <v>1510</v>
      </c>
      <c r="B894" s="9" t="s">
        <v>739</v>
      </c>
      <c r="C894" s="8" t="s">
        <v>702</v>
      </c>
      <c r="D894" s="6" t="s">
        <v>308</v>
      </c>
      <c r="E894" s="10">
        <v>6</v>
      </c>
      <c r="F894">
        <v>27.9842193243278</v>
      </c>
      <c r="G894">
        <v>8.5416820766786703</v>
      </c>
      <c r="H894" t="s">
        <v>92</v>
      </c>
      <c r="I894" t="s">
        <v>266</v>
      </c>
      <c r="J894" t="s">
        <v>267</v>
      </c>
      <c r="K894" t="s">
        <v>1434</v>
      </c>
      <c r="L894">
        <v>278</v>
      </c>
      <c r="M894" t="s">
        <v>1453</v>
      </c>
      <c r="N894">
        <v>280</v>
      </c>
      <c r="O894" t="s">
        <v>1526</v>
      </c>
      <c r="P894" s="1" t="s">
        <v>715</v>
      </c>
      <c r="Q894" s="25">
        <v>35.835306000000003</v>
      </c>
      <c r="R894" s="25">
        <v>-112.510446</v>
      </c>
      <c r="S894">
        <v>11.5611</v>
      </c>
      <c r="T894">
        <v>-40.272500000000001</v>
      </c>
      <c r="U894">
        <v>11.5611</v>
      </c>
      <c r="V894" t="s">
        <v>1536</v>
      </c>
      <c r="W894" t="s">
        <v>14</v>
      </c>
      <c r="X894" t="s">
        <v>18</v>
      </c>
      <c r="Y894" s="1" t="s">
        <v>736</v>
      </c>
    </row>
    <row r="895" spans="1:25" x14ac:dyDescent="0.25">
      <c r="A895" s="4">
        <v>1511</v>
      </c>
      <c r="B895" s="9" t="s">
        <v>741</v>
      </c>
      <c r="C895" s="8" t="s">
        <v>49</v>
      </c>
      <c r="D895" s="6" t="s">
        <v>721</v>
      </c>
      <c r="E895" s="10">
        <v>6</v>
      </c>
      <c r="F895">
        <v>66.210954791398095</v>
      </c>
      <c r="G895">
        <v>31.826305305899801</v>
      </c>
      <c r="H895" t="s">
        <v>92</v>
      </c>
      <c r="I895" t="s">
        <v>266</v>
      </c>
      <c r="J895" t="s">
        <v>267</v>
      </c>
      <c r="K895" t="s">
        <v>1434</v>
      </c>
      <c r="L895">
        <v>278</v>
      </c>
      <c r="M895" t="s">
        <v>1453</v>
      </c>
      <c r="N895">
        <v>280</v>
      </c>
      <c r="O895" t="s">
        <v>1526</v>
      </c>
      <c r="P895" s="1" t="s">
        <v>715</v>
      </c>
      <c r="Q895" s="25">
        <v>35.835306000000003</v>
      </c>
      <c r="R895" s="25">
        <v>-112.510446</v>
      </c>
      <c r="S895">
        <v>11.5611</v>
      </c>
      <c r="T895">
        <v>-40.272500000000001</v>
      </c>
      <c r="U895">
        <v>11.5611</v>
      </c>
      <c r="V895" t="s">
        <v>1536</v>
      </c>
      <c r="W895" t="s">
        <v>14</v>
      </c>
      <c r="X895" t="s">
        <v>18</v>
      </c>
      <c r="Y895" s="1" t="s">
        <v>743</v>
      </c>
    </row>
    <row r="896" spans="1:25" x14ac:dyDescent="0.25">
      <c r="A896" s="4">
        <v>1512</v>
      </c>
      <c r="B896" s="9" t="s">
        <v>742</v>
      </c>
      <c r="C896" s="8" t="s">
        <v>49</v>
      </c>
      <c r="D896" s="6" t="s">
        <v>721</v>
      </c>
      <c r="E896" s="10">
        <v>6</v>
      </c>
      <c r="F896">
        <v>56.848145652470301</v>
      </c>
      <c r="G896">
        <v>26.382226190480299</v>
      </c>
      <c r="H896" t="s">
        <v>92</v>
      </c>
      <c r="I896" t="s">
        <v>266</v>
      </c>
      <c r="J896" t="s">
        <v>267</v>
      </c>
      <c r="K896" t="s">
        <v>1434</v>
      </c>
      <c r="L896">
        <v>278</v>
      </c>
      <c r="M896" t="s">
        <v>1453</v>
      </c>
      <c r="N896">
        <v>280</v>
      </c>
      <c r="O896" t="s">
        <v>1526</v>
      </c>
      <c r="P896" s="1" t="s">
        <v>715</v>
      </c>
      <c r="Q896" s="25">
        <v>35.835306000000003</v>
      </c>
      <c r="R896" s="25">
        <v>-112.510446</v>
      </c>
      <c r="S896">
        <v>11.5611</v>
      </c>
      <c r="T896">
        <v>-40.272500000000001</v>
      </c>
      <c r="U896">
        <v>11.5611</v>
      </c>
      <c r="V896" t="s">
        <v>1536</v>
      </c>
      <c r="W896" t="s">
        <v>14</v>
      </c>
      <c r="X896" t="s">
        <v>18</v>
      </c>
      <c r="Y896" s="1" t="s">
        <v>743</v>
      </c>
    </row>
    <row r="897" spans="1:25" x14ac:dyDescent="0.25">
      <c r="A897" s="4">
        <v>1513</v>
      </c>
      <c r="B897" s="9" t="s">
        <v>741</v>
      </c>
      <c r="C897" s="8" t="s">
        <v>29</v>
      </c>
      <c r="D897" s="6" t="s">
        <v>28</v>
      </c>
      <c r="E897" s="10">
        <v>6</v>
      </c>
      <c r="F897">
        <v>40.406421184227497</v>
      </c>
      <c r="G897">
        <v>23.461484719143101</v>
      </c>
      <c r="H897" t="s">
        <v>92</v>
      </c>
      <c r="I897" t="s">
        <v>266</v>
      </c>
      <c r="J897" t="s">
        <v>267</v>
      </c>
      <c r="K897" t="s">
        <v>1434</v>
      </c>
      <c r="L897">
        <v>278</v>
      </c>
      <c r="M897" t="s">
        <v>1453</v>
      </c>
      <c r="N897">
        <v>280</v>
      </c>
      <c r="O897" t="s">
        <v>1526</v>
      </c>
      <c r="P897" s="1" t="s">
        <v>715</v>
      </c>
      <c r="Q897" s="25">
        <v>35.835306000000003</v>
      </c>
      <c r="R897" s="25">
        <v>-112.510446</v>
      </c>
      <c r="S897">
        <v>11.5611</v>
      </c>
      <c r="T897">
        <v>-40.272500000000001</v>
      </c>
      <c r="U897">
        <v>11.5611</v>
      </c>
      <c r="V897" t="s">
        <v>1536</v>
      </c>
      <c r="W897" t="s">
        <v>14</v>
      </c>
      <c r="X897" t="s">
        <v>18</v>
      </c>
      <c r="Y897" s="1" t="s">
        <v>746</v>
      </c>
    </row>
    <row r="898" spans="1:25" x14ac:dyDescent="0.25">
      <c r="A898" s="4">
        <v>1514</v>
      </c>
      <c r="B898" s="9" t="s">
        <v>748</v>
      </c>
      <c r="C898" s="8" t="s">
        <v>29</v>
      </c>
      <c r="D898" s="6" t="s">
        <v>721</v>
      </c>
      <c r="E898" s="10">
        <v>6</v>
      </c>
      <c r="F898">
        <v>18.935329917313599</v>
      </c>
      <c r="G898">
        <v>6.8167735393651396</v>
      </c>
      <c r="H898" t="s">
        <v>92</v>
      </c>
      <c r="I898" t="s">
        <v>266</v>
      </c>
      <c r="J898" t="s">
        <v>267</v>
      </c>
      <c r="K898" t="s">
        <v>1434</v>
      </c>
      <c r="L898">
        <v>278</v>
      </c>
      <c r="M898" t="s">
        <v>1453</v>
      </c>
      <c r="N898">
        <v>280</v>
      </c>
      <c r="O898" t="s">
        <v>1526</v>
      </c>
      <c r="P898" s="1" t="s">
        <v>715</v>
      </c>
      <c r="Q898" s="25">
        <v>35.835306000000003</v>
      </c>
      <c r="R898" s="25">
        <v>-112.510446</v>
      </c>
      <c r="S898">
        <v>11.5611</v>
      </c>
      <c r="T898">
        <v>-40.272500000000001</v>
      </c>
      <c r="U898">
        <v>11.5611</v>
      </c>
      <c r="V898" t="s">
        <v>1536</v>
      </c>
      <c r="W898" t="s">
        <v>14</v>
      </c>
      <c r="X898" t="s">
        <v>18</v>
      </c>
      <c r="Y898" s="1" t="s">
        <v>746</v>
      </c>
    </row>
    <row r="899" spans="1:25" x14ac:dyDescent="0.25">
      <c r="A899" s="4">
        <v>1515</v>
      </c>
      <c r="B899" s="9" t="s">
        <v>750</v>
      </c>
      <c r="C899" s="8" t="s">
        <v>749</v>
      </c>
      <c r="D899" s="6" t="s">
        <v>28</v>
      </c>
      <c r="E899" s="10">
        <v>6</v>
      </c>
      <c r="F899">
        <v>48.6905562739868</v>
      </c>
      <c r="G899">
        <v>27.324377790200899</v>
      </c>
      <c r="H899" t="s">
        <v>92</v>
      </c>
      <c r="I899" t="s">
        <v>266</v>
      </c>
      <c r="J899" t="s">
        <v>267</v>
      </c>
      <c r="K899" t="s">
        <v>1434</v>
      </c>
      <c r="L899">
        <v>278</v>
      </c>
      <c r="M899" t="s">
        <v>1453</v>
      </c>
      <c r="N899">
        <v>280</v>
      </c>
      <c r="O899" t="s">
        <v>1526</v>
      </c>
      <c r="P899" s="1" t="s">
        <v>715</v>
      </c>
      <c r="Q899" s="25">
        <v>35.835306000000003</v>
      </c>
      <c r="R899" s="25">
        <v>-112.510446</v>
      </c>
      <c r="S899">
        <v>11.5611</v>
      </c>
      <c r="T899">
        <v>-40.272500000000001</v>
      </c>
      <c r="U899">
        <v>11.5611</v>
      </c>
      <c r="V899" t="s">
        <v>1536</v>
      </c>
      <c r="W899" t="s">
        <v>14</v>
      </c>
      <c r="X899" t="s">
        <v>18</v>
      </c>
      <c r="Y899" s="1" t="s">
        <v>746</v>
      </c>
    </row>
    <row r="900" spans="1:25" x14ac:dyDescent="0.25">
      <c r="A900" s="4">
        <v>1516</v>
      </c>
      <c r="B900" s="9" t="s">
        <v>773</v>
      </c>
      <c r="C900" s="8" t="s">
        <v>702</v>
      </c>
      <c r="D900" s="6" t="s">
        <v>308</v>
      </c>
      <c r="E900" s="10">
        <v>6</v>
      </c>
      <c r="F900">
        <v>32.479403308944399</v>
      </c>
      <c r="G900">
        <v>11.163955652085001</v>
      </c>
      <c r="H900" t="s">
        <v>92</v>
      </c>
      <c r="I900" t="s">
        <v>266</v>
      </c>
      <c r="J900" t="s">
        <v>267</v>
      </c>
      <c r="K900" t="s">
        <v>1434</v>
      </c>
      <c r="L900">
        <v>278</v>
      </c>
      <c r="M900" t="s">
        <v>1453</v>
      </c>
      <c r="N900">
        <v>280</v>
      </c>
      <c r="O900" s="1" t="s">
        <v>1442</v>
      </c>
      <c r="P900" s="1" t="s">
        <v>1441</v>
      </c>
      <c r="Q900" s="25">
        <v>36.988166999999997</v>
      </c>
      <c r="R900" s="25">
        <v>-110.23512100000001</v>
      </c>
      <c r="S900">
        <v>11.365</v>
      </c>
      <c r="T900">
        <v>-38.073900000000002</v>
      </c>
      <c r="U900">
        <v>11.365</v>
      </c>
      <c r="V900" t="s">
        <v>1536</v>
      </c>
      <c r="W900" t="s">
        <v>14</v>
      </c>
      <c r="X900" t="s">
        <v>18</v>
      </c>
      <c r="Y900" s="1" t="s">
        <v>776</v>
      </c>
    </row>
    <row r="901" spans="1:25" x14ac:dyDescent="0.25">
      <c r="A901" s="4">
        <v>1517</v>
      </c>
      <c r="B901" s="9" t="s">
        <v>774</v>
      </c>
      <c r="C901" s="8" t="s">
        <v>702</v>
      </c>
      <c r="D901" s="6" t="s">
        <v>308</v>
      </c>
      <c r="E901" s="10">
        <v>6</v>
      </c>
      <c r="F901">
        <v>38.460205667030998</v>
      </c>
      <c r="G901">
        <v>12.0254049943892</v>
      </c>
      <c r="H901" t="s">
        <v>92</v>
      </c>
      <c r="I901" t="s">
        <v>266</v>
      </c>
      <c r="J901" t="s">
        <v>267</v>
      </c>
      <c r="K901" t="s">
        <v>1434</v>
      </c>
      <c r="L901">
        <v>278</v>
      </c>
      <c r="M901" t="s">
        <v>1453</v>
      </c>
      <c r="N901">
        <v>280</v>
      </c>
      <c r="O901" s="1" t="s">
        <v>1442</v>
      </c>
      <c r="P901" s="1" t="s">
        <v>1441</v>
      </c>
      <c r="Q901" s="25">
        <v>36.988166999999997</v>
      </c>
      <c r="R901" s="25">
        <v>-110.23512100000001</v>
      </c>
      <c r="S901">
        <v>11.365</v>
      </c>
      <c r="T901">
        <v>-38.073900000000002</v>
      </c>
      <c r="U901">
        <v>11.365</v>
      </c>
      <c r="V901" t="s">
        <v>1536</v>
      </c>
      <c r="W901" t="s">
        <v>14</v>
      </c>
      <c r="X901" t="s">
        <v>18</v>
      </c>
      <c r="Y901" s="1" t="s">
        <v>776</v>
      </c>
    </row>
    <row r="902" spans="1:25" x14ac:dyDescent="0.25">
      <c r="A902" s="4">
        <v>1518</v>
      </c>
      <c r="B902" s="9" t="s">
        <v>777</v>
      </c>
      <c r="C902" s="8" t="s">
        <v>702</v>
      </c>
      <c r="D902" s="6" t="s">
        <v>308</v>
      </c>
      <c r="E902" s="10">
        <v>6</v>
      </c>
      <c r="F902">
        <v>25.4039279174387</v>
      </c>
      <c r="G902">
        <v>7.28232030208199</v>
      </c>
      <c r="H902" t="s">
        <v>92</v>
      </c>
      <c r="I902" t="s">
        <v>266</v>
      </c>
      <c r="J902" t="s">
        <v>267</v>
      </c>
      <c r="K902" t="s">
        <v>1434</v>
      </c>
      <c r="L902">
        <v>278</v>
      </c>
      <c r="M902" t="s">
        <v>1453</v>
      </c>
      <c r="N902">
        <v>280</v>
      </c>
      <c r="O902" s="1" t="s">
        <v>1442</v>
      </c>
      <c r="P902" s="1" t="s">
        <v>1441</v>
      </c>
      <c r="Q902" s="25">
        <v>36.988166999999997</v>
      </c>
      <c r="R902" s="25">
        <v>-110.23512100000001</v>
      </c>
      <c r="S902">
        <v>11.365</v>
      </c>
      <c r="T902">
        <v>-38.073900000000002</v>
      </c>
      <c r="U902">
        <v>11.365</v>
      </c>
      <c r="V902" t="s">
        <v>1536</v>
      </c>
      <c r="W902" t="s">
        <v>14</v>
      </c>
      <c r="X902" t="s">
        <v>18</v>
      </c>
      <c r="Y902" s="1" t="s">
        <v>776</v>
      </c>
    </row>
    <row r="903" spans="1:25" x14ac:dyDescent="0.25">
      <c r="A903" s="4">
        <v>1519</v>
      </c>
      <c r="B903" s="9" t="s">
        <v>778</v>
      </c>
      <c r="C903" s="8" t="s">
        <v>702</v>
      </c>
      <c r="D903" s="6" t="s">
        <v>721</v>
      </c>
      <c r="E903" s="10">
        <v>6</v>
      </c>
      <c r="F903">
        <v>58.131601469696299</v>
      </c>
      <c r="G903">
        <v>25.687272112633899</v>
      </c>
      <c r="H903" t="s">
        <v>92</v>
      </c>
      <c r="I903" t="s">
        <v>266</v>
      </c>
      <c r="J903" t="s">
        <v>267</v>
      </c>
      <c r="K903" t="s">
        <v>1434</v>
      </c>
      <c r="L903">
        <v>278</v>
      </c>
      <c r="M903" t="s">
        <v>1453</v>
      </c>
      <c r="N903">
        <v>280</v>
      </c>
      <c r="O903" s="1" t="s">
        <v>1442</v>
      </c>
      <c r="P903" s="1" t="s">
        <v>1441</v>
      </c>
      <c r="Q903" s="25">
        <v>36.988166999999997</v>
      </c>
      <c r="R903" s="25">
        <v>-110.23512100000001</v>
      </c>
      <c r="S903">
        <v>11.365</v>
      </c>
      <c r="T903">
        <v>-38.073900000000002</v>
      </c>
      <c r="U903">
        <v>11.365</v>
      </c>
      <c r="V903" t="s">
        <v>1536</v>
      </c>
      <c r="W903" t="s">
        <v>14</v>
      </c>
      <c r="X903" t="s">
        <v>18</v>
      </c>
      <c r="Y903" s="1" t="s">
        <v>776</v>
      </c>
    </row>
    <row r="904" spans="1:25" x14ac:dyDescent="0.25">
      <c r="A904" s="4">
        <v>1520</v>
      </c>
      <c r="B904" s="9" t="s">
        <v>779</v>
      </c>
      <c r="C904" s="8" t="s">
        <v>702</v>
      </c>
      <c r="D904" s="6" t="s">
        <v>721</v>
      </c>
      <c r="E904" s="10">
        <v>6</v>
      </c>
      <c r="F904">
        <v>50.130806215613397</v>
      </c>
      <c r="G904">
        <v>26.061382731546502</v>
      </c>
      <c r="H904" t="s">
        <v>92</v>
      </c>
      <c r="I904" t="s">
        <v>266</v>
      </c>
      <c r="J904" t="s">
        <v>267</v>
      </c>
      <c r="K904" t="s">
        <v>1434</v>
      </c>
      <c r="L904">
        <v>278</v>
      </c>
      <c r="M904" t="s">
        <v>1453</v>
      </c>
      <c r="N904">
        <v>280</v>
      </c>
      <c r="O904" s="1" t="s">
        <v>1442</v>
      </c>
      <c r="P904" s="1" t="s">
        <v>1441</v>
      </c>
      <c r="Q904" s="25">
        <v>36.988166999999997</v>
      </c>
      <c r="R904" s="25">
        <v>-110.23512100000001</v>
      </c>
      <c r="S904">
        <v>11.365</v>
      </c>
      <c r="T904">
        <v>-38.073900000000002</v>
      </c>
      <c r="U904">
        <v>11.365</v>
      </c>
      <c r="V904" t="s">
        <v>1536</v>
      </c>
      <c r="W904" t="s">
        <v>14</v>
      </c>
      <c r="X904" t="s">
        <v>18</v>
      </c>
      <c r="Y904" s="1" t="s">
        <v>776</v>
      </c>
    </row>
    <row r="905" spans="1:25" x14ac:dyDescent="0.25">
      <c r="A905" s="4">
        <v>1521</v>
      </c>
      <c r="B905" s="9" t="s">
        <v>780</v>
      </c>
      <c r="C905" s="8" t="s">
        <v>702</v>
      </c>
      <c r="D905" s="6" t="s">
        <v>721</v>
      </c>
      <c r="E905" s="10">
        <v>6</v>
      </c>
      <c r="F905">
        <v>56.860785938976299</v>
      </c>
      <c r="G905">
        <v>21.621502175221998</v>
      </c>
      <c r="H905" t="s">
        <v>92</v>
      </c>
      <c r="I905" t="s">
        <v>266</v>
      </c>
      <c r="J905" t="s">
        <v>267</v>
      </c>
      <c r="K905" t="s">
        <v>1434</v>
      </c>
      <c r="L905">
        <v>278</v>
      </c>
      <c r="M905" t="s">
        <v>1453</v>
      </c>
      <c r="N905">
        <v>280</v>
      </c>
      <c r="O905" s="1" t="s">
        <v>1442</v>
      </c>
      <c r="P905" s="1" t="s">
        <v>1441</v>
      </c>
      <c r="Q905" s="25">
        <v>36.988166999999997</v>
      </c>
      <c r="R905" s="25">
        <v>-110.23512100000001</v>
      </c>
      <c r="S905">
        <v>11.365</v>
      </c>
      <c r="T905">
        <v>-38.073900000000002</v>
      </c>
      <c r="U905">
        <v>11.365</v>
      </c>
      <c r="V905" t="s">
        <v>1536</v>
      </c>
      <c r="W905" t="s">
        <v>14</v>
      </c>
      <c r="X905" t="s">
        <v>18</v>
      </c>
      <c r="Y905" s="1" t="s">
        <v>776</v>
      </c>
    </row>
    <row r="906" spans="1:25" x14ac:dyDescent="0.25">
      <c r="A906" s="4">
        <v>1522</v>
      </c>
      <c r="B906" s="9" t="s">
        <v>782</v>
      </c>
      <c r="C906" s="8" t="s">
        <v>781</v>
      </c>
      <c r="D906" s="6" t="s">
        <v>721</v>
      </c>
      <c r="E906" s="10">
        <v>6</v>
      </c>
      <c r="F906">
        <v>57.707969639988299</v>
      </c>
      <c r="G906">
        <v>28.696381581504099</v>
      </c>
      <c r="H906" t="s">
        <v>92</v>
      </c>
      <c r="I906" t="s">
        <v>266</v>
      </c>
      <c r="J906" t="s">
        <v>267</v>
      </c>
      <c r="K906" t="s">
        <v>1434</v>
      </c>
      <c r="L906">
        <v>278</v>
      </c>
      <c r="M906" t="s">
        <v>1453</v>
      </c>
      <c r="N906">
        <v>280</v>
      </c>
      <c r="O906" s="1" t="s">
        <v>1442</v>
      </c>
      <c r="P906" s="1" t="s">
        <v>1441</v>
      </c>
      <c r="Q906" s="25">
        <v>36.988166999999997</v>
      </c>
      <c r="R906" s="25">
        <v>-110.23512100000001</v>
      </c>
      <c r="S906">
        <v>11.365</v>
      </c>
      <c r="T906">
        <v>-38.073900000000002</v>
      </c>
      <c r="U906">
        <v>11.365</v>
      </c>
      <c r="V906" t="s">
        <v>1536</v>
      </c>
      <c r="W906" t="s">
        <v>14</v>
      </c>
      <c r="X906" t="s">
        <v>18</v>
      </c>
      <c r="Y906" s="1" t="s">
        <v>776</v>
      </c>
    </row>
    <row r="907" spans="1:25" x14ac:dyDescent="0.25">
      <c r="A907" s="4">
        <v>1524</v>
      </c>
      <c r="B907" s="9" t="s">
        <v>787</v>
      </c>
      <c r="C907" s="8" t="s">
        <v>29</v>
      </c>
      <c r="D907" s="6" t="s">
        <v>721</v>
      </c>
      <c r="E907" s="10">
        <v>6</v>
      </c>
      <c r="F907">
        <v>96.6276964204433</v>
      </c>
      <c r="G907">
        <v>49.633389576818097</v>
      </c>
      <c r="H907" t="s">
        <v>92</v>
      </c>
      <c r="I907" t="s">
        <v>266</v>
      </c>
      <c r="J907" t="s">
        <v>267</v>
      </c>
      <c r="K907" t="s">
        <v>1434</v>
      </c>
      <c r="L907">
        <v>278</v>
      </c>
      <c r="M907" t="s">
        <v>1453</v>
      </c>
      <c r="N907">
        <v>280</v>
      </c>
      <c r="O907" s="1" t="s">
        <v>1442</v>
      </c>
      <c r="P907" s="1" t="s">
        <v>1441</v>
      </c>
      <c r="Q907" s="25">
        <v>36.988166999999997</v>
      </c>
      <c r="R907" s="25">
        <v>-110.23512100000001</v>
      </c>
      <c r="S907">
        <v>11.365</v>
      </c>
      <c r="T907">
        <v>-38.073900000000002</v>
      </c>
      <c r="U907">
        <v>11.365</v>
      </c>
      <c r="V907" t="s">
        <v>1536</v>
      </c>
      <c r="W907" t="s">
        <v>14</v>
      </c>
      <c r="X907" t="s">
        <v>18</v>
      </c>
      <c r="Y907" s="1" t="s">
        <v>786</v>
      </c>
    </row>
    <row r="908" spans="1:25" x14ac:dyDescent="0.25">
      <c r="A908" s="4">
        <v>1525</v>
      </c>
      <c r="B908" s="9">
        <v>139.77000000000001</v>
      </c>
      <c r="C908" s="8" t="s">
        <v>788</v>
      </c>
      <c r="D908" s="6" t="s">
        <v>534</v>
      </c>
      <c r="E908" s="10">
        <v>6</v>
      </c>
      <c r="F908">
        <v>58.197464569204101</v>
      </c>
      <c r="G908">
        <v>31.060387625584699</v>
      </c>
      <c r="H908" t="s">
        <v>92</v>
      </c>
      <c r="I908" t="s">
        <v>266</v>
      </c>
      <c r="J908" t="s">
        <v>267</v>
      </c>
      <c r="K908" t="s">
        <v>1434</v>
      </c>
      <c r="L908">
        <v>278</v>
      </c>
      <c r="M908" t="s">
        <v>1453</v>
      </c>
      <c r="N908">
        <v>280</v>
      </c>
      <c r="O908" s="1" t="s">
        <v>1442</v>
      </c>
      <c r="P908" s="1" t="s">
        <v>1441</v>
      </c>
      <c r="Q908" s="25">
        <v>36.988166999999997</v>
      </c>
      <c r="R908" s="25">
        <v>-110.23512100000001</v>
      </c>
      <c r="S908">
        <v>11.365</v>
      </c>
      <c r="T908">
        <v>-38.073900000000002</v>
      </c>
      <c r="U908">
        <v>11.365</v>
      </c>
      <c r="V908" t="s">
        <v>1536</v>
      </c>
      <c r="W908" t="s">
        <v>14</v>
      </c>
      <c r="X908" t="s">
        <v>18</v>
      </c>
      <c r="Y908" s="1" t="s">
        <v>786</v>
      </c>
    </row>
    <row r="909" spans="1:25" x14ac:dyDescent="0.25">
      <c r="A909" s="4">
        <v>1526</v>
      </c>
      <c r="B909" s="9" t="s">
        <v>741</v>
      </c>
      <c r="C909" s="8" t="s">
        <v>49</v>
      </c>
      <c r="D909" s="6" t="s">
        <v>308</v>
      </c>
      <c r="E909" s="10">
        <v>6</v>
      </c>
      <c r="F909">
        <v>25.4515376820051</v>
      </c>
      <c r="G909">
        <v>6.3368288587523001</v>
      </c>
      <c r="H909" t="s">
        <v>92</v>
      </c>
      <c r="I909" t="s">
        <v>266</v>
      </c>
      <c r="J909" t="s">
        <v>267</v>
      </c>
      <c r="K909" t="s">
        <v>1434</v>
      </c>
      <c r="L909">
        <v>278</v>
      </c>
      <c r="M909" t="s">
        <v>1453</v>
      </c>
      <c r="N909">
        <v>280</v>
      </c>
      <c r="O909" t="s">
        <v>1529</v>
      </c>
      <c r="P909" s="1" t="s">
        <v>790</v>
      </c>
      <c r="Q909" s="25">
        <v>40.066625000000002</v>
      </c>
      <c r="R909" s="25">
        <v>-105.304261</v>
      </c>
      <c r="S909">
        <v>9.9007000000000005</v>
      </c>
      <c r="T909">
        <v>-29.616599999999998</v>
      </c>
      <c r="U909">
        <v>9.9007000000000005</v>
      </c>
      <c r="V909" t="s">
        <v>1536</v>
      </c>
      <c r="W909" t="s">
        <v>14</v>
      </c>
      <c r="X909" t="s">
        <v>18</v>
      </c>
      <c r="Y909" s="1" t="s">
        <v>791</v>
      </c>
    </row>
    <row r="910" spans="1:25" x14ac:dyDescent="0.25">
      <c r="A910" s="4">
        <v>1527</v>
      </c>
      <c r="B910" s="9">
        <v>31689</v>
      </c>
      <c r="C910" s="8" t="s">
        <v>795</v>
      </c>
      <c r="D910" s="6" t="s">
        <v>308</v>
      </c>
      <c r="E910" s="10">
        <v>6</v>
      </c>
      <c r="F910">
        <v>22.310727132094101</v>
      </c>
      <c r="G910">
        <v>6.2050165303039</v>
      </c>
      <c r="H910" t="s">
        <v>92</v>
      </c>
      <c r="I910" t="s">
        <v>266</v>
      </c>
      <c r="J910" t="s">
        <v>267</v>
      </c>
      <c r="K910" t="s">
        <v>1434</v>
      </c>
      <c r="L910">
        <v>278</v>
      </c>
      <c r="M910" t="s">
        <v>1453</v>
      </c>
      <c r="N910">
        <v>280</v>
      </c>
      <c r="O910" t="s">
        <v>1529</v>
      </c>
      <c r="P910" s="1" t="s">
        <v>790</v>
      </c>
      <c r="Q910" s="25">
        <v>40.066625000000002</v>
      </c>
      <c r="R910" s="25">
        <v>-105.304261</v>
      </c>
      <c r="S910">
        <v>9.9007000000000005</v>
      </c>
      <c r="T910">
        <v>-29.616599999999998</v>
      </c>
      <c r="U910">
        <v>9.9007000000000005</v>
      </c>
      <c r="V910" t="s">
        <v>1536</v>
      </c>
      <c r="W910" t="s">
        <v>14</v>
      </c>
      <c r="X910" t="s">
        <v>18</v>
      </c>
      <c r="Y910" s="1" t="s">
        <v>794</v>
      </c>
    </row>
    <row r="911" spans="1:25" x14ac:dyDescent="0.25">
      <c r="A911" s="4">
        <v>1528</v>
      </c>
      <c r="B911" s="9">
        <v>31690</v>
      </c>
      <c r="C911" s="8" t="s">
        <v>795</v>
      </c>
      <c r="D911" s="6" t="s">
        <v>308</v>
      </c>
      <c r="E911" s="10">
        <v>6</v>
      </c>
      <c r="F911">
        <v>25.992101084428199</v>
      </c>
      <c r="G911">
        <v>4.0282286020708504</v>
      </c>
      <c r="H911" t="s">
        <v>92</v>
      </c>
      <c r="I911" t="s">
        <v>266</v>
      </c>
      <c r="J911" t="s">
        <v>267</v>
      </c>
      <c r="K911" t="s">
        <v>1434</v>
      </c>
      <c r="L911">
        <v>278</v>
      </c>
      <c r="M911" t="s">
        <v>1453</v>
      </c>
      <c r="N911">
        <v>280</v>
      </c>
      <c r="O911" t="s">
        <v>1529</v>
      </c>
      <c r="P911" s="1" t="s">
        <v>790</v>
      </c>
      <c r="Q911" s="25">
        <v>40.066625000000002</v>
      </c>
      <c r="R911" s="25">
        <v>-105.304261</v>
      </c>
      <c r="S911">
        <v>9.9007000000000005</v>
      </c>
      <c r="T911">
        <v>-29.616599999999998</v>
      </c>
      <c r="U911">
        <v>9.9007000000000005</v>
      </c>
      <c r="V911" t="s">
        <v>1536</v>
      </c>
      <c r="W911" t="s">
        <v>14</v>
      </c>
      <c r="X911" t="s">
        <v>18</v>
      </c>
      <c r="Y911" s="1" t="s">
        <v>794</v>
      </c>
    </row>
    <row r="912" spans="1:25" x14ac:dyDescent="0.25">
      <c r="A912" s="4">
        <v>1529</v>
      </c>
      <c r="B912" s="9" t="s">
        <v>799</v>
      </c>
      <c r="C912" s="8" t="s">
        <v>49</v>
      </c>
      <c r="D912" s="6" t="s">
        <v>308</v>
      </c>
      <c r="E912" s="10">
        <v>6</v>
      </c>
      <c r="F912">
        <v>23.0080453149879</v>
      </c>
      <c r="G912">
        <v>3.5520366639885999</v>
      </c>
      <c r="H912" t="s">
        <v>92</v>
      </c>
      <c r="I912" t="s">
        <v>266</v>
      </c>
      <c r="J912" t="s">
        <v>267</v>
      </c>
      <c r="K912" t="s">
        <v>1434</v>
      </c>
      <c r="L912">
        <v>278</v>
      </c>
      <c r="M912" t="s">
        <v>1453</v>
      </c>
      <c r="N912">
        <v>280</v>
      </c>
      <c r="O912" t="s">
        <v>1529</v>
      </c>
      <c r="P912" s="1" t="s">
        <v>790</v>
      </c>
      <c r="Q912" s="25">
        <v>40.066625000000002</v>
      </c>
      <c r="R912" s="25">
        <v>-105.304261</v>
      </c>
      <c r="S912">
        <v>9.9007000000000005</v>
      </c>
      <c r="T912">
        <v>-29.616599999999998</v>
      </c>
      <c r="U912">
        <v>9.9007000000000005</v>
      </c>
      <c r="V912" t="s">
        <v>1536</v>
      </c>
      <c r="W912" t="s">
        <v>14</v>
      </c>
      <c r="X912" t="s">
        <v>18</v>
      </c>
      <c r="Y912" s="1" t="s">
        <v>798</v>
      </c>
    </row>
    <row r="913" spans="1:25" x14ac:dyDescent="0.25">
      <c r="A913" s="4">
        <v>1530</v>
      </c>
      <c r="B913" s="9">
        <v>98804</v>
      </c>
      <c r="C913" s="8" t="s">
        <v>818</v>
      </c>
      <c r="D913" s="6" t="s">
        <v>28</v>
      </c>
      <c r="E913" s="10">
        <v>6</v>
      </c>
      <c r="F913">
        <v>23.842751183814698</v>
      </c>
      <c r="G913">
        <v>18.590985504599001</v>
      </c>
      <c r="H913" t="s">
        <v>425</v>
      </c>
      <c r="I913" t="s">
        <v>266</v>
      </c>
      <c r="J913" t="s">
        <v>267</v>
      </c>
      <c r="L913">
        <v>286</v>
      </c>
      <c r="M913" t="s">
        <v>1453</v>
      </c>
      <c r="N913">
        <v>280</v>
      </c>
      <c r="O913" t="s">
        <v>426</v>
      </c>
      <c r="P913" s="1" t="s">
        <v>809</v>
      </c>
      <c r="Q913" s="25">
        <v>-81.309719000000001</v>
      </c>
      <c r="R913" s="26">
        <v>159.46784</v>
      </c>
      <c r="S913">
        <v>-85.708600000000004</v>
      </c>
      <c r="T913">
        <v>151.2764</v>
      </c>
      <c r="U913">
        <v>85.708600000000004</v>
      </c>
      <c r="V913" t="s">
        <v>1539</v>
      </c>
      <c r="W913" t="s">
        <v>15</v>
      </c>
      <c r="X913" t="s">
        <v>17</v>
      </c>
      <c r="Y913" s="1" t="s">
        <v>816</v>
      </c>
    </row>
    <row r="914" spans="1:25" x14ac:dyDescent="0.25">
      <c r="A914" s="4">
        <v>1531</v>
      </c>
      <c r="B914" s="9">
        <v>98806</v>
      </c>
      <c r="C914" s="8" t="s">
        <v>818</v>
      </c>
      <c r="D914" s="6" t="s">
        <v>28</v>
      </c>
      <c r="E914" s="10">
        <v>6</v>
      </c>
      <c r="F914">
        <v>10.8062570433371</v>
      </c>
      <c r="G914">
        <v>7.3384722087718597</v>
      </c>
      <c r="H914" t="s">
        <v>425</v>
      </c>
      <c r="I914" t="s">
        <v>266</v>
      </c>
      <c r="J914" t="s">
        <v>267</v>
      </c>
      <c r="L914">
        <v>286</v>
      </c>
      <c r="M914" t="s">
        <v>1453</v>
      </c>
      <c r="N914">
        <v>280</v>
      </c>
      <c r="O914" t="s">
        <v>426</v>
      </c>
      <c r="P914" s="1" t="s">
        <v>809</v>
      </c>
      <c r="Q914" s="25">
        <v>-81.309719000000001</v>
      </c>
      <c r="R914" s="26">
        <v>159.46784</v>
      </c>
      <c r="S914">
        <v>-85.708600000000004</v>
      </c>
      <c r="T914">
        <v>151.2764</v>
      </c>
      <c r="U914">
        <v>85.708600000000004</v>
      </c>
      <c r="V914" t="s">
        <v>1539</v>
      </c>
      <c r="W914" t="s">
        <v>15</v>
      </c>
      <c r="X914" t="s">
        <v>17</v>
      </c>
      <c r="Y914" s="1" t="s">
        <v>816</v>
      </c>
    </row>
    <row r="915" spans="1:25" x14ac:dyDescent="0.25">
      <c r="A915" s="4">
        <v>1532</v>
      </c>
      <c r="B915" s="9">
        <v>98807</v>
      </c>
      <c r="C915" s="8" t="s">
        <v>818</v>
      </c>
      <c r="D915" s="6" t="s">
        <v>28</v>
      </c>
      <c r="E915" s="10">
        <v>6</v>
      </c>
      <c r="F915">
        <v>8.5391853363924195</v>
      </c>
      <c r="G915">
        <v>5.4093470520036204</v>
      </c>
      <c r="H915" t="s">
        <v>425</v>
      </c>
      <c r="I915" t="s">
        <v>266</v>
      </c>
      <c r="J915" t="s">
        <v>267</v>
      </c>
      <c r="L915">
        <v>286</v>
      </c>
      <c r="M915" t="s">
        <v>1453</v>
      </c>
      <c r="N915">
        <v>280</v>
      </c>
      <c r="O915" t="s">
        <v>426</v>
      </c>
      <c r="P915" s="1" t="s">
        <v>809</v>
      </c>
      <c r="Q915" s="25">
        <v>-81.309719000000001</v>
      </c>
      <c r="R915" s="26">
        <v>159.46784</v>
      </c>
      <c r="S915">
        <v>-85.708600000000004</v>
      </c>
      <c r="T915">
        <v>151.2764</v>
      </c>
      <c r="U915">
        <v>85.708600000000004</v>
      </c>
      <c r="V915" t="s">
        <v>1539</v>
      </c>
      <c r="W915" t="s">
        <v>15</v>
      </c>
      <c r="X915" t="s">
        <v>17</v>
      </c>
      <c r="Y915" s="1" t="s">
        <v>816</v>
      </c>
    </row>
    <row r="916" spans="1:25" x14ac:dyDescent="0.25">
      <c r="A916" s="4">
        <v>1534</v>
      </c>
      <c r="B916" s="9">
        <v>98808</v>
      </c>
      <c r="C916" s="8" t="s">
        <v>818</v>
      </c>
      <c r="D916" s="6" t="s">
        <v>28</v>
      </c>
      <c r="E916" s="10">
        <v>6</v>
      </c>
      <c r="F916">
        <v>10.130518814718901</v>
      </c>
      <c r="G916">
        <v>7.3313234476145901</v>
      </c>
      <c r="H916" t="s">
        <v>425</v>
      </c>
      <c r="I916" t="s">
        <v>266</v>
      </c>
      <c r="J916" t="s">
        <v>267</v>
      </c>
      <c r="L916">
        <v>286</v>
      </c>
      <c r="M916" t="s">
        <v>1453</v>
      </c>
      <c r="N916">
        <v>280</v>
      </c>
      <c r="O916" t="s">
        <v>426</v>
      </c>
      <c r="P916" s="1" t="s">
        <v>809</v>
      </c>
      <c r="Q916" s="25">
        <v>-81.309719000000001</v>
      </c>
      <c r="R916" s="26">
        <v>159.46784</v>
      </c>
      <c r="S916">
        <v>-85.708600000000004</v>
      </c>
      <c r="T916">
        <v>151.2764</v>
      </c>
      <c r="U916">
        <v>85.708600000000004</v>
      </c>
      <c r="V916" t="s">
        <v>1539</v>
      </c>
      <c r="W916" t="s">
        <v>15</v>
      </c>
      <c r="X916" t="s">
        <v>17</v>
      </c>
      <c r="Y916" s="1" t="s">
        <v>816</v>
      </c>
    </row>
    <row r="917" spans="1:25" x14ac:dyDescent="0.25">
      <c r="A917" s="4">
        <v>1535</v>
      </c>
      <c r="B917" s="9" t="s">
        <v>822</v>
      </c>
      <c r="C917" s="8" t="s">
        <v>304</v>
      </c>
      <c r="D917" s="6" t="s">
        <v>60</v>
      </c>
      <c r="E917" s="10">
        <v>5</v>
      </c>
      <c r="F917">
        <v>3.95173309336093</v>
      </c>
      <c r="G917">
        <v>1.1731725638905</v>
      </c>
      <c r="H917" t="s">
        <v>92</v>
      </c>
      <c r="I917" t="s">
        <v>266</v>
      </c>
      <c r="J917" t="s">
        <v>267</v>
      </c>
      <c r="K917" t="s">
        <v>1434</v>
      </c>
      <c r="L917">
        <v>278</v>
      </c>
      <c r="M917" t="s">
        <v>1453</v>
      </c>
      <c r="N917">
        <v>280</v>
      </c>
      <c r="O917" t="s">
        <v>1440</v>
      </c>
      <c r="P917" s="1" t="s">
        <v>1569</v>
      </c>
      <c r="Q917" s="25">
        <v>32.366219000000001</v>
      </c>
      <c r="R917" s="26">
        <v>-100.001859</v>
      </c>
      <c r="S917">
        <v>1.1099000000000001</v>
      </c>
      <c r="T917">
        <v>-30.110600000000002</v>
      </c>
      <c r="U917">
        <v>1.1099000000000001</v>
      </c>
      <c r="V917" t="s">
        <v>1538</v>
      </c>
      <c r="W917" t="s">
        <v>15</v>
      </c>
      <c r="X917" t="s">
        <v>18</v>
      </c>
      <c r="Y917" s="1" t="s">
        <v>821</v>
      </c>
    </row>
    <row r="918" spans="1:25" x14ac:dyDescent="0.25">
      <c r="A918" s="4">
        <v>1536</v>
      </c>
      <c r="B918" s="9" t="s">
        <v>823</v>
      </c>
      <c r="C918" s="8" t="s">
        <v>304</v>
      </c>
      <c r="D918" s="6" t="s">
        <v>60</v>
      </c>
      <c r="E918" s="10">
        <v>5</v>
      </c>
      <c r="F918">
        <v>7.2398328738966597</v>
      </c>
      <c r="G918">
        <v>2.2065151106705998</v>
      </c>
      <c r="H918" t="s">
        <v>92</v>
      </c>
      <c r="I918" t="s">
        <v>266</v>
      </c>
      <c r="J918" t="s">
        <v>267</v>
      </c>
      <c r="K918" t="s">
        <v>1434</v>
      </c>
      <c r="L918">
        <v>278</v>
      </c>
      <c r="M918" t="s">
        <v>1453</v>
      </c>
      <c r="N918">
        <v>280</v>
      </c>
      <c r="O918" t="s">
        <v>1440</v>
      </c>
      <c r="P918" s="1" t="s">
        <v>1569</v>
      </c>
      <c r="Q918" s="25">
        <v>32.366219000000001</v>
      </c>
      <c r="R918" s="26">
        <v>-100.001859</v>
      </c>
      <c r="S918">
        <v>1.1099000000000001</v>
      </c>
      <c r="T918">
        <v>-30.110600000000002</v>
      </c>
      <c r="U918">
        <v>1.1099000000000001</v>
      </c>
      <c r="V918" t="s">
        <v>1538</v>
      </c>
      <c r="W918" t="s">
        <v>15</v>
      </c>
      <c r="X918" t="s">
        <v>18</v>
      </c>
      <c r="Y918" s="1" t="s">
        <v>821</v>
      </c>
    </row>
    <row r="919" spans="1:25" x14ac:dyDescent="0.25">
      <c r="A919" s="4">
        <v>1537</v>
      </c>
      <c r="B919" s="9" t="s">
        <v>824</v>
      </c>
      <c r="C919" s="8" t="s">
        <v>304</v>
      </c>
      <c r="D919" s="6" t="s">
        <v>60</v>
      </c>
      <c r="E919" s="10">
        <v>5</v>
      </c>
      <c r="F919">
        <v>5.2106929164763196</v>
      </c>
      <c r="G919">
        <v>1.08274451262495</v>
      </c>
      <c r="H919" t="s">
        <v>92</v>
      </c>
      <c r="I919" t="s">
        <v>266</v>
      </c>
      <c r="J919" t="s">
        <v>267</v>
      </c>
      <c r="K919" t="s">
        <v>1434</v>
      </c>
      <c r="L919">
        <v>278</v>
      </c>
      <c r="M919" t="s">
        <v>1453</v>
      </c>
      <c r="N919">
        <v>280</v>
      </c>
      <c r="O919" t="s">
        <v>1440</v>
      </c>
      <c r="P919" s="1" t="s">
        <v>1569</v>
      </c>
      <c r="Q919" s="25">
        <v>32.366219000000001</v>
      </c>
      <c r="R919" s="26">
        <v>-100.001859</v>
      </c>
      <c r="S919">
        <v>1.1099000000000001</v>
      </c>
      <c r="T919">
        <v>-30.110600000000002</v>
      </c>
      <c r="U919">
        <v>1.1099000000000001</v>
      </c>
      <c r="V919" t="s">
        <v>1538</v>
      </c>
      <c r="W919" t="s">
        <v>15</v>
      </c>
      <c r="X919" t="s">
        <v>18</v>
      </c>
      <c r="Y919" s="1" t="s">
        <v>821</v>
      </c>
    </row>
    <row r="920" spans="1:25" x14ac:dyDescent="0.25">
      <c r="A920" s="4">
        <v>1539</v>
      </c>
      <c r="B920" s="9" t="s">
        <v>825</v>
      </c>
      <c r="C920" s="8" t="s">
        <v>304</v>
      </c>
      <c r="D920" s="6" t="s">
        <v>60</v>
      </c>
      <c r="E920" s="10">
        <v>5</v>
      </c>
      <c r="F920">
        <v>3.1942320372313699</v>
      </c>
      <c r="G920">
        <v>0.38100891415828197</v>
      </c>
      <c r="H920" t="s">
        <v>92</v>
      </c>
      <c r="I920" t="s">
        <v>266</v>
      </c>
      <c r="J920" t="s">
        <v>267</v>
      </c>
      <c r="K920" t="s">
        <v>1434</v>
      </c>
      <c r="L920">
        <v>278</v>
      </c>
      <c r="M920" t="s">
        <v>1453</v>
      </c>
      <c r="N920">
        <v>280</v>
      </c>
      <c r="O920" t="s">
        <v>1440</v>
      </c>
      <c r="P920" s="1" t="s">
        <v>1569</v>
      </c>
      <c r="Q920" s="25">
        <v>32.366219000000001</v>
      </c>
      <c r="R920" s="26">
        <v>-100.001859</v>
      </c>
      <c r="S920">
        <v>1.1099000000000001</v>
      </c>
      <c r="T920">
        <v>-30.110600000000002</v>
      </c>
      <c r="U920">
        <v>1.1099000000000001</v>
      </c>
      <c r="V920" t="s">
        <v>1538</v>
      </c>
      <c r="W920" t="s">
        <v>15</v>
      </c>
      <c r="X920" t="s">
        <v>18</v>
      </c>
      <c r="Y920" s="1" t="s">
        <v>821</v>
      </c>
    </row>
    <row r="921" spans="1:25" x14ac:dyDescent="0.25">
      <c r="A921" s="4">
        <v>1540</v>
      </c>
      <c r="B921" s="9" t="s">
        <v>825</v>
      </c>
      <c r="C921" s="8" t="s">
        <v>304</v>
      </c>
      <c r="D921" s="6" t="s">
        <v>64</v>
      </c>
      <c r="E921" s="10">
        <v>8</v>
      </c>
      <c r="F921">
        <v>3.0020020934092901</v>
      </c>
      <c r="G921">
        <v>0.43374815192438598</v>
      </c>
      <c r="H921" t="s">
        <v>92</v>
      </c>
      <c r="I921" t="s">
        <v>266</v>
      </c>
      <c r="J921" t="s">
        <v>267</v>
      </c>
      <c r="K921" t="s">
        <v>1434</v>
      </c>
      <c r="L921">
        <v>278</v>
      </c>
      <c r="M921" t="s">
        <v>1453</v>
      </c>
      <c r="N921">
        <v>280</v>
      </c>
      <c r="O921" t="s">
        <v>1440</v>
      </c>
      <c r="P921" s="1" t="s">
        <v>1569</v>
      </c>
      <c r="Q921" s="25">
        <v>32.366219000000001</v>
      </c>
      <c r="R921" s="26">
        <v>-100.001859</v>
      </c>
      <c r="S921">
        <v>1.1099000000000001</v>
      </c>
      <c r="T921">
        <v>-30.110600000000002</v>
      </c>
      <c r="U921">
        <v>1.1099000000000001</v>
      </c>
      <c r="V921" t="s">
        <v>1538</v>
      </c>
      <c r="W921" t="s">
        <v>15</v>
      </c>
      <c r="X921" t="s">
        <v>18</v>
      </c>
      <c r="Y921" s="1" t="s">
        <v>821</v>
      </c>
    </row>
    <row r="922" spans="1:25" x14ac:dyDescent="0.25">
      <c r="A922" s="4">
        <v>1541</v>
      </c>
      <c r="B922" s="9" t="s">
        <v>826</v>
      </c>
      <c r="C922" s="8" t="s">
        <v>304</v>
      </c>
      <c r="D922" s="6" t="s">
        <v>28</v>
      </c>
      <c r="E922" s="10">
        <v>6</v>
      </c>
      <c r="F922">
        <v>6.8801238237170104</v>
      </c>
      <c r="G922">
        <v>3.1030713576881701</v>
      </c>
      <c r="H922" t="s">
        <v>92</v>
      </c>
      <c r="I922" t="s">
        <v>266</v>
      </c>
      <c r="J922" t="s">
        <v>267</v>
      </c>
      <c r="K922" t="s">
        <v>1434</v>
      </c>
      <c r="L922">
        <v>278</v>
      </c>
      <c r="M922" t="s">
        <v>1453</v>
      </c>
      <c r="N922">
        <v>280</v>
      </c>
      <c r="O922" t="s">
        <v>1440</v>
      </c>
      <c r="P922" s="1" t="s">
        <v>1569</v>
      </c>
      <c r="Q922" s="25">
        <v>32.366219000000001</v>
      </c>
      <c r="R922" s="26">
        <v>-100.001859</v>
      </c>
      <c r="S922">
        <v>1.1099000000000001</v>
      </c>
      <c r="T922">
        <v>-30.110600000000002</v>
      </c>
      <c r="U922">
        <v>1.1099000000000001</v>
      </c>
      <c r="V922" t="s">
        <v>1538</v>
      </c>
      <c r="W922" t="s">
        <v>15</v>
      </c>
      <c r="X922" t="s">
        <v>18</v>
      </c>
      <c r="Y922" s="1" t="s">
        <v>821</v>
      </c>
    </row>
    <row r="923" spans="1:25" x14ac:dyDescent="0.25">
      <c r="A923" s="4">
        <v>1542</v>
      </c>
      <c r="B923" s="9" t="s">
        <v>827</v>
      </c>
      <c r="C923" s="8" t="s">
        <v>304</v>
      </c>
      <c r="D923" s="6" t="s">
        <v>28</v>
      </c>
      <c r="E923" s="10">
        <v>6</v>
      </c>
      <c r="F923">
        <v>6.0549004290185504</v>
      </c>
      <c r="G923">
        <v>3.5068740757514698</v>
      </c>
      <c r="H923" t="s">
        <v>92</v>
      </c>
      <c r="I923" t="s">
        <v>266</v>
      </c>
      <c r="J923" t="s">
        <v>267</v>
      </c>
      <c r="K923" t="s">
        <v>1434</v>
      </c>
      <c r="L923">
        <v>278</v>
      </c>
      <c r="M923" t="s">
        <v>1453</v>
      </c>
      <c r="N923">
        <v>280</v>
      </c>
      <c r="O923" t="s">
        <v>1440</v>
      </c>
      <c r="P923" s="1" t="s">
        <v>1569</v>
      </c>
      <c r="Q923" s="25">
        <v>32.366219000000001</v>
      </c>
      <c r="R923" s="26">
        <v>-100.001859</v>
      </c>
      <c r="S923">
        <v>1.1099000000000001</v>
      </c>
      <c r="T923">
        <v>-30.110600000000002</v>
      </c>
      <c r="U923">
        <v>1.1099000000000001</v>
      </c>
      <c r="V923" t="s">
        <v>1538</v>
      </c>
      <c r="W923" t="s">
        <v>15</v>
      </c>
      <c r="X923" t="s">
        <v>18</v>
      </c>
      <c r="Y923" s="1" t="s">
        <v>821</v>
      </c>
    </row>
    <row r="924" spans="1:25" x14ac:dyDescent="0.25">
      <c r="A924" s="4">
        <v>1543</v>
      </c>
      <c r="B924" s="9" t="s">
        <v>828</v>
      </c>
      <c r="C924" s="8" t="s">
        <v>304</v>
      </c>
      <c r="D924" s="6" t="s">
        <v>28</v>
      </c>
      <c r="E924" s="10">
        <v>6</v>
      </c>
      <c r="F924">
        <v>5.8337758935761901</v>
      </c>
      <c r="G924">
        <v>1.2767036575631201</v>
      </c>
      <c r="H924" t="s">
        <v>92</v>
      </c>
      <c r="I924" t="s">
        <v>266</v>
      </c>
      <c r="J924" t="s">
        <v>267</v>
      </c>
      <c r="K924" t="s">
        <v>1434</v>
      </c>
      <c r="L924">
        <v>278</v>
      </c>
      <c r="M924" t="s">
        <v>1453</v>
      </c>
      <c r="N924">
        <v>280</v>
      </c>
      <c r="O924" t="s">
        <v>1440</v>
      </c>
      <c r="P924" s="1" t="s">
        <v>1569</v>
      </c>
      <c r="Q924" s="25">
        <v>32.366219000000001</v>
      </c>
      <c r="R924" s="26">
        <v>-100.001859</v>
      </c>
      <c r="S924">
        <v>1.1099000000000001</v>
      </c>
      <c r="T924">
        <v>-30.110600000000002</v>
      </c>
      <c r="U924">
        <v>1.1099000000000001</v>
      </c>
      <c r="V924" t="s">
        <v>1538</v>
      </c>
      <c r="W924" t="s">
        <v>15</v>
      </c>
      <c r="X924" t="s">
        <v>18</v>
      </c>
      <c r="Y924" s="1" t="s">
        <v>821</v>
      </c>
    </row>
    <row r="925" spans="1:25" x14ac:dyDescent="0.25">
      <c r="A925" s="4">
        <v>1544</v>
      </c>
      <c r="B925" s="9" t="s">
        <v>829</v>
      </c>
      <c r="C925" s="8" t="s">
        <v>304</v>
      </c>
      <c r="D925" s="6" t="s">
        <v>28</v>
      </c>
      <c r="E925" s="10">
        <v>6</v>
      </c>
      <c r="F925">
        <v>7.2909112206193303</v>
      </c>
      <c r="G925">
        <v>4.6356014242614698</v>
      </c>
      <c r="H925" t="s">
        <v>92</v>
      </c>
      <c r="I925" t="s">
        <v>266</v>
      </c>
      <c r="J925" t="s">
        <v>267</v>
      </c>
      <c r="K925" t="s">
        <v>1434</v>
      </c>
      <c r="L925">
        <v>278</v>
      </c>
      <c r="M925" t="s">
        <v>1453</v>
      </c>
      <c r="N925">
        <v>280</v>
      </c>
      <c r="O925" t="s">
        <v>1440</v>
      </c>
      <c r="P925" s="1" t="s">
        <v>1569</v>
      </c>
      <c r="Q925" s="25">
        <v>32.366219000000001</v>
      </c>
      <c r="R925" s="26">
        <v>-100.001859</v>
      </c>
      <c r="S925">
        <v>1.1099000000000001</v>
      </c>
      <c r="T925">
        <v>-30.110600000000002</v>
      </c>
      <c r="U925">
        <v>1.1099000000000001</v>
      </c>
      <c r="V925" t="s">
        <v>1538</v>
      </c>
      <c r="W925" t="s">
        <v>15</v>
      </c>
      <c r="X925" t="s">
        <v>18</v>
      </c>
      <c r="Y925" s="1" t="s">
        <v>821</v>
      </c>
    </row>
    <row r="926" spans="1:25" x14ac:dyDescent="0.25">
      <c r="A926" s="4">
        <v>1545</v>
      </c>
      <c r="B926" s="9" t="s">
        <v>830</v>
      </c>
      <c r="C926" s="8" t="s">
        <v>304</v>
      </c>
      <c r="D926" s="6" t="s">
        <v>28</v>
      </c>
      <c r="E926" s="10">
        <v>6</v>
      </c>
      <c r="F926">
        <v>14.2016616078113</v>
      </c>
      <c r="G926">
        <v>7.2537280222202103</v>
      </c>
      <c r="H926" t="s">
        <v>92</v>
      </c>
      <c r="I926" t="s">
        <v>266</v>
      </c>
      <c r="J926" t="s">
        <v>267</v>
      </c>
      <c r="K926" t="s">
        <v>1434</v>
      </c>
      <c r="L926">
        <v>278</v>
      </c>
      <c r="M926" t="s">
        <v>1453</v>
      </c>
      <c r="N926">
        <v>280</v>
      </c>
      <c r="O926" t="s">
        <v>1440</v>
      </c>
      <c r="P926" s="1" t="s">
        <v>1569</v>
      </c>
      <c r="Q926" s="25">
        <v>32.366219000000001</v>
      </c>
      <c r="R926" s="26">
        <v>-100.001859</v>
      </c>
      <c r="S926">
        <v>1.1099000000000001</v>
      </c>
      <c r="T926">
        <v>-30.110600000000002</v>
      </c>
      <c r="U926">
        <v>1.1099000000000001</v>
      </c>
      <c r="V926" t="s">
        <v>1538</v>
      </c>
      <c r="W926" t="s">
        <v>15</v>
      </c>
      <c r="X926" t="s">
        <v>18</v>
      </c>
      <c r="Y926" s="1" t="s">
        <v>821</v>
      </c>
    </row>
    <row r="927" spans="1:25" x14ac:dyDescent="0.25">
      <c r="A927" s="4">
        <v>1547</v>
      </c>
      <c r="B927" s="9" t="s">
        <v>831</v>
      </c>
      <c r="C927" s="8" t="s">
        <v>304</v>
      </c>
      <c r="D927" s="6" t="s">
        <v>28</v>
      </c>
      <c r="E927" s="10">
        <v>6</v>
      </c>
      <c r="F927">
        <v>5.6016202312347403</v>
      </c>
      <c r="G927">
        <v>2.1952264181949701</v>
      </c>
      <c r="H927" t="s">
        <v>92</v>
      </c>
      <c r="I927" t="s">
        <v>266</v>
      </c>
      <c r="J927" t="s">
        <v>267</v>
      </c>
      <c r="K927" t="s">
        <v>1434</v>
      </c>
      <c r="L927">
        <v>278</v>
      </c>
      <c r="M927" t="s">
        <v>1453</v>
      </c>
      <c r="N927">
        <v>280</v>
      </c>
      <c r="O927" t="s">
        <v>1440</v>
      </c>
      <c r="P927" s="1" t="s">
        <v>1569</v>
      </c>
      <c r="Q927" s="25">
        <v>32.366219000000001</v>
      </c>
      <c r="R927" s="26">
        <v>-100.001859</v>
      </c>
      <c r="S927">
        <v>1.1099000000000001</v>
      </c>
      <c r="T927">
        <v>-30.110600000000002</v>
      </c>
      <c r="U927">
        <v>1.1099000000000001</v>
      </c>
      <c r="V927" t="s">
        <v>1538</v>
      </c>
      <c r="W927" t="s">
        <v>15</v>
      </c>
      <c r="X927" t="s">
        <v>18</v>
      </c>
      <c r="Y927" s="1" t="s">
        <v>821</v>
      </c>
    </row>
    <row r="928" spans="1:25" x14ac:dyDescent="0.25">
      <c r="A928" s="4">
        <v>1551</v>
      </c>
      <c r="B928" s="9" t="s">
        <v>832</v>
      </c>
      <c r="C928" s="8" t="s">
        <v>304</v>
      </c>
      <c r="D928" s="6" t="s">
        <v>28</v>
      </c>
      <c r="E928" s="10">
        <v>6</v>
      </c>
      <c r="F928">
        <v>14.9310205789732</v>
      </c>
      <c r="G928">
        <v>8.69049027812102</v>
      </c>
      <c r="H928" t="s">
        <v>92</v>
      </c>
      <c r="I928" t="s">
        <v>266</v>
      </c>
      <c r="J928" t="s">
        <v>267</v>
      </c>
      <c r="K928" t="s">
        <v>1434</v>
      </c>
      <c r="L928">
        <v>278</v>
      </c>
      <c r="M928" t="s">
        <v>1453</v>
      </c>
      <c r="N928">
        <v>280</v>
      </c>
      <c r="O928" t="s">
        <v>1440</v>
      </c>
      <c r="P928" s="1" t="s">
        <v>1569</v>
      </c>
      <c r="Q928" s="25">
        <v>32.366219000000001</v>
      </c>
      <c r="R928" s="26">
        <v>-100.001859</v>
      </c>
      <c r="S928">
        <v>1.1099000000000001</v>
      </c>
      <c r="T928">
        <v>-30.110600000000002</v>
      </c>
      <c r="U928">
        <v>1.1099000000000001</v>
      </c>
      <c r="V928" t="s">
        <v>1538</v>
      </c>
      <c r="W928" t="s">
        <v>15</v>
      </c>
      <c r="X928" t="s">
        <v>18</v>
      </c>
      <c r="Y928" s="1" t="s">
        <v>821</v>
      </c>
    </row>
    <row r="929" spans="1:25" x14ac:dyDescent="0.25">
      <c r="A929" s="4">
        <v>1552</v>
      </c>
      <c r="B929" s="9" t="s">
        <v>833</v>
      </c>
      <c r="C929" s="8" t="s">
        <v>304</v>
      </c>
      <c r="D929" s="6" t="s">
        <v>28</v>
      </c>
      <c r="E929" s="10">
        <v>6</v>
      </c>
      <c r="F929">
        <v>15.965544661421999</v>
      </c>
      <c r="G929">
        <v>8.4866905514836208</v>
      </c>
      <c r="H929" t="s">
        <v>92</v>
      </c>
      <c r="I929" t="s">
        <v>266</v>
      </c>
      <c r="J929" t="s">
        <v>267</v>
      </c>
      <c r="K929" t="s">
        <v>1434</v>
      </c>
      <c r="L929">
        <v>278</v>
      </c>
      <c r="M929" t="s">
        <v>1453</v>
      </c>
      <c r="N929">
        <v>280</v>
      </c>
      <c r="O929" t="s">
        <v>1440</v>
      </c>
      <c r="P929" s="1" t="s">
        <v>1569</v>
      </c>
      <c r="Q929" s="25">
        <v>32.366219000000001</v>
      </c>
      <c r="R929" s="26">
        <v>-100.001859</v>
      </c>
      <c r="S929">
        <v>1.1099000000000001</v>
      </c>
      <c r="T929">
        <v>-30.110600000000002</v>
      </c>
      <c r="U929">
        <v>1.1099000000000001</v>
      </c>
      <c r="V929" t="s">
        <v>1538</v>
      </c>
      <c r="W929" t="s">
        <v>15</v>
      </c>
      <c r="X929" t="s">
        <v>18</v>
      </c>
      <c r="Y929" s="1" t="s">
        <v>821</v>
      </c>
    </row>
    <row r="930" spans="1:25" x14ac:dyDescent="0.25">
      <c r="A930" s="4">
        <v>1553</v>
      </c>
      <c r="B930" s="9" t="s">
        <v>834</v>
      </c>
      <c r="C930" s="8" t="s">
        <v>304</v>
      </c>
      <c r="D930" s="6" t="s">
        <v>28</v>
      </c>
      <c r="E930" s="10">
        <v>6</v>
      </c>
      <c r="F930">
        <v>0.84153165099744498</v>
      </c>
      <c r="G930">
        <v>0.31483710367041401</v>
      </c>
      <c r="H930" t="s">
        <v>92</v>
      </c>
      <c r="I930" t="s">
        <v>266</v>
      </c>
      <c r="J930" t="s">
        <v>267</v>
      </c>
      <c r="K930" t="s">
        <v>1434</v>
      </c>
      <c r="L930">
        <v>278</v>
      </c>
      <c r="M930" t="s">
        <v>1453</v>
      </c>
      <c r="N930">
        <v>280</v>
      </c>
      <c r="O930" t="s">
        <v>1440</v>
      </c>
      <c r="P930" s="1" t="s">
        <v>1569</v>
      </c>
      <c r="Q930" s="25">
        <v>32.366219000000001</v>
      </c>
      <c r="R930" s="26">
        <v>-100.001859</v>
      </c>
      <c r="S930">
        <v>1.1099000000000001</v>
      </c>
      <c r="T930">
        <v>-30.110600000000002</v>
      </c>
      <c r="U930">
        <v>1.1099000000000001</v>
      </c>
      <c r="V930" t="s">
        <v>1538</v>
      </c>
      <c r="W930" t="s">
        <v>15</v>
      </c>
      <c r="X930" t="s">
        <v>18</v>
      </c>
      <c r="Y930" s="1" t="s">
        <v>821</v>
      </c>
    </row>
    <row r="931" spans="1:25" x14ac:dyDescent="0.25">
      <c r="A931" s="4">
        <v>1555</v>
      </c>
      <c r="B931" s="9" t="s">
        <v>835</v>
      </c>
      <c r="C931" s="8" t="s">
        <v>304</v>
      </c>
      <c r="D931" s="6" t="s">
        <v>28</v>
      </c>
      <c r="E931" s="10">
        <v>6</v>
      </c>
      <c r="F931">
        <v>1.18499827288354</v>
      </c>
      <c r="G931">
        <v>0.58637779844136795</v>
      </c>
      <c r="H931" t="s">
        <v>92</v>
      </c>
      <c r="I931" t="s">
        <v>266</v>
      </c>
      <c r="J931" t="s">
        <v>267</v>
      </c>
      <c r="K931" t="s">
        <v>1434</v>
      </c>
      <c r="L931">
        <v>278</v>
      </c>
      <c r="M931" t="s">
        <v>1453</v>
      </c>
      <c r="N931">
        <v>280</v>
      </c>
      <c r="O931" t="s">
        <v>1440</v>
      </c>
      <c r="P931" s="1" t="s">
        <v>1569</v>
      </c>
      <c r="Q931" s="25">
        <v>32.366219000000001</v>
      </c>
      <c r="R931" s="26">
        <v>-100.001859</v>
      </c>
      <c r="S931">
        <v>1.1099000000000001</v>
      </c>
      <c r="T931">
        <v>-30.110600000000002</v>
      </c>
      <c r="U931">
        <v>1.1099000000000001</v>
      </c>
      <c r="V931" t="s">
        <v>1538</v>
      </c>
      <c r="W931" t="s">
        <v>15</v>
      </c>
      <c r="X931" t="s">
        <v>18</v>
      </c>
      <c r="Y931" s="1" t="s">
        <v>821</v>
      </c>
    </row>
    <row r="932" spans="1:25" x14ac:dyDescent="0.25">
      <c r="A932" s="4">
        <v>1565</v>
      </c>
      <c r="B932" s="9" t="s">
        <v>836</v>
      </c>
      <c r="C932" s="8" t="s">
        <v>304</v>
      </c>
      <c r="D932" s="6" t="s">
        <v>28</v>
      </c>
      <c r="E932" s="10">
        <v>6</v>
      </c>
      <c r="F932">
        <v>4.9235935835553102</v>
      </c>
      <c r="G932">
        <v>3.02618547628196</v>
      </c>
      <c r="H932" t="s">
        <v>92</v>
      </c>
      <c r="I932" t="s">
        <v>266</v>
      </c>
      <c r="J932" t="s">
        <v>267</v>
      </c>
      <c r="K932" t="s">
        <v>1434</v>
      </c>
      <c r="L932">
        <v>278</v>
      </c>
      <c r="M932" t="s">
        <v>1453</v>
      </c>
      <c r="N932">
        <v>280</v>
      </c>
      <c r="O932" t="s">
        <v>1440</v>
      </c>
      <c r="P932" s="1" t="s">
        <v>1569</v>
      </c>
      <c r="Q932" s="25">
        <v>32.366219000000001</v>
      </c>
      <c r="R932" s="26">
        <v>-100.001859</v>
      </c>
      <c r="S932">
        <v>1.1099000000000001</v>
      </c>
      <c r="T932">
        <v>-30.110600000000002</v>
      </c>
      <c r="U932">
        <v>1.1099000000000001</v>
      </c>
      <c r="V932" t="s">
        <v>1538</v>
      </c>
      <c r="W932" t="s">
        <v>15</v>
      </c>
      <c r="X932" t="s">
        <v>18</v>
      </c>
      <c r="Y932" s="1" t="s">
        <v>821</v>
      </c>
    </row>
    <row r="933" spans="1:25" x14ac:dyDescent="0.25">
      <c r="A933" s="4">
        <v>1566</v>
      </c>
      <c r="B933" s="9" t="s">
        <v>837</v>
      </c>
      <c r="C933" s="8" t="s">
        <v>304</v>
      </c>
      <c r="D933" s="6" t="s">
        <v>60</v>
      </c>
      <c r="E933" s="10">
        <v>5</v>
      </c>
      <c r="F933">
        <v>1.7015548794219399</v>
      </c>
      <c r="G933">
        <v>0.199645526164765</v>
      </c>
      <c r="H933" t="s">
        <v>92</v>
      </c>
      <c r="I933" t="s">
        <v>266</v>
      </c>
      <c r="J933" t="s">
        <v>267</v>
      </c>
      <c r="K933" t="s">
        <v>1434</v>
      </c>
      <c r="L933">
        <v>278</v>
      </c>
      <c r="M933" t="s">
        <v>1453</v>
      </c>
      <c r="N933">
        <v>280</v>
      </c>
      <c r="O933" t="s">
        <v>1440</v>
      </c>
      <c r="P933" s="1" t="s">
        <v>1569</v>
      </c>
      <c r="Q933" s="25">
        <v>32.366219000000001</v>
      </c>
      <c r="R933" s="26">
        <v>-100.001859</v>
      </c>
      <c r="S933">
        <v>1.1099000000000001</v>
      </c>
      <c r="T933">
        <v>-30.110600000000002</v>
      </c>
      <c r="U933">
        <v>1.1099000000000001</v>
      </c>
      <c r="V933" t="s">
        <v>1538</v>
      </c>
      <c r="W933" t="s">
        <v>15</v>
      </c>
      <c r="X933" t="s">
        <v>18</v>
      </c>
      <c r="Y933" s="1" t="s">
        <v>821</v>
      </c>
    </row>
    <row r="934" spans="1:25" x14ac:dyDescent="0.25">
      <c r="A934" s="4">
        <v>1568</v>
      </c>
      <c r="B934" s="9" t="s">
        <v>838</v>
      </c>
      <c r="C934" s="8" t="s">
        <v>304</v>
      </c>
      <c r="D934" s="6" t="s">
        <v>59</v>
      </c>
      <c r="E934" s="10">
        <v>5</v>
      </c>
      <c r="F934">
        <v>4.3785973327169501</v>
      </c>
      <c r="G934">
        <v>3.0653584492103501</v>
      </c>
      <c r="H934" t="s">
        <v>92</v>
      </c>
      <c r="I934" t="s">
        <v>266</v>
      </c>
      <c r="J934" t="s">
        <v>267</v>
      </c>
      <c r="K934" t="s">
        <v>1434</v>
      </c>
      <c r="L934">
        <v>278</v>
      </c>
      <c r="M934" t="s">
        <v>1453</v>
      </c>
      <c r="N934">
        <v>280</v>
      </c>
      <c r="O934" t="s">
        <v>1440</v>
      </c>
      <c r="P934" s="1" t="s">
        <v>1569</v>
      </c>
      <c r="Q934" s="25">
        <v>32.366219000000001</v>
      </c>
      <c r="R934" s="26">
        <v>-100.001859</v>
      </c>
      <c r="S934">
        <v>1.1099000000000001</v>
      </c>
      <c r="T934">
        <v>-30.110600000000002</v>
      </c>
      <c r="U934">
        <v>1.1099000000000001</v>
      </c>
      <c r="V934" t="s">
        <v>1538</v>
      </c>
      <c r="W934" t="s">
        <v>15</v>
      </c>
      <c r="X934" t="s">
        <v>18</v>
      </c>
      <c r="Y934" s="1" t="s">
        <v>821</v>
      </c>
    </row>
    <row r="935" spans="1:25" x14ac:dyDescent="0.25">
      <c r="A935" s="4">
        <v>1569</v>
      </c>
      <c r="B935" s="9" t="s">
        <v>839</v>
      </c>
      <c r="C935" s="8" t="s">
        <v>304</v>
      </c>
      <c r="D935" s="6" t="s">
        <v>130</v>
      </c>
      <c r="E935" s="10">
        <v>6</v>
      </c>
      <c r="F935">
        <v>3.16587709454706</v>
      </c>
      <c r="G935">
        <v>1.4429907214608799</v>
      </c>
      <c r="H935" t="s">
        <v>92</v>
      </c>
      <c r="I935" t="s">
        <v>266</v>
      </c>
      <c r="J935" t="s">
        <v>267</v>
      </c>
      <c r="K935" t="s">
        <v>1434</v>
      </c>
      <c r="L935">
        <v>278</v>
      </c>
      <c r="M935" t="s">
        <v>1453</v>
      </c>
      <c r="N935">
        <v>280</v>
      </c>
      <c r="O935" t="s">
        <v>1440</v>
      </c>
      <c r="P935" s="1" t="s">
        <v>1569</v>
      </c>
      <c r="Q935" s="25">
        <v>32.366219000000001</v>
      </c>
      <c r="R935" s="26">
        <v>-100.001859</v>
      </c>
      <c r="S935">
        <v>1.1099000000000001</v>
      </c>
      <c r="T935">
        <v>-30.110600000000002</v>
      </c>
      <c r="U935">
        <v>1.1099000000000001</v>
      </c>
      <c r="V935" t="s">
        <v>1538</v>
      </c>
      <c r="W935" t="s">
        <v>15</v>
      </c>
      <c r="X935" t="s">
        <v>18</v>
      </c>
      <c r="Y935" s="1" t="s">
        <v>821</v>
      </c>
    </row>
    <row r="936" spans="1:25" x14ac:dyDescent="0.25">
      <c r="A936" s="4">
        <v>1570</v>
      </c>
      <c r="B936" s="9" t="s">
        <v>840</v>
      </c>
      <c r="C936" s="8" t="s">
        <v>304</v>
      </c>
      <c r="D936" s="6" t="s">
        <v>534</v>
      </c>
      <c r="E936" s="10">
        <v>6</v>
      </c>
      <c r="F936">
        <v>6.7494949604929699</v>
      </c>
      <c r="G936">
        <v>1.7049153244542301</v>
      </c>
      <c r="H936" t="s">
        <v>92</v>
      </c>
      <c r="I936" t="s">
        <v>266</v>
      </c>
      <c r="J936" t="s">
        <v>267</v>
      </c>
      <c r="K936" t="s">
        <v>1434</v>
      </c>
      <c r="L936">
        <v>278</v>
      </c>
      <c r="M936" t="s">
        <v>1453</v>
      </c>
      <c r="N936">
        <v>280</v>
      </c>
      <c r="O936" t="s">
        <v>1440</v>
      </c>
      <c r="P936" s="1" t="s">
        <v>1569</v>
      </c>
      <c r="Q936" s="25">
        <v>32.366219000000001</v>
      </c>
      <c r="R936" s="26">
        <v>-100.001859</v>
      </c>
      <c r="S936">
        <v>1.1099000000000001</v>
      </c>
      <c r="T936">
        <v>-30.110600000000002</v>
      </c>
      <c r="U936">
        <v>1.1099000000000001</v>
      </c>
      <c r="V936" t="s">
        <v>1538</v>
      </c>
      <c r="W936" t="s">
        <v>15</v>
      </c>
      <c r="X936" t="s">
        <v>18</v>
      </c>
      <c r="Y936" s="1" t="s">
        <v>821</v>
      </c>
    </row>
    <row r="937" spans="1:25" x14ac:dyDescent="0.25">
      <c r="A937" s="4">
        <v>1571</v>
      </c>
      <c r="B937" s="9" t="s">
        <v>841</v>
      </c>
      <c r="C937" s="8" t="s">
        <v>304</v>
      </c>
      <c r="D937" s="6" t="s">
        <v>534</v>
      </c>
      <c r="E937" s="10">
        <v>6</v>
      </c>
      <c r="F937">
        <v>6.9762703989792296</v>
      </c>
      <c r="G937">
        <v>4.5600114714907596</v>
      </c>
      <c r="H937" t="s">
        <v>92</v>
      </c>
      <c r="I937" t="s">
        <v>266</v>
      </c>
      <c r="J937" t="s">
        <v>267</v>
      </c>
      <c r="K937" t="s">
        <v>1434</v>
      </c>
      <c r="L937">
        <v>278</v>
      </c>
      <c r="M937" t="s">
        <v>1453</v>
      </c>
      <c r="N937">
        <v>280</v>
      </c>
      <c r="O937" t="s">
        <v>1440</v>
      </c>
      <c r="P937" s="1" t="s">
        <v>1569</v>
      </c>
      <c r="Q937" s="25">
        <v>32.366219000000001</v>
      </c>
      <c r="R937" s="26">
        <v>-100.001859</v>
      </c>
      <c r="S937">
        <v>1.1099000000000001</v>
      </c>
      <c r="T937">
        <v>-30.110600000000002</v>
      </c>
      <c r="U937">
        <v>1.1099000000000001</v>
      </c>
      <c r="V937" t="s">
        <v>1538</v>
      </c>
      <c r="W937" t="s">
        <v>15</v>
      </c>
      <c r="X937" t="s">
        <v>18</v>
      </c>
      <c r="Y937" s="1" t="s">
        <v>821</v>
      </c>
    </row>
    <row r="938" spans="1:25" x14ac:dyDescent="0.25">
      <c r="A938" s="4">
        <v>1572</v>
      </c>
      <c r="B938" s="9" t="s">
        <v>842</v>
      </c>
      <c r="C938" s="8" t="s">
        <v>304</v>
      </c>
      <c r="D938" s="6" t="s">
        <v>64</v>
      </c>
      <c r="E938" s="10">
        <v>8</v>
      </c>
      <c r="F938">
        <v>3.5384789960230498</v>
      </c>
      <c r="G938">
        <v>0.41600682830604901</v>
      </c>
      <c r="H938" t="s">
        <v>92</v>
      </c>
      <c r="I938" t="s">
        <v>266</v>
      </c>
      <c r="J938" t="s">
        <v>267</v>
      </c>
      <c r="K938" t="s">
        <v>1434</v>
      </c>
      <c r="L938">
        <v>278</v>
      </c>
      <c r="M938" t="s">
        <v>1453</v>
      </c>
      <c r="N938">
        <v>280</v>
      </c>
      <c r="O938" t="s">
        <v>1440</v>
      </c>
      <c r="P938" s="1" t="s">
        <v>1569</v>
      </c>
      <c r="Q938" s="25">
        <v>32.366219000000001</v>
      </c>
      <c r="R938" s="26">
        <v>-100.001859</v>
      </c>
      <c r="S938">
        <v>1.1099000000000001</v>
      </c>
      <c r="T938">
        <v>-30.110600000000002</v>
      </c>
      <c r="U938">
        <v>1.1099000000000001</v>
      </c>
      <c r="V938" t="s">
        <v>1538</v>
      </c>
      <c r="W938" t="s">
        <v>15</v>
      </c>
      <c r="X938" t="s">
        <v>18</v>
      </c>
      <c r="Y938" s="1" t="s">
        <v>821</v>
      </c>
    </row>
    <row r="939" spans="1:25" x14ac:dyDescent="0.25">
      <c r="A939" s="4">
        <v>1574</v>
      </c>
      <c r="B939" s="9" t="s">
        <v>843</v>
      </c>
      <c r="C939" s="8" t="s">
        <v>304</v>
      </c>
      <c r="D939" s="6" t="s">
        <v>60</v>
      </c>
      <c r="E939" s="10">
        <v>5</v>
      </c>
      <c r="F939">
        <v>4.7346944785199199</v>
      </c>
      <c r="G939">
        <v>1.39663662642237</v>
      </c>
      <c r="H939" t="s">
        <v>92</v>
      </c>
      <c r="I939" t="s">
        <v>266</v>
      </c>
      <c r="J939" t="s">
        <v>267</v>
      </c>
      <c r="K939" t="s">
        <v>1434</v>
      </c>
      <c r="L939">
        <v>278</v>
      </c>
      <c r="M939" t="s">
        <v>1453</v>
      </c>
      <c r="N939">
        <v>280</v>
      </c>
      <c r="O939" t="s">
        <v>1440</v>
      </c>
      <c r="P939" s="1" t="s">
        <v>1569</v>
      </c>
      <c r="Q939" s="25">
        <v>32.366219000000001</v>
      </c>
      <c r="R939" s="26">
        <v>-100.001859</v>
      </c>
      <c r="S939">
        <v>1.1099000000000001</v>
      </c>
      <c r="T939">
        <v>-30.110600000000002</v>
      </c>
      <c r="U939">
        <v>1.1099000000000001</v>
      </c>
      <c r="V939" t="s">
        <v>1538</v>
      </c>
      <c r="W939" t="s">
        <v>15</v>
      </c>
      <c r="X939" t="s">
        <v>18</v>
      </c>
      <c r="Y939" s="1" t="s">
        <v>821</v>
      </c>
    </row>
    <row r="940" spans="1:25" x14ac:dyDescent="0.25">
      <c r="A940" s="4">
        <v>1578</v>
      </c>
      <c r="B940" s="9" t="s">
        <v>843</v>
      </c>
      <c r="C940" s="8" t="s">
        <v>304</v>
      </c>
      <c r="D940" s="6" t="s">
        <v>64</v>
      </c>
      <c r="E940" s="10">
        <v>8</v>
      </c>
      <c r="F940">
        <v>5.4295011978186398</v>
      </c>
      <c r="G940">
        <v>0.95135458896601699</v>
      </c>
      <c r="H940" t="s">
        <v>92</v>
      </c>
      <c r="I940" t="s">
        <v>266</v>
      </c>
      <c r="J940" t="s">
        <v>267</v>
      </c>
      <c r="K940" t="s">
        <v>1434</v>
      </c>
      <c r="L940">
        <v>278</v>
      </c>
      <c r="M940" t="s">
        <v>1453</v>
      </c>
      <c r="N940">
        <v>280</v>
      </c>
      <c r="O940" t="s">
        <v>1440</v>
      </c>
      <c r="P940" s="1" t="s">
        <v>1569</v>
      </c>
      <c r="Q940" s="25">
        <v>32.366219000000001</v>
      </c>
      <c r="R940" s="26">
        <v>-100.001859</v>
      </c>
      <c r="S940">
        <v>1.1099000000000001</v>
      </c>
      <c r="T940">
        <v>-30.110600000000002</v>
      </c>
      <c r="U940">
        <v>1.1099000000000001</v>
      </c>
      <c r="V940" t="s">
        <v>1538</v>
      </c>
      <c r="W940" t="s">
        <v>15</v>
      </c>
      <c r="X940" t="s">
        <v>18</v>
      </c>
      <c r="Y940" s="1" t="s">
        <v>821</v>
      </c>
    </row>
    <row r="941" spans="1:25" x14ac:dyDescent="0.25">
      <c r="A941" s="4">
        <v>1581</v>
      </c>
      <c r="B941" s="9" t="s">
        <v>844</v>
      </c>
      <c r="C941" s="8" t="s">
        <v>304</v>
      </c>
      <c r="D941" s="6" t="s">
        <v>60</v>
      </c>
      <c r="E941" s="10">
        <v>5</v>
      </c>
      <c r="F941">
        <v>3.4631912996178502</v>
      </c>
      <c r="G941">
        <v>0.70004858042444795</v>
      </c>
      <c r="H941" t="s">
        <v>92</v>
      </c>
      <c r="I941" t="s">
        <v>266</v>
      </c>
      <c r="J941" t="s">
        <v>267</v>
      </c>
      <c r="K941" t="s">
        <v>1434</v>
      </c>
      <c r="L941">
        <v>278</v>
      </c>
      <c r="M941" t="s">
        <v>1453</v>
      </c>
      <c r="N941">
        <v>280</v>
      </c>
      <c r="O941" t="s">
        <v>1440</v>
      </c>
      <c r="P941" s="1" t="s">
        <v>1569</v>
      </c>
      <c r="Q941" s="25">
        <v>32.366219000000001</v>
      </c>
      <c r="R941" s="26">
        <v>-100.001859</v>
      </c>
      <c r="S941">
        <v>1.1099000000000001</v>
      </c>
      <c r="T941">
        <v>-30.110600000000002</v>
      </c>
      <c r="U941">
        <v>1.1099000000000001</v>
      </c>
      <c r="V941" t="s">
        <v>1538</v>
      </c>
      <c r="W941" t="s">
        <v>15</v>
      </c>
      <c r="X941" t="s">
        <v>18</v>
      </c>
      <c r="Y941" s="1" t="s">
        <v>821</v>
      </c>
    </row>
    <row r="942" spans="1:25" x14ac:dyDescent="0.25">
      <c r="A942" s="4">
        <v>1582</v>
      </c>
      <c r="B942" s="9" t="s">
        <v>845</v>
      </c>
      <c r="C942" s="8" t="s">
        <v>304</v>
      </c>
      <c r="D942" s="6" t="s">
        <v>28</v>
      </c>
      <c r="E942" s="10">
        <v>6</v>
      </c>
      <c r="F942">
        <v>8.2967073855202305</v>
      </c>
      <c r="G942">
        <v>2.7436105663541599</v>
      </c>
      <c r="H942" t="s">
        <v>92</v>
      </c>
      <c r="I942" t="s">
        <v>266</v>
      </c>
      <c r="J942" t="s">
        <v>267</v>
      </c>
      <c r="K942" t="s">
        <v>1434</v>
      </c>
      <c r="L942">
        <v>278</v>
      </c>
      <c r="M942" t="s">
        <v>1453</v>
      </c>
      <c r="N942">
        <v>280</v>
      </c>
      <c r="O942" t="s">
        <v>1440</v>
      </c>
      <c r="P942" s="1" t="s">
        <v>1569</v>
      </c>
      <c r="Q942" s="25">
        <v>32.366219000000001</v>
      </c>
      <c r="R942" s="26">
        <v>-100.001859</v>
      </c>
      <c r="S942">
        <v>1.1099000000000001</v>
      </c>
      <c r="T942">
        <v>-30.110600000000002</v>
      </c>
      <c r="U942">
        <v>1.1099000000000001</v>
      </c>
      <c r="V942" t="s">
        <v>1538</v>
      </c>
      <c r="W942" t="s">
        <v>15</v>
      </c>
      <c r="X942" t="s">
        <v>18</v>
      </c>
      <c r="Y942" s="1" t="s">
        <v>821</v>
      </c>
    </row>
    <row r="943" spans="1:25" x14ac:dyDescent="0.25">
      <c r="A943" s="4">
        <v>1584</v>
      </c>
      <c r="B943" s="9" t="s">
        <v>846</v>
      </c>
      <c r="C943" s="8" t="s">
        <v>304</v>
      </c>
      <c r="D943" s="6" t="s">
        <v>28</v>
      </c>
      <c r="E943" s="10">
        <v>6</v>
      </c>
      <c r="F943">
        <v>6.5492985026289903</v>
      </c>
      <c r="G943">
        <v>3.1276863558524099</v>
      </c>
      <c r="H943" t="s">
        <v>92</v>
      </c>
      <c r="I943" t="s">
        <v>266</v>
      </c>
      <c r="J943" t="s">
        <v>267</v>
      </c>
      <c r="K943" t="s">
        <v>1434</v>
      </c>
      <c r="L943">
        <v>278</v>
      </c>
      <c r="M943" t="s">
        <v>1453</v>
      </c>
      <c r="N943">
        <v>280</v>
      </c>
      <c r="O943" t="s">
        <v>1440</v>
      </c>
      <c r="P943" s="1" t="s">
        <v>1569</v>
      </c>
      <c r="Q943" s="25">
        <v>32.366219000000001</v>
      </c>
      <c r="R943" s="26">
        <v>-100.001859</v>
      </c>
      <c r="S943">
        <v>1.1099000000000001</v>
      </c>
      <c r="T943">
        <v>-30.110600000000002</v>
      </c>
      <c r="U943">
        <v>1.1099000000000001</v>
      </c>
      <c r="V943" t="s">
        <v>1538</v>
      </c>
      <c r="W943" t="s">
        <v>15</v>
      </c>
      <c r="X943" t="s">
        <v>18</v>
      </c>
      <c r="Y943" s="1" t="s">
        <v>821</v>
      </c>
    </row>
    <row r="944" spans="1:25" x14ac:dyDescent="0.25">
      <c r="A944" s="4">
        <v>1585</v>
      </c>
      <c r="B944" s="9" t="s">
        <v>847</v>
      </c>
      <c r="C944" s="8" t="s">
        <v>304</v>
      </c>
      <c r="D944" s="6" t="s">
        <v>28</v>
      </c>
      <c r="E944" s="10">
        <v>6</v>
      </c>
      <c r="F944">
        <v>6.1119942908096299</v>
      </c>
      <c r="G944">
        <v>2.6589782114036802</v>
      </c>
      <c r="H944" t="s">
        <v>92</v>
      </c>
      <c r="I944" t="s">
        <v>266</v>
      </c>
      <c r="J944" t="s">
        <v>267</v>
      </c>
      <c r="K944" t="s">
        <v>1434</v>
      </c>
      <c r="L944">
        <v>278</v>
      </c>
      <c r="M944" t="s">
        <v>1453</v>
      </c>
      <c r="N944">
        <v>280</v>
      </c>
      <c r="O944" t="s">
        <v>1440</v>
      </c>
      <c r="P944" s="1" t="s">
        <v>1569</v>
      </c>
      <c r="Q944" s="25">
        <v>32.366219000000001</v>
      </c>
      <c r="R944" s="26">
        <v>-100.001859</v>
      </c>
      <c r="S944">
        <v>1.1099000000000001</v>
      </c>
      <c r="T944">
        <v>-30.110600000000002</v>
      </c>
      <c r="U944">
        <v>1.1099000000000001</v>
      </c>
      <c r="V944" t="s">
        <v>1538</v>
      </c>
      <c r="W944" t="s">
        <v>15</v>
      </c>
      <c r="X944" t="s">
        <v>18</v>
      </c>
      <c r="Y944" s="1" t="s">
        <v>821</v>
      </c>
    </row>
    <row r="945" spans="1:25" x14ac:dyDescent="0.25">
      <c r="A945" s="4">
        <v>1615</v>
      </c>
      <c r="B945" s="9" t="s">
        <v>858</v>
      </c>
      <c r="C945" s="8" t="s">
        <v>857</v>
      </c>
      <c r="D945" s="6" t="s">
        <v>64</v>
      </c>
      <c r="E945" s="10">
        <v>8</v>
      </c>
      <c r="F945">
        <v>2.31010700687668</v>
      </c>
      <c r="G945">
        <v>0.75164188097882401</v>
      </c>
      <c r="H945" t="s">
        <v>641</v>
      </c>
      <c r="I945" t="s">
        <v>266</v>
      </c>
      <c r="J945" t="s">
        <v>267</v>
      </c>
      <c r="K945" t="s">
        <v>1432</v>
      </c>
      <c r="L945">
        <v>287</v>
      </c>
      <c r="M945" t="s">
        <v>1453</v>
      </c>
      <c r="N945">
        <v>280</v>
      </c>
      <c r="O945" t="s">
        <v>709</v>
      </c>
      <c r="P945" s="1" t="s">
        <v>855</v>
      </c>
      <c r="Q945" s="25">
        <v>43.683532999999997</v>
      </c>
      <c r="R945" s="26">
        <v>3.3462320000000001</v>
      </c>
      <c r="S945">
        <v>2.5926</v>
      </c>
      <c r="T945">
        <v>20.112300000000001</v>
      </c>
      <c r="U945">
        <v>2.5926</v>
      </c>
      <c r="V945" t="s">
        <v>1538</v>
      </c>
      <c r="W945" t="s">
        <v>15</v>
      </c>
      <c r="X945" t="s">
        <v>18</v>
      </c>
      <c r="Y945" s="1" t="s">
        <v>853</v>
      </c>
    </row>
    <row r="946" spans="1:25" x14ac:dyDescent="0.25">
      <c r="A946" s="4">
        <v>1623</v>
      </c>
      <c r="B946" s="9">
        <v>10121</v>
      </c>
      <c r="C946" s="8" t="s">
        <v>1192</v>
      </c>
      <c r="D946" s="6" t="s">
        <v>534</v>
      </c>
      <c r="E946" s="10">
        <v>6</v>
      </c>
      <c r="F946">
        <v>6.8662046407317998</v>
      </c>
      <c r="G946">
        <v>2.3254233551152201</v>
      </c>
      <c r="H946" t="s">
        <v>861</v>
      </c>
      <c r="I946" t="s">
        <v>266</v>
      </c>
      <c r="J946" t="s">
        <v>267</v>
      </c>
      <c r="K946" t="s">
        <v>1434</v>
      </c>
      <c r="L946">
        <v>278</v>
      </c>
      <c r="M946" t="s">
        <v>1453</v>
      </c>
      <c r="N946">
        <v>280</v>
      </c>
      <c r="O946" t="s">
        <v>860</v>
      </c>
      <c r="P946" s="1" t="s">
        <v>859</v>
      </c>
      <c r="Q946" s="25">
        <v>45.937736000000001</v>
      </c>
      <c r="R946" s="25">
        <v>10.633381999999999</v>
      </c>
      <c r="S946">
        <v>-2.0063</v>
      </c>
      <c r="T946">
        <v>25.411300000000001</v>
      </c>
      <c r="U946">
        <v>2.0063</v>
      </c>
      <c r="V946" s="25" t="s">
        <v>1538</v>
      </c>
      <c r="W946" t="s">
        <v>15</v>
      </c>
      <c r="X946" t="s">
        <v>18</v>
      </c>
      <c r="Y946" s="1" t="s">
        <v>862</v>
      </c>
    </row>
    <row r="947" spans="1:25" x14ac:dyDescent="0.25">
      <c r="A947" s="4">
        <v>1624</v>
      </c>
      <c r="B947" s="9" t="s">
        <v>870</v>
      </c>
      <c r="C947" s="8" t="s">
        <v>869</v>
      </c>
      <c r="D947" s="6" t="s">
        <v>534</v>
      </c>
      <c r="E947" s="10">
        <v>6</v>
      </c>
      <c r="F947">
        <v>11.300440796394501</v>
      </c>
      <c r="G947">
        <v>3.0201952751610301</v>
      </c>
      <c r="H947" t="s">
        <v>861</v>
      </c>
      <c r="I947" t="s">
        <v>266</v>
      </c>
      <c r="J947" t="s">
        <v>267</v>
      </c>
      <c r="K947" t="s">
        <v>1434</v>
      </c>
      <c r="L947">
        <v>278</v>
      </c>
      <c r="M947" t="s">
        <v>1453</v>
      </c>
      <c r="N947">
        <v>280</v>
      </c>
      <c r="O947" t="s">
        <v>860</v>
      </c>
      <c r="P947" s="1" t="s">
        <v>859</v>
      </c>
      <c r="Q947" s="25">
        <v>45.937736000000001</v>
      </c>
      <c r="R947" s="25">
        <v>10.633381999999999</v>
      </c>
      <c r="S947">
        <v>-2.0063</v>
      </c>
      <c r="T947">
        <v>25.411300000000001</v>
      </c>
      <c r="U947">
        <v>2.0063</v>
      </c>
      <c r="V947" s="25" t="s">
        <v>1538</v>
      </c>
      <c r="W947" t="s">
        <v>15</v>
      </c>
      <c r="X947" t="s">
        <v>18</v>
      </c>
      <c r="Y947" s="1" t="s">
        <v>862</v>
      </c>
    </row>
    <row r="948" spans="1:25" x14ac:dyDescent="0.25">
      <c r="A948" s="4">
        <v>1625</v>
      </c>
      <c r="B948" s="9" t="s">
        <v>871</v>
      </c>
      <c r="C948" s="8" t="s">
        <v>1192</v>
      </c>
      <c r="D948" s="10" t="s">
        <v>434</v>
      </c>
      <c r="E948" s="10">
        <v>6</v>
      </c>
      <c r="F948">
        <v>10.409401233927801</v>
      </c>
      <c r="G948">
        <v>4.9503448545416697</v>
      </c>
      <c r="H948" t="s">
        <v>861</v>
      </c>
      <c r="I948" t="s">
        <v>266</v>
      </c>
      <c r="J948" t="s">
        <v>267</v>
      </c>
      <c r="K948" t="s">
        <v>1434</v>
      </c>
      <c r="L948">
        <v>278</v>
      </c>
      <c r="M948" t="s">
        <v>1453</v>
      </c>
      <c r="N948">
        <v>280</v>
      </c>
      <c r="O948" t="s">
        <v>860</v>
      </c>
      <c r="P948" s="1" t="s">
        <v>859</v>
      </c>
      <c r="Q948" s="25">
        <v>45.937736000000001</v>
      </c>
      <c r="R948" s="25">
        <v>10.633381999999999</v>
      </c>
      <c r="S948">
        <v>-2.0063</v>
      </c>
      <c r="T948">
        <v>25.411300000000001</v>
      </c>
      <c r="U948">
        <v>2.0063</v>
      </c>
      <c r="V948" s="25" t="s">
        <v>1538</v>
      </c>
      <c r="W948" t="s">
        <v>15</v>
      </c>
      <c r="X948" t="s">
        <v>18</v>
      </c>
      <c r="Y948" s="1" t="s">
        <v>862</v>
      </c>
    </row>
    <row r="949" spans="1:25" x14ac:dyDescent="0.25">
      <c r="A949" s="4">
        <v>1626</v>
      </c>
      <c r="B949" s="9">
        <v>1852</v>
      </c>
      <c r="C949" s="8" t="s">
        <v>1192</v>
      </c>
      <c r="D949" s="10" t="s">
        <v>434</v>
      </c>
      <c r="E949" s="10">
        <v>6</v>
      </c>
      <c r="F949">
        <v>2.7890799442048801</v>
      </c>
      <c r="G949">
        <v>1.25877755224689</v>
      </c>
      <c r="H949" t="s">
        <v>861</v>
      </c>
      <c r="I949" t="s">
        <v>266</v>
      </c>
      <c r="J949" t="s">
        <v>267</v>
      </c>
      <c r="K949" t="s">
        <v>1434</v>
      </c>
      <c r="L949">
        <v>278</v>
      </c>
      <c r="M949" t="s">
        <v>1453</v>
      </c>
      <c r="N949">
        <v>280</v>
      </c>
      <c r="O949" t="s">
        <v>860</v>
      </c>
      <c r="P949" s="1" t="s">
        <v>859</v>
      </c>
      <c r="Q949" s="25">
        <v>45.937736000000001</v>
      </c>
      <c r="R949" s="25">
        <v>10.633381999999999</v>
      </c>
      <c r="S949">
        <v>-2.0063</v>
      </c>
      <c r="T949">
        <v>25.411300000000001</v>
      </c>
      <c r="U949">
        <v>2.0063</v>
      </c>
      <c r="V949" s="25" t="s">
        <v>1538</v>
      </c>
      <c r="W949" t="s">
        <v>15</v>
      </c>
      <c r="X949" t="s">
        <v>18</v>
      </c>
      <c r="Y949" s="1" t="s">
        <v>872</v>
      </c>
    </row>
    <row r="950" spans="1:25" x14ac:dyDescent="0.25">
      <c r="A950" s="4">
        <v>1627</v>
      </c>
      <c r="B950" s="9">
        <v>1849</v>
      </c>
      <c r="C950" s="8" t="s">
        <v>1192</v>
      </c>
      <c r="D950" s="6" t="s">
        <v>60</v>
      </c>
      <c r="E950" s="10">
        <v>5</v>
      </c>
      <c r="F950">
        <v>5.8141206464591404</v>
      </c>
      <c r="G950">
        <v>0.67134173790514695</v>
      </c>
      <c r="H950" t="s">
        <v>861</v>
      </c>
      <c r="I950" t="s">
        <v>266</v>
      </c>
      <c r="J950" t="s">
        <v>267</v>
      </c>
      <c r="K950" t="s">
        <v>1434</v>
      </c>
      <c r="L950">
        <v>278</v>
      </c>
      <c r="M950" t="s">
        <v>1453</v>
      </c>
      <c r="N950">
        <v>280</v>
      </c>
      <c r="O950" t="s">
        <v>860</v>
      </c>
      <c r="P950" s="1" t="s">
        <v>859</v>
      </c>
      <c r="Q950" s="25">
        <v>45.937736000000001</v>
      </c>
      <c r="R950" s="25">
        <v>10.633381999999999</v>
      </c>
      <c r="S950">
        <v>-2.0063</v>
      </c>
      <c r="T950">
        <v>25.411300000000001</v>
      </c>
      <c r="U950">
        <v>2.0063</v>
      </c>
      <c r="V950" s="25" t="s">
        <v>1538</v>
      </c>
      <c r="W950" t="s">
        <v>15</v>
      </c>
      <c r="X950" t="s">
        <v>18</v>
      </c>
      <c r="Y950" s="1" t="s">
        <v>872</v>
      </c>
    </row>
    <row r="951" spans="1:25" x14ac:dyDescent="0.25">
      <c r="A951" s="4">
        <v>1628</v>
      </c>
      <c r="B951" s="9" t="s">
        <v>873</v>
      </c>
      <c r="C951" s="8" t="s">
        <v>1192</v>
      </c>
      <c r="D951" s="6" t="s">
        <v>28</v>
      </c>
      <c r="E951" s="10">
        <v>6</v>
      </c>
      <c r="F951">
        <v>10.339237932144099</v>
      </c>
      <c r="G951">
        <v>3.9545912219734398</v>
      </c>
      <c r="H951" t="s">
        <v>861</v>
      </c>
      <c r="I951" t="s">
        <v>266</v>
      </c>
      <c r="J951" t="s">
        <v>267</v>
      </c>
      <c r="K951" t="s">
        <v>1434</v>
      </c>
      <c r="L951">
        <v>278</v>
      </c>
      <c r="M951" t="s">
        <v>1453</v>
      </c>
      <c r="N951">
        <v>280</v>
      </c>
      <c r="O951" t="s">
        <v>860</v>
      </c>
      <c r="P951" s="1" t="s">
        <v>859</v>
      </c>
      <c r="Q951" s="25">
        <v>45.937736000000001</v>
      </c>
      <c r="R951" s="25">
        <v>10.633381999999999</v>
      </c>
      <c r="S951">
        <v>-2.0063</v>
      </c>
      <c r="T951">
        <v>25.411300000000001</v>
      </c>
      <c r="U951">
        <v>2.0063</v>
      </c>
      <c r="V951" s="25" t="s">
        <v>1538</v>
      </c>
      <c r="W951" t="s">
        <v>15</v>
      </c>
      <c r="X951" t="s">
        <v>18</v>
      </c>
      <c r="Y951" s="1" t="s">
        <v>872</v>
      </c>
    </row>
    <row r="952" spans="1:25" x14ac:dyDescent="0.25">
      <c r="A952" s="4">
        <v>1629</v>
      </c>
      <c r="B952" s="9" t="s">
        <v>875</v>
      </c>
      <c r="C952" s="8" t="s">
        <v>874</v>
      </c>
      <c r="D952" s="6" t="s">
        <v>28</v>
      </c>
      <c r="E952" s="10">
        <v>6</v>
      </c>
      <c r="F952">
        <v>5.5488809803975903</v>
      </c>
      <c r="G952">
        <v>3.3215601488875501</v>
      </c>
      <c r="H952" t="s">
        <v>861</v>
      </c>
      <c r="I952" t="s">
        <v>266</v>
      </c>
      <c r="J952" t="s">
        <v>267</v>
      </c>
      <c r="K952" t="s">
        <v>1434</v>
      </c>
      <c r="L952">
        <v>278</v>
      </c>
      <c r="M952" t="s">
        <v>1453</v>
      </c>
      <c r="N952">
        <v>280</v>
      </c>
      <c r="O952" t="s">
        <v>860</v>
      </c>
      <c r="P952" s="1" t="s">
        <v>859</v>
      </c>
      <c r="Q952" s="25">
        <v>45.937736000000001</v>
      </c>
      <c r="R952" s="25">
        <v>10.633381999999999</v>
      </c>
      <c r="S952">
        <v>-2.0063</v>
      </c>
      <c r="T952">
        <v>25.411300000000001</v>
      </c>
      <c r="U952">
        <v>2.0063</v>
      </c>
      <c r="V952" s="25" t="s">
        <v>1538</v>
      </c>
      <c r="W952" t="s">
        <v>15</v>
      </c>
      <c r="X952" t="s">
        <v>18</v>
      </c>
      <c r="Y952" s="1" t="s">
        <v>872</v>
      </c>
    </row>
    <row r="953" spans="1:25" x14ac:dyDescent="0.25">
      <c r="A953" s="4">
        <v>1630</v>
      </c>
      <c r="B953" s="9" t="s">
        <v>876</v>
      </c>
      <c r="C953" s="8" t="s">
        <v>1192</v>
      </c>
      <c r="D953" s="6" t="s">
        <v>28</v>
      </c>
      <c r="E953" s="10">
        <v>6</v>
      </c>
      <c r="F953">
        <v>8.58777484253614</v>
      </c>
      <c r="G953">
        <v>3.6720087575507998</v>
      </c>
      <c r="H953" t="s">
        <v>861</v>
      </c>
      <c r="I953" t="s">
        <v>266</v>
      </c>
      <c r="J953" t="s">
        <v>267</v>
      </c>
      <c r="K953" t="s">
        <v>1434</v>
      </c>
      <c r="L953">
        <v>278</v>
      </c>
      <c r="M953" t="s">
        <v>1453</v>
      </c>
      <c r="N953">
        <v>280</v>
      </c>
      <c r="O953" t="s">
        <v>860</v>
      </c>
      <c r="P953" s="1" t="s">
        <v>859</v>
      </c>
      <c r="Q953" s="25">
        <v>45.937736000000001</v>
      </c>
      <c r="R953" s="25">
        <v>10.633381999999999</v>
      </c>
      <c r="S953">
        <v>-2.0063</v>
      </c>
      <c r="T953">
        <v>25.411300000000001</v>
      </c>
      <c r="U953">
        <v>2.0063</v>
      </c>
      <c r="V953" s="25" t="s">
        <v>1538</v>
      </c>
      <c r="W953" t="s">
        <v>15</v>
      </c>
      <c r="X953" t="s">
        <v>18</v>
      </c>
      <c r="Y953" s="1" t="s">
        <v>872</v>
      </c>
    </row>
    <row r="954" spans="1:25" x14ac:dyDescent="0.25">
      <c r="A954" s="4">
        <v>1631</v>
      </c>
      <c r="B954" s="9" t="s">
        <v>878</v>
      </c>
      <c r="C954" s="8" t="s">
        <v>874</v>
      </c>
      <c r="D954" s="6" t="s">
        <v>59</v>
      </c>
      <c r="E954" s="10">
        <v>5</v>
      </c>
      <c r="F954">
        <v>15.293437938742899</v>
      </c>
      <c r="G954">
        <v>5.6660596821020501</v>
      </c>
      <c r="H954" t="s">
        <v>861</v>
      </c>
      <c r="I954" t="s">
        <v>266</v>
      </c>
      <c r="J954" t="s">
        <v>267</v>
      </c>
      <c r="K954" t="s">
        <v>1434</v>
      </c>
      <c r="L954">
        <v>278</v>
      </c>
      <c r="M954" t="s">
        <v>1453</v>
      </c>
      <c r="N954">
        <v>280</v>
      </c>
      <c r="O954" t="s">
        <v>860</v>
      </c>
      <c r="P954" s="1" t="s">
        <v>859</v>
      </c>
      <c r="Q954" s="25">
        <v>45.937736000000001</v>
      </c>
      <c r="R954" s="25">
        <v>10.633381999999999</v>
      </c>
      <c r="S954">
        <v>-2.0063</v>
      </c>
      <c r="T954">
        <v>25.411300000000001</v>
      </c>
      <c r="U954">
        <v>2.0063</v>
      </c>
      <c r="V954" s="25" t="s">
        <v>1538</v>
      </c>
      <c r="W954" t="s">
        <v>15</v>
      </c>
      <c r="X954" t="s">
        <v>18</v>
      </c>
      <c r="Y954" s="1" t="s">
        <v>872</v>
      </c>
    </row>
    <row r="955" spans="1:25" x14ac:dyDescent="0.25">
      <c r="A955" s="4">
        <v>1632</v>
      </c>
      <c r="B955" s="9" t="s">
        <v>879</v>
      </c>
      <c r="C955" s="8" t="s">
        <v>874</v>
      </c>
      <c r="D955" s="6" t="s">
        <v>137</v>
      </c>
      <c r="E955" s="10">
        <v>6</v>
      </c>
      <c r="F955">
        <v>10.8727347325725</v>
      </c>
      <c r="G955">
        <v>5.7984526141776502</v>
      </c>
      <c r="H955" t="s">
        <v>861</v>
      </c>
      <c r="I955" t="s">
        <v>266</v>
      </c>
      <c r="J955" t="s">
        <v>267</v>
      </c>
      <c r="K955" t="s">
        <v>1434</v>
      </c>
      <c r="L955">
        <v>278</v>
      </c>
      <c r="M955" t="s">
        <v>1453</v>
      </c>
      <c r="N955">
        <v>280</v>
      </c>
      <c r="O955" t="s">
        <v>860</v>
      </c>
      <c r="P955" s="1" t="s">
        <v>859</v>
      </c>
      <c r="Q955" s="25">
        <v>45.937736000000001</v>
      </c>
      <c r="R955" s="25">
        <v>10.633381999999999</v>
      </c>
      <c r="S955">
        <v>-2.0063</v>
      </c>
      <c r="T955">
        <v>25.411300000000001</v>
      </c>
      <c r="U955">
        <v>2.0063</v>
      </c>
      <c r="V955" s="25" t="s">
        <v>1538</v>
      </c>
      <c r="W955" t="s">
        <v>15</v>
      </c>
      <c r="X955" t="s">
        <v>18</v>
      </c>
      <c r="Y955" s="1" t="s">
        <v>872</v>
      </c>
    </row>
    <row r="956" spans="1:25" x14ac:dyDescent="0.25">
      <c r="A956" s="4">
        <v>1634</v>
      </c>
      <c r="B956" s="9" t="s">
        <v>881</v>
      </c>
      <c r="C956" s="8" t="s">
        <v>880</v>
      </c>
      <c r="D956" s="6" t="s">
        <v>534</v>
      </c>
      <c r="E956" s="10">
        <v>6</v>
      </c>
      <c r="F956">
        <v>8.9548641006558594</v>
      </c>
      <c r="G956">
        <v>3.9260161788268202</v>
      </c>
      <c r="H956" t="s">
        <v>861</v>
      </c>
      <c r="I956" t="s">
        <v>266</v>
      </c>
      <c r="J956" t="s">
        <v>267</v>
      </c>
      <c r="K956" t="s">
        <v>1434</v>
      </c>
      <c r="L956">
        <v>278</v>
      </c>
      <c r="M956" t="s">
        <v>1453</v>
      </c>
      <c r="N956">
        <v>280</v>
      </c>
      <c r="O956" t="s">
        <v>860</v>
      </c>
      <c r="P956" s="1" t="s">
        <v>859</v>
      </c>
      <c r="Q956" s="25">
        <v>45.937736000000001</v>
      </c>
      <c r="R956" s="25">
        <v>10.633381999999999</v>
      </c>
      <c r="S956">
        <v>-2.0063</v>
      </c>
      <c r="T956">
        <v>25.411300000000001</v>
      </c>
      <c r="U956">
        <v>2.0063</v>
      </c>
      <c r="V956" s="25" t="s">
        <v>1538</v>
      </c>
      <c r="W956" t="s">
        <v>15</v>
      </c>
      <c r="X956" t="s">
        <v>18</v>
      </c>
      <c r="Y956" s="1" t="s">
        <v>872</v>
      </c>
    </row>
    <row r="957" spans="1:25" x14ac:dyDescent="0.25">
      <c r="A957" s="4">
        <v>1635</v>
      </c>
      <c r="B957" s="9" t="s">
        <v>889</v>
      </c>
      <c r="C957" s="8" t="s">
        <v>888</v>
      </c>
      <c r="D957" s="6" t="s">
        <v>721</v>
      </c>
      <c r="E957" s="10">
        <v>6</v>
      </c>
      <c r="F957">
        <v>14.7742327683944</v>
      </c>
      <c r="G957">
        <v>7.7525106535881498</v>
      </c>
      <c r="H957" t="s">
        <v>861</v>
      </c>
      <c r="I957" t="s">
        <v>266</v>
      </c>
      <c r="J957" t="s">
        <v>267</v>
      </c>
      <c r="K957" t="s">
        <v>1434</v>
      </c>
      <c r="L957">
        <v>278</v>
      </c>
      <c r="M957" t="s">
        <v>1453</v>
      </c>
      <c r="N957">
        <v>280</v>
      </c>
      <c r="O957" t="s">
        <v>886</v>
      </c>
      <c r="P957" s="1" t="s">
        <v>885</v>
      </c>
      <c r="Q957" s="25">
        <v>46.436137000000002</v>
      </c>
      <c r="R957" s="26">
        <v>11.044832</v>
      </c>
      <c r="S957">
        <v>-1.9039999999999999</v>
      </c>
      <c r="T957">
        <v>25.976500000000001</v>
      </c>
      <c r="U957">
        <v>1.9039999999999999</v>
      </c>
      <c r="V957" s="25" t="s">
        <v>1538</v>
      </c>
      <c r="W957" t="s">
        <v>15</v>
      </c>
      <c r="X957" t="s">
        <v>18</v>
      </c>
      <c r="Y957" s="1" t="s">
        <v>883</v>
      </c>
    </row>
    <row r="958" spans="1:25" x14ac:dyDescent="0.25">
      <c r="A958" s="4">
        <v>1636</v>
      </c>
      <c r="B958" s="9">
        <v>12387</v>
      </c>
      <c r="C958" s="8" t="s">
        <v>70</v>
      </c>
      <c r="D958" s="6" t="s">
        <v>60</v>
      </c>
      <c r="E958" s="10">
        <v>5</v>
      </c>
      <c r="F958">
        <v>4.89220059887462</v>
      </c>
      <c r="G958">
        <v>0.710215065183322</v>
      </c>
      <c r="H958" t="s">
        <v>52</v>
      </c>
      <c r="I958" t="s">
        <v>266</v>
      </c>
      <c r="J958" t="s">
        <v>267</v>
      </c>
      <c r="K958" t="s">
        <v>1432</v>
      </c>
      <c r="L958">
        <v>287</v>
      </c>
      <c r="M958" t="s">
        <v>1453</v>
      </c>
      <c r="N958">
        <v>280</v>
      </c>
      <c r="O958" t="s">
        <v>54</v>
      </c>
      <c r="P958" s="1" t="s">
        <v>1446</v>
      </c>
      <c r="Q958" s="25">
        <v>-28.499604999999999</v>
      </c>
      <c r="R958" s="25">
        <v>-65.545153999999997</v>
      </c>
      <c r="S958">
        <v>-41.306399999999996</v>
      </c>
      <c r="T958">
        <v>-45.6892</v>
      </c>
      <c r="U958">
        <v>41.306399999999996</v>
      </c>
      <c r="V958" t="s">
        <v>1537</v>
      </c>
      <c r="W958" t="s">
        <v>14</v>
      </c>
      <c r="X958" t="s">
        <v>17</v>
      </c>
      <c r="Y958" s="1" t="s">
        <v>893</v>
      </c>
    </row>
    <row r="959" spans="1:25" x14ac:dyDescent="0.25">
      <c r="A959" s="4">
        <v>1637</v>
      </c>
      <c r="B959" s="9" t="s">
        <v>1098</v>
      </c>
      <c r="C959" s="8" t="s">
        <v>1095</v>
      </c>
      <c r="D959" s="6" t="s">
        <v>1094</v>
      </c>
      <c r="E959" s="10">
        <v>6</v>
      </c>
      <c r="F959">
        <v>9.5575878485589705</v>
      </c>
      <c r="G959">
        <v>6.8512010300947797</v>
      </c>
      <c r="H959" t="s">
        <v>398</v>
      </c>
      <c r="I959" t="s">
        <v>266</v>
      </c>
      <c r="J959" t="s">
        <v>267</v>
      </c>
      <c r="L959">
        <v>286</v>
      </c>
      <c r="M959" t="s">
        <v>1453</v>
      </c>
      <c r="N959">
        <v>280</v>
      </c>
      <c r="O959" t="s">
        <v>1090</v>
      </c>
      <c r="P959" s="1" t="s">
        <v>1089</v>
      </c>
      <c r="Q959" s="25">
        <v>50.642986000000001</v>
      </c>
      <c r="R959" s="25">
        <v>16.239177999999999</v>
      </c>
      <c r="S959">
        <v>11.4331</v>
      </c>
      <c r="T959">
        <v>26.991900000000001</v>
      </c>
      <c r="U959">
        <v>11.4331</v>
      </c>
      <c r="V959" t="s">
        <v>1538</v>
      </c>
      <c r="W959" t="s">
        <v>15</v>
      </c>
      <c r="X959" t="s">
        <v>17</v>
      </c>
      <c r="Y959" s="1" t="s">
        <v>1091</v>
      </c>
    </row>
    <row r="960" spans="1:25" x14ac:dyDescent="0.25">
      <c r="A960" s="4">
        <v>1641</v>
      </c>
      <c r="B960" s="9" t="s">
        <v>1101</v>
      </c>
      <c r="C960" s="8" t="s">
        <v>1095</v>
      </c>
      <c r="D960" s="6" t="s">
        <v>64</v>
      </c>
      <c r="E960" s="10">
        <v>8</v>
      </c>
      <c r="F960">
        <v>0.879498129534795</v>
      </c>
      <c r="G960">
        <v>0.12049375342889899</v>
      </c>
      <c r="H960" t="s">
        <v>398</v>
      </c>
      <c r="I960" t="s">
        <v>266</v>
      </c>
      <c r="J960" t="s">
        <v>267</v>
      </c>
      <c r="L960">
        <v>286</v>
      </c>
      <c r="M960" t="s">
        <v>1453</v>
      </c>
      <c r="N960">
        <v>280</v>
      </c>
      <c r="O960" t="s">
        <v>1090</v>
      </c>
      <c r="P960" s="1" t="s">
        <v>1089</v>
      </c>
      <c r="Q960" s="25">
        <v>50.642986000000001</v>
      </c>
      <c r="R960" s="25">
        <v>16.239177999999999</v>
      </c>
      <c r="S960">
        <v>11.4331</v>
      </c>
      <c r="T960">
        <v>26.991900000000001</v>
      </c>
      <c r="U960">
        <v>11.4331</v>
      </c>
      <c r="V960" t="s">
        <v>1538</v>
      </c>
      <c r="W960" t="s">
        <v>15</v>
      </c>
      <c r="X960" t="s">
        <v>17</v>
      </c>
      <c r="Y960" s="1" t="s">
        <v>1091</v>
      </c>
    </row>
    <row r="961" spans="1:25" x14ac:dyDescent="0.25">
      <c r="A961" s="4">
        <v>1648</v>
      </c>
      <c r="B961" s="9" t="s">
        <v>1103</v>
      </c>
      <c r="C961" s="8" t="s">
        <v>1095</v>
      </c>
      <c r="D961" s="6" t="s">
        <v>64</v>
      </c>
      <c r="E961" s="10">
        <v>8</v>
      </c>
      <c r="F961">
        <v>1.04672313206626</v>
      </c>
      <c r="G961">
        <v>0.258895219301363</v>
      </c>
      <c r="H961" t="s">
        <v>398</v>
      </c>
      <c r="I961" t="s">
        <v>266</v>
      </c>
      <c r="J961" t="s">
        <v>267</v>
      </c>
      <c r="L961">
        <v>286</v>
      </c>
      <c r="M961" t="s">
        <v>1453</v>
      </c>
      <c r="N961">
        <v>280</v>
      </c>
      <c r="O961" t="s">
        <v>1090</v>
      </c>
      <c r="P961" s="1" t="s">
        <v>1089</v>
      </c>
      <c r="Q961" s="25">
        <v>50.642986000000001</v>
      </c>
      <c r="R961" s="25">
        <v>16.239177999999999</v>
      </c>
      <c r="S961">
        <v>11.4331</v>
      </c>
      <c r="T961">
        <v>26.991900000000001</v>
      </c>
      <c r="U961">
        <v>11.4331</v>
      </c>
      <c r="V961" t="s">
        <v>1538</v>
      </c>
      <c r="W961" t="s">
        <v>15</v>
      </c>
      <c r="X961" t="s">
        <v>17</v>
      </c>
      <c r="Y961" s="1" t="s">
        <v>1091</v>
      </c>
    </row>
    <row r="962" spans="1:25" x14ac:dyDescent="0.25">
      <c r="A962" s="4">
        <v>1656</v>
      </c>
      <c r="B962" s="9" t="s">
        <v>1102</v>
      </c>
      <c r="C962" s="8" t="s">
        <v>1095</v>
      </c>
      <c r="D962" s="6" t="s">
        <v>60</v>
      </c>
      <c r="E962" s="10">
        <v>5</v>
      </c>
      <c r="F962">
        <v>1.21067120366143</v>
      </c>
      <c r="G962">
        <v>0.129001142049157</v>
      </c>
      <c r="H962" t="s">
        <v>398</v>
      </c>
      <c r="I962" t="s">
        <v>266</v>
      </c>
      <c r="J962" t="s">
        <v>267</v>
      </c>
      <c r="L962">
        <v>286</v>
      </c>
      <c r="M962" t="s">
        <v>1453</v>
      </c>
      <c r="N962">
        <v>280</v>
      </c>
      <c r="O962" t="s">
        <v>1090</v>
      </c>
      <c r="P962" s="1" t="s">
        <v>1089</v>
      </c>
      <c r="Q962" s="25">
        <v>50.642986000000001</v>
      </c>
      <c r="R962" s="25">
        <v>16.239177999999999</v>
      </c>
      <c r="S962">
        <v>11.4331</v>
      </c>
      <c r="T962">
        <v>26.991900000000001</v>
      </c>
      <c r="U962">
        <v>11.4331</v>
      </c>
      <c r="V962" t="s">
        <v>1538</v>
      </c>
      <c r="W962" t="s">
        <v>15</v>
      </c>
      <c r="X962" t="s">
        <v>17</v>
      </c>
      <c r="Y962" s="1" t="s">
        <v>1091</v>
      </c>
    </row>
    <row r="963" spans="1:25" x14ac:dyDescent="0.25">
      <c r="A963" s="4">
        <v>1658</v>
      </c>
      <c r="B963" s="9" t="s">
        <v>1102</v>
      </c>
      <c r="C963" s="8" t="s">
        <v>1095</v>
      </c>
      <c r="D963" s="6" t="s">
        <v>64</v>
      </c>
      <c r="E963" s="10">
        <v>8</v>
      </c>
      <c r="F963">
        <v>1.1646854863610201</v>
      </c>
      <c r="G963">
        <v>0.1494253743757</v>
      </c>
      <c r="H963" t="s">
        <v>398</v>
      </c>
      <c r="I963" t="s">
        <v>266</v>
      </c>
      <c r="J963" t="s">
        <v>267</v>
      </c>
      <c r="L963">
        <v>286</v>
      </c>
      <c r="M963" t="s">
        <v>1453</v>
      </c>
      <c r="N963">
        <v>280</v>
      </c>
      <c r="O963" t="s">
        <v>1090</v>
      </c>
      <c r="P963" s="1" t="s">
        <v>1089</v>
      </c>
      <c r="Q963" s="25">
        <v>50.642986000000001</v>
      </c>
      <c r="R963" s="25">
        <v>16.239177999999999</v>
      </c>
      <c r="S963">
        <v>11.4331</v>
      </c>
      <c r="T963">
        <v>26.991900000000001</v>
      </c>
      <c r="U963">
        <v>11.4331</v>
      </c>
      <c r="V963" t="s">
        <v>1538</v>
      </c>
      <c r="W963" t="s">
        <v>15</v>
      </c>
      <c r="X963" t="s">
        <v>17</v>
      </c>
      <c r="Y963" s="1" t="s">
        <v>1091</v>
      </c>
    </row>
    <row r="964" spans="1:25" x14ac:dyDescent="0.25">
      <c r="A964" s="4">
        <v>1663</v>
      </c>
      <c r="B964" s="9" t="s">
        <v>1115</v>
      </c>
      <c r="C964" s="8" t="s">
        <v>1095</v>
      </c>
      <c r="D964" s="6" t="s">
        <v>534</v>
      </c>
      <c r="E964" s="10">
        <v>6</v>
      </c>
      <c r="F964">
        <v>12.0675400503187</v>
      </c>
      <c r="G964">
        <v>7.5292658353092703</v>
      </c>
      <c r="H964" t="s">
        <v>398</v>
      </c>
      <c r="I964" t="s">
        <v>266</v>
      </c>
      <c r="J964" t="s">
        <v>267</v>
      </c>
      <c r="L964">
        <v>286</v>
      </c>
      <c r="M964" t="s">
        <v>1453</v>
      </c>
      <c r="N964">
        <v>280</v>
      </c>
      <c r="O964" t="s">
        <v>1090</v>
      </c>
      <c r="P964" s="1" t="s">
        <v>1089</v>
      </c>
      <c r="Q964" s="25">
        <v>50.642986000000001</v>
      </c>
      <c r="R964" s="25">
        <v>16.239177999999999</v>
      </c>
      <c r="S964">
        <v>11.4331</v>
      </c>
      <c r="T964">
        <v>26.991900000000001</v>
      </c>
      <c r="U964">
        <v>11.4331</v>
      </c>
      <c r="V964" t="s">
        <v>1538</v>
      </c>
      <c r="W964" t="s">
        <v>15</v>
      </c>
      <c r="X964" t="s">
        <v>17</v>
      </c>
      <c r="Y964" s="1" t="s">
        <v>1091</v>
      </c>
    </row>
    <row r="965" spans="1:25" x14ac:dyDescent="0.25">
      <c r="A965" s="4">
        <v>1664</v>
      </c>
      <c r="B965" s="9" t="s">
        <v>1116</v>
      </c>
      <c r="C965" s="8" t="s">
        <v>1095</v>
      </c>
      <c r="D965" s="6" t="s">
        <v>534</v>
      </c>
      <c r="E965" s="10">
        <v>6</v>
      </c>
      <c r="F965">
        <v>12.032165255468801</v>
      </c>
      <c r="G965">
        <v>6.5783560184005401</v>
      </c>
      <c r="H965" t="s">
        <v>398</v>
      </c>
      <c r="I965" t="s">
        <v>266</v>
      </c>
      <c r="J965" t="s">
        <v>267</v>
      </c>
      <c r="L965">
        <v>286</v>
      </c>
      <c r="M965" t="s">
        <v>1453</v>
      </c>
      <c r="N965">
        <v>280</v>
      </c>
      <c r="O965" t="s">
        <v>1090</v>
      </c>
      <c r="P965" s="1" t="s">
        <v>1089</v>
      </c>
      <c r="Q965" s="25">
        <v>50.642986000000001</v>
      </c>
      <c r="R965" s="25">
        <v>16.239177999999999</v>
      </c>
      <c r="S965">
        <v>11.4331</v>
      </c>
      <c r="T965">
        <v>26.991900000000001</v>
      </c>
      <c r="U965">
        <v>11.4331</v>
      </c>
      <c r="V965" t="s">
        <v>1538</v>
      </c>
      <c r="W965" t="s">
        <v>15</v>
      </c>
      <c r="X965" t="s">
        <v>17</v>
      </c>
      <c r="Y965" s="1" t="s">
        <v>1091</v>
      </c>
    </row>
    <row r="966" spans="1:25" x14ac:dyDescent="0.25">
      <c r="A966" s="4">
        <v>1665</v>
      </c>
      <c r="B966" s="9" t="s">
        <v>1122</v>
      </c>
      <c r="C966" s="8" t="s">
        <v>1095</v>
      </c>
      <c r="D966" s="6" t="s">
        <v>1121</v>
      </c>
      <c r="E966" s="10">
        <v>6</v>
      </c>
      <c r="F966">
        <v>9.03181226486236</v>
      </c>
      <c r="G966">
        <v>5.3279605139534096</v>
      </c>
      <c r="H966" t="s">
        <v>398</v>
      </c>
      <c r="I966" t="s">
        <v>266</v>
      </c>
      <c r="J966" t="s">
        <v>267</v>
      </c>
      <c r="L966">
        <v>286</v>
      </c>
      <c r="M966" t="s">
        <v>1453</v>
      </c>
      <c r="N966">
        <v>280</v>
      </c>
      <c r="O966" t="s">
        <v>1090</v>
      </c>
      <c r="P966" s="1" t="s">
        <v>1089</v>
      </c>
      <c r="Q966" s="25">
        <v>50.642986000000001</v>
      </c>
      <c r="R966" s="25">
        <v>16.239177999999999</v>
      </c>
      <c r="S966">
        <v>11.4331</v>
      </c>
      <c r="T966">
        <v>26.991900000000001</v>
      </c>
      <c r="U966">
        <v>11.4331</v>
      </c>
      <c r="V966" t="s">
        <v>1538</v>
      </c>
      <c r="W966" t="s">
        <v>15</v>
      </c>
      <c r="X966" t="s">
        <v>17</v>
      </c>
      <c r="Y966" s="1" t="s">
        <v>1091</v>
      </c>
    </row>
    <row r="967" spans="1:25" x14ac:dyDescent="0.25">
      <c r="A967" s="4">
        <v>1666</v>
      </c>
      <c r="B967" s="9" t="s">
        <v>1122</v>
      </c>
      <c r="C967" s="8" t="s">
        <v>1095</v>
      </c>
      <c r="D967" s="6" t="s">
        <v>1121</v>
      </c>
      <c r="E967" s="10">
        <v>6</v>
      </c>
      <c r="F967">
        <v>7.3775885818993201</v>
      </c>
      <c r="G967">
        <v>4.2352216440957999</v>
      </c>
      <c r="H967" t="s">
        <v>398</v>
      </c>
      <c r="I967" t="s">
        <v>266</v>
      </c>
      <c r="J967" t="s">
        <v>267</v>
      </c>
      <c r="L967">
        <v>286</v>
      </c>
      <c r="M967" t="s">
        <v>1453</v>
      </c>
      <c r="N967">
        <v>280</v>
      </c>
      <c r="O967" t="s">
        <v>1090</v>
      </c>
      <c r="P967" s="1" t="s">
        <v>1089</v>
      </c>
      <c r="Q967" s="25">
        <v>50.642986000000001</v>
      </c>
      <c r="R967" s="25">
        <v>16.239177999999999</v>
      </c>
      <c r="S967">
        <v>11.4331</v>
      </c>
      <c r="T967">
        <v>26.991900000000001</v>
      </c>
      <c r="U967">
        <v>11.4331</v>
      </c>
      <c r="V967" t="s">
        <v>1538</v>
      </c>
      <c r="W967" t="s">
        <v>15</v>
      </c>
      <c r="X967" t="s">
        <v>17</v>
      </c>
      <c r="Y967" s="1" t="s">
        <v>1091</v>
      </c>
    </row>
    <row r="968" spans="1:25" x14ac:dyDescent="0.25">
      <c r="A968" s="4">
        <v>1667</v>
      </c>
      <c r="B968" s="9" t="s">
        <v>1120</v>
      </c>
      <c r="C968" s="8" t="s">
        <v>1095</v>
      </c>
      <c r="D968" s="6" t="s">
        <v>1121</v>
      </c>
      <c r="E968" s="10">
        <v>6</v>
      </c>
      <c r="F968">
        <v>8.2921405682883904</v>
      </c>
      <c r="G968">
        <v>6.3542516255653698</v>
      </c>
      <c r="H968" t="s">
        <v>398</v>
      </c>
      <c r="I968" t="s">
        <v>266</v>
      </c>
      <c r="J968" t="s">
        <v>267</v>
      </c>
      <c r="L968">
        <v>286</v>
      </c>
      <c r="M968" t="s">
        <v>1453</v>
      </c>
      <c r="N968">
        <v>280</v>
      </c>
      <c r="O968" t="s">
        <v>1090</v>
      </c>
      <c r="P968" s="1" t="s">
        <v>1089</v>
      </c>
      <c r="Q968" s="25">
        <v>50.642986000000001</v>
      </c>
      <c r="R968" s="25">
        <v>16.239177999999999</v>
      </c>
      <c r="S968">
        <v>11.4331</v>
      </c>
      <c r="T968">
        <v>26.991900000000001</v>
      </c>
      <c r="U968">
        <v>11.4331</v>
      </c>
      <c r="V968" t="s">
        <v>1538</v>
      </c>
      <c r="W968" t="s">
        <v>15</v>
      </c>
      <c r="X968" t="s">
        <v>17</v>
      </c>
      <c r="Y968" s="1" t="s">
        <v>1091</v>
      </c>
    </row>
    <row r="969" spans="1:25" x14ac:dyDescent="0.25">
      <c r="A969" s="4">
        <v>1668</v>
      </c>
      <c r="B969" s="9" t="s">
        <v>1128</v>
      </c>
      <c r="C969" s="8" t="s">
        <v>1095</v>
      </c>
      <c r="D969" s="6" t="s">
        <v>1127</v>
      </c>
      <c r="E969" s="10">
        <v>6</v>
      </c>
      <c r="F969">
        <v>14.3985741920377</v>
      </c>
      <c r="G969">
        <v>8.9300161016560899</v>
      </c>
      <c r="H969" t="s">
        <v>398</v>
      </c>
      <c r="I969" t="s">
        <v>266</v>
      </c>
      <c r="J969" t="s">
        <v>267</v>
      </c>
      <c r="L969">
        <v>286</v>
      </c>
      <c r="M969" t="s">
        <v>1453</v>
      </c>
      <c r="N969">
        <v>280</v>
      </c>
      <c r="O969" t="s">
        <v>1090</v>
      </c>
      <c r="P969" s="1" t="s">
        <v>1089</v>
      </c>
      <c r="Q969" s="25">
        <v>50.642986000000001</v>
      </c>
      <c r="R969" s="25">
        <v>16.239177999999999</v>
      </c>
      <c r="S969">
        <v>11.4331</v>
      </c>
      <c r="T969">
        <v>26.991900000000001</v>
      </c>
      <c r="U969">
        <v>11.4331</v>
      </c>
      <c r="V969" t="s">
        <v>1538</v>
      </c>
      <c r="W969" t="s">
        <v>15</v>
      </c>
      <c r="X969" t="s">
        <v>17</v>
      </c>
      <c r="Y969" s="1" t="s">
        <v>1091</v>
      </c>
    </row>
    <row r="970" spans="1:25" x14ac:dyDescent="0.25">
      <c r="A970" s="4">
        <v>1669</v>
      </c>
      <c r="B970" s="9" t="s">
        <v>1129</v>
      </c>
      <c r="C970" s="8" t="s">
        <v>1095</v>
      </c>
      <c r="D970" s="6" t="s">
        <v>1127</v>
      </c>
      <c r="E970" s="10">
        <v>6</v>
      </c>
      <c r="F970">
        <v>13.3647808675642</v>
      </c>
      <c r="G970">
        <v>8.2610543749117191</v>
      </c>
      <c r="H970" t="s">
        <v>398</v>
      </c>
      <c r="I970" t="s">
        <v>266</v>
      </c>
      <c r="J970" t="s">
        <v>267</v>
      </c>
      <c r="L970">
        <v>286</v>
      </c>
      <c r="M970" t="s">
        <v>1453</v>
      </c>
      <c r="N970">
        <v>280</v>
      </c>
      <c r="O970" t="s">
        <v>1090</v>
      </c>
      <c r="P970" s="1" t="s">
        <v>1089</v>
      </c>
      <c r="Q970" s="25">
        <v>50.642986000000001</v>
      </c>
      <c r="R970" s="25">
        <v>16.239177999999999</v>
      </c>
      <c r="S970">
        <v>11.4331</v>
      </c>
      <c r="T970">
        <v>26.991900000000001</v>
      </c>
      <c r="U970">
        <v>11.4331</v>
      </c>
      <c r="V970" t="s">
        <v>1538</v>
      </c>
      <c r="W970" t="s">
        <v>15</v>
      </c>
      <c r="X970" t="s">
        <v>17</v>
      </c>
      <c r="Y970" s="1" t="s">
        <v>1091</v>
      </c>
    </row>
    <row r="971" spans="1:25" x14ac:dyDescent="0.25">
      <c r="A971" s="4">
        <v>1670</v>
      </c>
      <c r="B971" s="9" t="s">
        <v>1130</v>
      </c>
      <c r="C971" s="8" t="s">
        <v>1095</v>
      </c>
      <c r="D971" s="6" t="s">
        <v>1127</v>
      </c>
      <c r="E971" s="10">
        <v>6</v>
      </c>
      <c r="F971">
        <v>13.429259077305</v>
      </c>
      <c r="G971">
        <v>9.8887673279952395</v>
      </c>
      <c r="H971" t="s">
        <v>398</v>
      </c>
      <c r="I971" t="s">
        <v>266</v>
      </c>
      <c r="J971" t="s">
        <v>267</v>
      </c>
      <c r="L971">
        <v>286</v>
      </c>
      <c r="M971" t="s">
        <v>1453</v>
      </c>
      <c r="N971">
        <v>280</v>
      </c>
      <c r="O971" t="s">
        <v>1090</v>
      </c>
      <c r="P971" s="1" t="s">
        <v>1089</v>
      </c>
      <c r="Q971" s="25">
        <v>50.642986000000001</v>
      </c>
      <c r="R971" s="25">
        <v>16.239177999999999</v>
      </c>
      <c r="S971">
        <v>11.4331</v>
      </c>
      <c r="T971">
        <v>26.991900000000001</v>
      </c>
      <c r="U971">
        <v>11.4331</v>
      </c>
      <c r="V971" t="s">
        <v>1538</v>
      </c>
      <c r="W971" t="s">
        <v>15</v>
      </c>
      <c r="X971" t="s">
        <v>17</v>
      </c>
      <c r="Y971" s="1" t="s">
        <v>1091</v>
      </c>
    </row>
    <row r="972" spans="1:25" x14ac:dyDescent="0.25">
      <c r="A972" s="4">
        <v>1671</v>
      </c>
      <c r="B972" s="9" t="s">
        <v>1131</v>
      </c>
      <c r="C972" s="8" t="s">
        <v>1095</v>
      </c>
      <c r="D972" s="6" t="s">
        <v>1127</v>
      </c>
      <c r="E972" s="10">
        <v>6</v>
      </c>
      <c r="F972">
        <v>15.281881787795101</v>
      </c>
      <c r="G972">
        <v>9.2013402944221596</v>
      </c>
      <c r="H972" t="s">
        <v>398</v>
      </c>
      <c r="I972" t="s">
        <v>266</v>
      </c>
      <c r="J972" t="s">
        <v>267</v>
      </c>
      <c r="L972">
        <v>286</v>
      </c>
      <c r="M972" t="s">
        <v>1453</v>
      </c>
      <c r="N972">
        <v>280</v>
      </c>
      <c r="O972" t="s">
        <v>1090</v>
      </c>
      <c r="P972" s="1" t="s">
        <v>1089</v>
      </c>
      <c r="Q972" s="25">
        <v>50.642986000000001</v>
      </c>
      <c r="R972" s="25">
        <v>16.239177999999999</v>
      </c>
      <c r="S972">
        <v>11.4331</v>
      </c>
      <c r="T972">
        <v>26.991900000000001</v>
      </c>
      <c r="U972">
        <v>11.4331</v>
      </c>
      <c r="V972" t="s">
        <v>1538</v>
      </c>
      <c r="W972" t="s">
        <v>15</v>
      </c>
      <c r="X972" t="s">
        <v>17</v>
      </c>
      <c r="Y972" s="1" t="s">
        <v>1091</v>
      </c>
    </row>
    <row r="973" spans="1:25" x14ac:dyDescent="0.25">
      <c r="A973" s="4">
        <v>1675</v>
      </c>
      <c r="B973" s="9" t="s">
        <v>1139</v>
      </c>
      <c r="C973" s="8" t="s">
        <v>1138</v>
      </c>
      <c r="D973" s="6" t="s">
        <v>1140</v>
      </c>
      <c r="E973" s="10">
        <v>6</v>
      </c>
      <c r="F973">
        <v>0.95023734534938797</v>
      </c>
      <c r="G973">
        <v>0.35392310410921801</v>
      </c>
      <c r="H973" t="s">
        <v>641</v>
      </c>
      <c r="I973" t="s">
        <v>266</v>
      </c>
      <c r="J973" t="s">
        <v>267</v>
      </c>
      <c r="K973" t="s">
        <v>1453</v>
      </c>
      <c r="L973">
        <v>282</v>
      </c>
      <c r="M973" t="s">
        <v>1453</v>
      </c>
      <c r="N973">
        <v>280</v>
      </c>
      <c r="O973" t="s">
        <v>709</v>
      </c>
      <c r="P973" s="1" t="s">
        <v>1132</v>
      </c>
      <c r="Q973" s="25">
        <v>43.634667999999998</v>
      </c>
      <c r="R973" s="25">
        <v>3.3503750000000001</v>
      </c>
      <c r="S973">
        <v>2.5449999999999999</v>
      </c>
      <c r="T973">
        <v>20.1234</v>
      </c>
      <c r="U973">
        <v>2.5449999999999999</v>
      </c>
      <c r="V973" t="s">
        <v>1538</v>
      </c>
      <c r="W973" t="s">
        <v>14</v>
      </c>
      <c r="X973" t="s">
        <v>17</v>
      </c>
      <c r="Y973" s="1" t="s">
        <v>1133</v>
      </c>
    </row>
    <row r="974" spans="1:25" x14ac:dyDescent="0.25">
      <c r="A974" s="4">
        <v>1679</v>
      </c>
      <c r="B974" s="9" t="s">
        <v>1139</v>
      </c>
      <c r="C974" s="8" t="s">
        <v>1138</v>
      </c>
      <c r="D974" s="6" t="s">
        <v>60</v>
      </c>
      <c r="E974" s="10">
        <v>5</v>
      </c>
      <c r="F974">
        <v>0.94240764950411404</v>
      </c>
      <c r="G974">
        <v>0.13994217903162201</v>
      </c>
      <c r="H974" t="s">
        <v>641</v>
      </c>
      <c r="I974" t="s">
        <v>266</v>
      </c>
      <c r="J974" t="s">
        <v>267</v>
      </c>
      <c r="K974" t="s">
        <v>1453</v>
      </c>
      <c r="L974">
        <v>282</v>
      </c>
      <c r="M974" t="s">
        <v>1453</v>
      </c>
      <c r="N974">
        <v>280</v>
      </c>
      <c r="O974" t="s">
        <v>709</v>
      </c>
      <c r="P974" s="1" t="s">
        <v>1132</v>
      </c>
      <c r="Q974" s="25">
        <v>43.634667999999998</v>
      </c>
      <c r="R974" s="25">
        <v>3.3503750000000001</v>
      </c>
      <c r="S974">
        <v>2.5449999999999999</v>
      </c>
      <c r="T974">
        <v>20.1234</v>
      </c>
      <c r="U974">
        <v>2.5449999999999999</v>
      </c>
      <c r="V974" t="s">
        <v>1538</v>
      </c>
      <c r="W974" t="s">
        <v>14</v>
      </c>
      <c r="X974" t="s">
        <v>17</v>
      </c>
      <c r="Y974" s="1" t="s">
        <v>1133</v>
      </c>
    </row>
    <row r="975" spans="1:25" x14ac:dyDescent="0.25">
      <c r="A975" s="4">
        <v>1684</v>
      </c>
      <c r="B975" s="9" t="s">
        <v>1141</v>
      </c>
      <c r="C975" s="8" t="s">
        <v>1138</v>
      </c>
      <c r="D975" s="6" t="s">
        <v>1140</v>
      </c>
      <c r="E975" s="10">
        <v>6</v>
      </c>
      <c r="F975">
        <v>1.01024519063369</v>
      </c>
      <c r="G975">
        <v>0.36581820769283901</v>
      </c>
      <c r="H975" t="s">
        <v>641</v>
      </c>
      <c r="I975" t="s">
        <v>266</v>
      </c>
      <c r="J975" t="s">
        <v>267</v>
      </c>
      <c r="K975" t="s">
        <v>1453</v>
      </c>
      <c r="L975">
        <v>282</v>
      </c>
      <c r="M975" t="s">
        <v>1453</v>
      </c>
      <c r="N975">
        <v>280</v>
      </c>
      <c r="O975" t="s">
        <v>709</v>
      </c>
      <c r="P975" s="1" t="s">
        <v>1132</v>
      </c>
      <c r="Q975" s="25">
        <v>43.634667999999998</v>
      </c>
      <c r="R975" s="25">
        <v>3.3503750000000001</v>
      </c>
      <c r="S975">
        <v>2.5449999999999999</v>
      </c>
      <c r="T975">
        <v>20.1234</v>
      </c>
      <c r="U975">
        <v>2.5449999999999999</v>
      </c>
      <c r="V975" t="s">
        <v>1538</v>
      </c>
      <c r="W975" t="s">
        <v>14</v>
      </c>
      <c r="X975" t="s">
        <v>17</v>
      </c>
      <c r="Y975" s="1" t="s">
        <v>1133</v>
      </c>
    </row>
    <row r="976" spans="1:25" x14ac:dyDescent="0.25">
      <c r="A976" s="4">
        <v>1688</v>
      </c>
      <c r="B976" s="9" t="s">
        <v>1141</v>
      </c>
      <c r="C976" s="8" t="s">
        <v>1138</v>
      </c>
      <c r="D976" s="6" t="s">
        <v>60</v>
      </c>
      <c r="E976" s="10">
        <v>5</v>
      </c>
      <c r="F976">
        <v>1.0561436322826001</v>
      </c>
      <c r="G976">
        <v>0.23338643876874801</v>
      </c>
      <c r="H976" t="s">
        <v>641</v>
      </c>
      <c r="I976" t="s">
        <v>266</v>
      </c>
      <c r="J976" t="s">
        <v>267</v>
      </c>
      <c r="K976" t="s">
        <v>1453</v>
      </c>
      <c r="L976">
        <v>282</v>
      </c>
      <c r="M976" t="s">
        <v>1453</v>
      </c>
      <c r="N976">
        <v>280</v>
      </c>
      <c r="O976" t="s">
        <v>709</v>
      </c>
      <c r="P976" s="1" t="s">
        <v>1132</v>
      </c>
      <c r="Q976" s="25">
        <v>43.634667999999998</v>
      </c>
      <c r="R976" s="25">
        <v>3.3503750000000001</v>
      </c>
      <c r="S976">
        <v>2.5449999999999999</v>
      </c>
      <c r="T976">
        <v>20.1234</v>
      </c>
      <c r="U976">
        <v>2.5449999999999999</v>
      </c>
      <c r="V976" t="s">
        <v>1538</v>
      </c>
      <c r="W976" t="s">
        <v>14</v>
      </c>
      <c r="X976" t="s">
        <v>17</v>
      </c>
      <c r="Y976" s="1" t="s">
        <v>1133</v>
      </c>
    </row>
    <row r="977" spans="1:25" x14ac:dyDescent="0.25">
      <c r="A977" s="4">
        <v>1689</v>
      </c>
      <c r="B977" s="9" t="s">
        <v>1141</v>
      </c>
      <c r="C977" s="8" t="s">
        <v>1138</v>
      </c>
      <c r="D977" s="6" t="s">
        <v>64</v>
      </c>
      <c r="E977" s="10">
        <v>8</v>
      </c>
      <c r="F977">
        <v>1.63128395429548</v>
      </c>
      <c r="G977">
        <v>0.30936795663904498</v>
      </c>
      <c r="H977" t="s">
        <v>641</v>
      </c>
      <c r="I977" t="s">
        <v>266</v>
      </c>
      <c r="J977" t="s">
        <v>267</v>
      </c>
      <c r="K977" t="s">
        <v>1453</v>
      </c>
      <c r="L977">
        <v>282</v>
      </c>
      <c r="M977" t="s">
        <v>1453</v>
      </c>
      <c r="N977">
        <v>280</v>
      </c>
      <c r="O977" t="s">
        <v>709</v>
      </c>
      <c r="P977" s="1" t="s">
        <v>1132</v>
      </c>
      <c r="Q977" s="25">
        <v>43.634667999999998</v>
      </c>
      <c r="R977" s="25">
        <v>3.3503750000000001</v>
      </c>
      <c r="S977">
        <v>2.5449999999999999</v>
      </c>
      <c r="T977">
        <v>20.1234</v>
      </c>
      <c r="U977">
        <v>2.5449999999999999</v>
      </c>
      <c r="V977" t="s">
        <v>1538</v>
      </c>
      <c r="W977" t="s">
        <v>14</v>
      </c>
      <c r="X977" t="s">
        <v>17</v>
      </c>
      <c r="Y977" s="1" t="s">
        <v>1133</v>
      </c>
    </row>
    <row r="978" spans="1:25" x14ac:dyDescent="0.25">
      <c r="A978" s="4">
        <v>1693</v>
      </c>
      <c r="B978" s="9" t="s">
        <v>1142</v>
      </c>
      <c r="C978" s="8" t="s">
        <v>1138</v>
      </c>
      <c r="D978" s="6" t="s">
        <v>1140</v>
      </c>
      <c r="E978" s="10">
        <v>6</v>
      </c>
      <c r="F978">
        <v>1.36536624205102</v>
      </c>
      <c r="G978">
        <v>0.36441837942695299</v>
      </c>
      <c r="H978" t="s">
        <v>641</v>
      </c>
      <c r="I978" t="s">
        <v>266</v>
      </c>
      <c r="J978" t="s">
        <v>267</v>
      </c>
      <c r="K978" t="s">
        <v>1453</v>
      </c>
      <c r="L978">
        <v>282</v>
      </c>
      <c r="M978" t="s">
        <v>1453</v>
      </c>
      <c r="N978">
        <v>280</v>
      </c>
      <c r="O978" t="s">
        <v>709</v>
      </c>
      <c r="P978" s="1" t="s">
        <v>1132</v>
      </c>
      <c r="Q978" s="25">
        <v>43.634667999999998</v>
      </c>
      <c r="R978" s="25">
        <v>3.3503750000000001</v>
      </c>
      <c r="S978">
        <v>2.5449999999999999</v>
      </c>
      <c r="T978">
        <v>20.1234</v>
      </c>
      <c r="U978">
        <v>2.5449999999999999</v>
      </c>
      <c r="V978" t="s">
        <v>1538</v>
      </c>
      <c r="W978" t="s">
        <v>14</v>
      </c>
      <c r="X978" t="s">
        <v>17</v>
      </c>
      <c r="Y978" s="1" t="s">
        <v>1133</v>
      </c>
    </row>
    <row r="979" spans="1:25" x14ac:dyDescent="0.25">
      <c r="A979" s="4">
        <v>1699</v>
      </c>
      <c r="B979" s="9" t="s">
        <v>1143</v>
      </c>
      <c r="C979" s="8" t="s">
        <v>1138</v>
      </c>
      <c r="D979" s="6" t="s">
        <v>1140</v>
      </c>
      <c r="E979" s="10">
        <v>6</v>
      </c>
      <c r="F979">
        <v>0.88504585132290303</v>
      </c>
      <c r="G979">
        <v>0.28667161224056997</v>
      </c>
      <c r="H979" t="s">
        <v>641</v>
      </c>
      <c r="I979" t="s">
        <v>266</v>
      </c>
      <c r="J979" t="s">
        <v>267</v>
      </c>
      <c r="K979" t="s">
        <v>1453</v>
      </c>
      <c r="L979">
        <v>282</v>
      </c>
      <c r="M979" t="s">
        <v>1453</v>
      </c>
      <c r="N979">
        <v>280</v>
      </c>
      <c r="O979" t="s">
        <v>709</v>
      </c>
      <c r="P979" s="1" t="s">
        <v>1132</v>
      </c>
      <c r="Q979" s="25">
        <v>43.634667999999998</v>
      </c>
      <c r="R979" s="25">
        <v>3.3503750000000001</v>
      </c>
      <c r="S979">
        <v>2.5449999999999999</v>
      </c>
      <c r="T979">
        <v>20.1234</v>
      </c>
      <c r="U979">
        <v>2.5449999999999999</v>
      </c>
      <c r="V979" t="s">
        <v>1538</v>
      </c>
      <c r="W979" t="s">
        <v>14</v>
      </c>
      <c r="X979" t="s">
        <v>17</v>
      </c>
      <c r="Y979" s="1" t="s">
        <v>1133</v>
      </c>
    </row>
    <row r="980" spans="1:25" x14ac:dyDescent="0.25">
      <c r="A980" s="4">
        <v>1710</v>
      </c>
      <c r="B980" s="9" t="s">
        <v>1143</v>
      </c>
      <c r="C980" s="8" t="s">
        <v>1138</v>
      </c>
      <c r="D980" s="6" t="s">
        <v>60</v>
      </c>
      <c r="E980" s="10">
        <v>5</v>
      </c>
      <c r="F980">
        <v>0.65913529157045003</v>
      </c>
      <c r="G980">
        <v>0.15073997445697601</v>
      </c>
      <c r="H980" t="s">
        <v>641</v>
      </c>
      <c r="I980" t="s">
        <v>266</v>
      </c>
      <c r="J980" t="s">
        <v>267</v>
      </c>
      <c r="K980" t="s">
        <v>1453</v>
      </c>
      <c r="L980">
        <v>282</v>
      </c>
      <c r="M980" t="s">
        <v>1453</v>
      </c>
      <c r="N980">
        <v>280</v>
      </c>
      <c r="O980" t="s">
        <v>709</v>
      </c>
      <c r="P980" s="1" t="s">
        <v>1132</v>
      </c>
      <c r="Q980" s="25">
        <v>43.634667999999998</v>
      </c>
      <c r="R980" s="25">
        <v>3.3503750000000001</v>
      </c>
      <c r="S980">
        <v>2.5449999999999999</v>
      </c>
      <c r="T980">
        <v>20.1234</v>
      </c>
      <c r="U980">
        <v>2.5449999999999999</v>
      </c>
      <c r="V980" t="s">
        <v>1538</v>
      </c>
      <c r="W980" t="s">
        <v>14</v>
      </c>
      <c r="X980" t="s">
        <v>17</v>
      </c>
      <c r="Y980" s="1" t="s">
        <v>1133</v>
      </c>
    </row>
    <row r="981" spans="1:25" x14ac:dyDescent="0.25">
      <c r="A981" s="4">
        <v>1714</v>
      </c>
      <c r="B981" s="9" t="s">
        <v>1142</v>
      </c>
      <c r="C981" s="8" t="s">
        <v>1138</v>
      </c>
      <c r="D981" s="6" t="s">
        <v>64</v>
      </c>
      <c r="E981" s="10">
        <v>8</v>
      </c>
      <c r="F981">
        <v>1.12867452643196</v>
      </c>
      <c r="G981">
        <v>0.25120178175226299</v>
      </c>
      <c r="H981" t="s">
        <v>641</v>
      </c>
      <c r="I981" t="s">
        <v>266</v>
      </c>
      <c r="J981" t="s">
        <v>267</v>
      </c>
      <c r="K981" t="s">
        <v>1453</v>
      </c>
      <c r="L981">
        <v>282</v>
      </c>
      <c r="M981" t="s">
        <v>1453</v>
      </c>
      <c r="N981">
        <v>280</v>
      </c>
      <c r="O981" t="s">
        <v>709</v>
      </c>
      <c r="P981" s="1" t="s">
        <v>1132</v>
      </c>
      <c r="Q981" s="25">
        <v>43.634667999999998</v>
      </c>
      <c r="R981" s="25">
        <v>3.3503750000000001</v>
      </c>
      <c r="S981">
        <v>2.5449999999999999</v>
      </c>
      <c r="T981">
        <v>20.1234</v>
      </c>
      <c r="U981">
        <v>2.5449999999999999</v>
      </c>
      <c r="V981" t="s">
        <v>1538</v>
      </c>
      <c r="W981" t="s">
        <v>14</v>
      </c>
      <c r="X981" t="s">
        <v>17</v>
      </c>
      <c r="Y981" s="1" t="s">
        <v>1133</v>
      </c>
    </row>
    <row r="982" spans="1:25" x14ac:dyDescent="0.25">
      <c r="A982" s="4">
        <v>1715</v>
      </c>
      <c r="B982" s="9" t="s">
        <v>1144</v>
      </c>
      <c r="C982" s="8" t="s">
        <v>1138</v>
      </c>
      <c r="D982" s="6" t="s">
        <v>28</v>
      </c>
      <c r="E982" s="10">
        <v>6</v>
      </c>
      <c r="F982">
        <v>15.4771349557797</v>
      </c>
      <c r="G982">
        <v>4.6954353944239404</v>
      </c>
      <c r="H982" t="s">
        <v>641</v>
      </c>
      <c r="I982" t="s">
        <v>266</v>
      </c>
      <c r="J982" t="s">
        <v>267</v>
      </c>
      <c r="K982" t="s">
        <v>1453</v>
      </c>
      <c r="L982">
        <v>282</v>
      </c>
      <c r="M982" t="s">
        <v>1453</v>
      </c>
      <c r="N982">
        <v>280</v>
      </c>
      <c r="O982" t="s">
        <v>709</v>
      </c>
      <c r="P982" s="1" t="s">
        <v>1132</v>
      </c>
      <c r="Q982" s="25">
        <v>43.634667999999998</v>
      </c>
      <c r="R982" s="25">
        <v>3.3503750000000001</v>
      </c>
      <c r="S982">
        <v>2.5449999999999999</v>
      </c>
      <c r="T982">
        <v>20.1234</v>
      </c>
      <c r="U982">
        <v>2.5449999999999999</v>
      </c>
      <c r="V982" t="s">
        <v>1538</v>
      </c>
      <c r="W982" t="s">
        <v>14</v>
      </c>
      <c r="X982" t="s">
        <v>17</v>
      </c>
      <c r="Y982" s="1" t="s">
        <v>1133</v>
      </c>
    </row>
    <row r="983" spans="1:25" x14ac:dyDescent="0.25">
      <c r="A983" s="4">
        <v>1716</v>
      </c>
      <c r="B983" s="9" t="s">
        <v>1145</v>
      </c>
      <c r="C983" s="8" t="s">
        <v>1138</v>
      </c>
      <c r="D983" s="6" t="s">
        <v>28</v>
      </c>
      <c r="E983" s="10">
        <v>6</v>
      </c>
      <c r="F983">
        <v>7.5451372474318799</v>
      </c>
      <c r="G983">
        <v>2.3410325917889199</v>
      </c>
      <c r="H983" t="s">
        <v>641</v>
      </c>
      <c r="I983" t="s">
        <v>266</v>
      </c>
      <c r="J983" t="s">
        <v>267</v>
      </c>
      <c r="K983" t="s">
        <v>1453</v>
      </c>
      <c r="L983">
        <v>282</v>
      </c>
      <c r="M983" t="s">
        <v>1453</v>
      </c>
      <c r="N983">
        <v>280</v>
      </c>
      <c r="O983" t="s">
        <v>709</v>
      </c>
      <c r="P983" s="1" t="s">
        <v>1132</v>
      </c>
      <c r="Q983" s="25">
        <v>43.634667999999998</v>
      </c>
      <c r="R983" s="25">
        <v>3.3503750000000001</v>
      </c>
      <c r="S983">
        <v>2.5449999999999999</v>
      </c>
      <c r="T983">
        <v>20.1234</v>
      </c>
      <c r="U983">
        <v>2.5449999999999999</v>
      </c>
      <c r="V983" t="s">
        <v>1538</v>
      </c>
      <c r="W983" t="s">
        <v>14</v>
      </c>
      <c r="X983" t="s">
        <v>17</v>
      </c>
      <c r="Y983" s="1" t="s">
        <v>1133</v>
      </c>
    </row>
    <row r="984" spans="1:25" x14ac:dyDescent="0.25">
      <c r="A984" s="4">
        <v>1717</v>
      </c>
      <c r="B984" s="9" t="s">
        <v>1146</v>
      </c>
      <c r="C984" s="8" t="s">
        <v>1138</v>
      </c>
      <c r="D984" s="6" t="s">
        <v>28</v>
      </c>
      <c r="E984" s="10">
        <v>6</v>
      </c>
      <c r="F984">
        <v>11.527216587349599</v>
      </c>
      <c r="G984">
        <v>2.7251561014638299</v>
      </c>
      <c r="H984" t="s">
        <v>641</v>
      </c>
      <c r="I984" t="s">
        <v>266</v>
      </c>
      <c r="J984" t="s">
        <v>267</v>
      </c>
      <c r="K984" t="s">
        <v>1453</v>
      </c>
      <c r="L984">
        <v>282</v>
      </c>
      <c r="M984" t="s">
        <v>1453</v>
      </c>
      <c r="N984">
        <v>280</v>
      </c>
      <c r="O984" t="s">
        <v>709</v>
      </c>
      <c r="P984" s="1" t="s">
        <v>1132</v>
      </c>
      <c r="Q984" s="25">
        <v>43.634667999999998</v>
      </c>
      <c r="R984" s="25">
        <v>3.3503750000000001</v>
      </c>
      <c r="S984">
        <v>2.5449999999999999</v>
      </c>
      <c r="T984">
        <v>20.1234</v>
      </c>
      <c r="U984">
        <v>2.5449999999999999</v>
      </c>
      <c r="V984" t="s">
        <v>1538</v>
      </c>
      <c r="W984" t="s">
        <v>14</v>
      </c>
      <c r="X984" t="s">
        <v>17</v>
      </c>
      <c r="Y984" s="1" t="s">
        <v>1133</v>
      </c>
    </row>
    <row r="985" spans="1:25" x14ac:dyDescent="0.25">
      <c r="A985" s="4">
        <v>1718</v>
      </c>
      <c r="B985" s="9" t="s">
        <v>1147</v>
      </c>
      <c r="C985" s="8" t="s">
        <v>1138</v>
      </c>
      <c r="D985" s="6" t="s">
        <v>28</v>
      </c>
      <c r="E985" s="10">
        <v>6</v>
      </c>
      <c r="F985">
        <v>7.3635879249848104</v>
      </c>
      <c r="G985">
        <v>4.09764396927529</v>
      </c>
      <c r="H985" t="s">
        <v>641</v>
      </c>
      <c r="I985" t="s">
        <v>266</v>
      </c>
      <c r="J985" t="s">
        <v>267</v>
      </c>
      <c r="K985" t="s">
        <v>1453</v>
      </c>
      <c r="L985">
        <v>282</v>
      </c>
      <c r="M985" t="s">
        <v>1453</v>
      </c>
      <c r="N985">
        <v>280</v>
      </c>
      <c r="O985" t="s">
        <v>709</v>
      </c>
      <c r="P985" s="1" t="s">
        <v>1132</v>
      </c>
      <c r="Q985" s="25">
        <v>43.634667999999998</v>
      </c>
      <c r="R985" s="25">
        <v>3.3503750000000001</v>
      </c>
      <c r="S985">
        <v>2.5449999999999999</v>
      </c>
      <c r="T985">
        <v>20.1234</v>
      </c>
      <c r="U985">
        <v>2.5449999999999999</v>
      </c>
      <c r="V985" t="s">
        <v>1538</v>
      </c>
      <c r="W985" t="s">
        <v>14</v>
      </c>
      <c r="X985" t="s">
        <v>17</v>
      </c>
      <c r="Y985" s="1" t="s">
        <v>1133</v>
      </c>
    </row>
    <row r="986" spans="1:25" x14ac:dyDescent="0.25">
      <c r="A986" s="4">
        <v>1719</v>
      </c>
      <c r="B986" s="9" t="s">
        <v>1148</v>
      </c>
      <c r="C986" s="8" t="s">
        <v>1138</v>
      </c>
      <c r="D986" s="6" t="s">
        <v>28</v>
      </c>
      <c r="E986" s="10">
        <v>6</v>
      </c>
      <c r="F986">
        <v>4.34602126197227</v>
      </c>
      <c r="G986">
        <v>0.84967864878328103</v>
      </c>
      <c r="H986" t="s">
        <v>641</v>
      </c>
      <c r="I986" t="s">
        <v>266</v>
      </c>
      <c r="J986" t="s">
        <v>267</v>
      </c>
      <c r="K986" t="s">
        <v>1453</v>
      </c>
      <c r="L986">
        <v>282</v>
      </c>
      <c r="M986" t="s">
        <v>1453</v>
      </c>
      <c r="N986">
        <v>280</v>
      </c>
      <c r="O986" t="s">
        <v>709</v>
      </c>
      <c r="P986" s="1" t="s">
        <v>1132</v>
      </c>
      <c r="Q986" s="25">
        <v>43.634667999999998</v>
      </c>
      <c r="R986" s="25">
        <v>3.3503750000000001</v>
      </c>
      <c r="S986">
        <v>2.5449999999999999</v>
      </c>
      <c r="T986">
        <v>20.1234</v>
      </c>
      <c r="U986">
        <v>2.5449999999999999</v>
      </c>
      <c r="V986" t="s">
        <v>1538</v>
      </c>
      <c r="W986" t="s">
        <v>14</v>
      </c>
      <c r="X986" t="s">
        <v>17</v>
      </c>
      <c r="Y986" s="1" t="s">
        <v>1133</v>
      </c>
    </row>
    <row r="987" spans="1:25" x14ac:dyDescent="0.25">
      <c r="A987" s="4">
        <v>1720</v>
      </c>
      <c r="B987" s="9" t="s">
        <v>1148</v>
      </c>
      <c r="C987" s="8" t="s">
        <v>1138</v>
      </c>
      <c r="D987" s="6" t="s">
        <v>1140</v>
      </c>
      <c r="E987" s="10">
        <v>6</v>
      </c>
      <c r="F987">
        <v>1.2051823147327401</v>
      </c>
      <c r="G987">
        <v>0.34053529560043799</v>
      </c>
      <c r="H987" t="s">
        <v>641</v>
      </c>
      <c r="I987" t="s">
        <v>266</v>
      </c>
      <c r="J987" t="s">
        <v>267</v>
      </c>
      <c r="K987" t="s">
        <v>1453</v>
      </c>
      <c r="L987">
        <v>282</v>
      </c>
      <c r="M987" t="s">
        <v>1453</v>
      </c>
      <c r="N987">
        <v>280</v>
      </c>
      <c r="O987" t="s">
        <v>709</v>
      </c>
      <c r="P987" s="1" t="s">
        <v>1132</v>
      </c>
      <c r="Q987" s="25">
        <v>43.634667999999998</v>
      </c>
      <c r="R987" s="25">
        <v>3.3503750000000001</v>
      </c>
      <c r="S987">
        <v>2.5449999999999999</v>
      </c>
      <c r="T987">
        <v>20.1234</v>
      </c>
      <c r="U987">
        <v>2.5449999999999999</v>
      </c>
      <c r="V987" t="s">
        <v>1538</v>
      </c>
      <c r="W987" t="s">
        <v>14</v>
      </c>
      <c r="X987" t="s">
        <v>17</v>
      </c>
      <c r="Y987" s="1" t="s">
        <v>1133</v>
      </c>
    </row>
    <row r="988" spans="1:25" x14ac:dyDescent="0.25">
      <c r="A988" s="4">
        <v>1721</v>
      </c>
      <c r="B988" s="9" t="s">
        <v>1149</v>
      </c>
      <c r="C988" s="8" t="s">
        <v>857</v>
      </c>
      <c r="D988" s="6" t="s">
        <v>28</v>
      </c>
      <c r="E988" s="10">
        <v>6</v>
      </c>
      <c r="F988">
        <v>13.139989153658201</v>
      </c>
      <c r="G988">
        <v>5.9560831986895098</v>
      </c>
      <c r="H988" t="s">
        <v>641</v>
      </c>
      <c r="I988" t="s">
        <v>266</v>
      </c>
      <c r="J988" t="s">
        <v>267</v>
      </c>
      <c r="K988" t="s">
        <v>1453</v>
      </c>
      <c r="L988">
        <v>282</v>
      </c>
      <c r="M988" t="s">
        <v>1453</v>
      </c>
      <c r="N988">
        <v>280</v>
      </c>
      <c r="O988" t="s">
        <v>709</v>
      </c>
      <c r="P988" s="1" t="s">
        <v>1132</v>
      </c>
      <c r="Q988" s="25">
        <v>43.634667999999998</v>
      </c>
      <c r="R988" s="25">
        <v>3.3503750000000001</v>
      </c>
      <c r="S988">
        <v>2.5449999999999999</v>
      </c>
      <c r="T988">
        <v>20.1234</v>
      </c>
      <c r="U988">
        <v>2.5449999999999999</v>
      </c>
      <c r="V988" t="s">
        <v>1538</v>
      </c>
      <c r="W988" t="s">
        <v>14</v>
      </c>
      <c r="X988" t="s">
        <v>17</v>
      </c>
      <c r="Y988" s="1" t="s">
        <v>1133</v>
      </c>
    </row>
    <row r="989" spans="1:25" x14ac:dyDescent="0.25">
      <c r="A989" s="4">
        <v>1722</v>
      </c>
      <c r="B989" s="9" t="s">
        <v>1150</v>
      </c>
      <c r="C989" s="8" t="s">
        <v>1137</v>
      </c>
      <c r="D989" s="6" t="s">
        <v>28</v>
      </c>
      <c r="E989" s="10">
        <v>6</v>
      </c>
      <c r="F989">
        <v>2.69385716837259</v>
      </c>
      <c r="G989">
        <v>1.30379740710474</v>
      </c>
      <c r="H989" t="s">
        <v>641</v>
      </c>
      <c r="I989" t="s">
        <v>266</v>
      </c>
      <c r="J989" t="s">
        <v>267</v>
      </c>
      <c r="K989" t="s">
        <v>1453</v>
      </c>
      <c r="L989">
        <v>282</v>
      </c>
      <c r="M989" t="s">
        <v>1453</v>
      </c>
      <c r="N989">
        <v>280</v>
      </c>
      <c r="O989" t="s">
        <v>709</v>
      </c>
      <c r="P989" s="1" t="s">
        <v>1132</v>
      </c>
      <c r="Q989" s="25">
        <v>43.634667999999998</v>
      </c>
      <c r="R989" s="25">
        <v>3.3503750000000001</v>
      </c>
      <c r="S989">
        <v>2.5449999999999999</v>
      </c>
      <c r="T989">
        <v>20.1234</v>
      </c>
      <c r="U989">
        <v>2.5449999999999999</v>
      </c>
      <c r="V989" t="s">
        <v>1538</v>
      </c>
      <c r="W989" t="s">
        <v>14</v>
      </c>
      <c r="X989" t="s">
        <v>17</v>
      </c>
      <c r="Y989" s="1" t="s">
        <v>1133</v>
      </c>
    </row>
    <row r="990" spans="1:25" x14ac:dyDescent="0.25">
      <c r="A990" s="4">
        <v>1723</v>
      </c>
      <c r="B990" s="9" t="s">
        <v>1151</v>
      </c>
      <c r="C990" s="8" t="s">
        <v>1138</v>
      </c>
      <c r="D990" s="6" t="s">
        <v>28</v>
      </c>
      <c r="E990" s="10">
        <v>6</v>
      </c>
      <c r="F990">
        <v>3.8902920677060702</v>
      </c>
      <c r="G990">
        <v>1.93672914475767</v>
      </c>
      <c r="H990" t="s">
        <v>641</v>
      </c>
      <c r="I990" t="s">
        <v>266</v>
      </c>
      <c r="J990" t="s">
        <v>267</v>
      </c>
      <c r="K990" t="s">
        <v>1453</v>
      </c>
      <c r="L990">
        <v>282</v>
      </c>
      <c r="M990" t="s">
        <v>1453</v>
      </c>
      <c r="N990">
        <v>280</v>
      </c>
      <c r="O990" t="s">
        <v>709</v>
      </c>
      <c r="P990" s="1" t="s">
        <v>1132</v>
      </c>
      <c r="Q990" s="25">
        <v>43.634667999999998</v>
      </c>
      <c r="R990" s="25">
        <v>3.3503750000000001</v>
      </c>
      <c r="S990">
        <v>2.5449999999999999</v>
      </c>
      <c r="T990">
        <v>20.1234</v>
      </c>
      <c r="U990">
        <v>2.5449999999999999</v>
      </c>
      <c r="V990" t="s">
        <v>1538</v>
      </c>
      <c r="W990" t="s">
        <v>14</v>
      </c>
      <c r="X990" t="s">
        <v>17</v>
      </c>
      <c r="Y990" s="1" t="s">
        <v>1133</v>
      </c>
    </row>
    <row r="991" spans="1:25" x14ac:dyDescent="0.25">
      <c r="A991" s="4">
        <v>1724</v>
      </c>
      <c r="B991" s="9" t="s">
        <v>1152</v>
      </c>
      <c r="C991" s="8" t="s">
        <v>1137</v>
      </c>
      <c r="D991" s="6" t="s">
        <v>28</v>
      </c>
      <c r="E991" s="10">
        <v>6</v>
      </c>
      <c r="F991">
        <v>6.5119746006791797</v>
      </c>
      <c r="G991">
        <v>2.38639975888898</v>
      </c>
      <c r="H991" t="s">
        <v>641</v>
      </c>
      <c r="I991" t="s">
        <v>266</v>
      </c>
      <c r="J991" t="s">
        <v>267</v>
      </c>
      <c r="K991" t="s">
        <v>1453</v>
      </c>
      <c r="L991">
        <v>282</v>
      </c>
      <c r="M991" t="s">
        <v>1453</v>
      </c>
      <c r="N991">
        <v>280</v>
      </c>
      <c r="O991" t="s">
        <v>709</v>
      </c>
      <c r="P991" s="1" t="s">
        <v>1132</v>
      </c>
      <c r="Q991" s="25">
        <v>43.634667999999998</v>
      </c>
      <c r="R991" s="25">
        <v>3.3503750000000001</v>
      </c>
      <c r="S991">
        <v>2.5449999999999999</v>
      </c>
      <c r="T991">
        <v>20.1234</v>
      </c>
      <c r="U991">
        <v>2.5449999999999999</v>
      </c>
      <c r="V991" t="s">
        <v>1538</v>
      </c>
      <c r="W991" t="s">
        <v>14</v>
      </c>
      <c r="X991" t="s">
        <v>17</v>
      </c>
      <c r="Y991" s="1" t="s">
        <v>1133</v>
      </c>
    </row>
    <row r="992" spans="1:25" x14ac:dyDescent="0.25">
      <c r="A992" s="4">
        <v>1725</v>
      </c>
      <c r="B992" s="9" t="s">
        <v>1153</v>
      </c>
      <c r="C992" s="8" t="s">
        <v>1138</v>
      </c>
      <c r="D992" s="6" t="s">
        <v>28</v>
      </c>
      <c r="E992" s="10">
        <v>6</v>
      </c>
      <c r="F992">
        <v>5.4336031782588199</v>
      </c>
      <c r="G992">
        <v>1.92587361305393</v>
      </c>
      <c r="H992" t="s">
        <v>641</v>
      </c>
      <c r="I992" t="s">
        <v>266</v>
      </c>
      <c r="J992" t="s">
        <v>267</v>
      </c>
      <c r="K992" t="s">
        <v>1453</v>
      </c>
      <c r="L992">
        <v>282</v>
      </c>
      <c r="M992" t="s">
        <v>1453</v>
      </c>
      <c r="N992">
        <v>280</v>
      </c>
      <c r="O992" t="s">
        <v>709</v>
      </c>
      <c r="P992" s="1" t="s">
        <v>1132</v>
      </c>
      <c r="Q992" s="25">
        <v>43.634667999999998</v>
      </c>
      <c r="R992" s="25">
        <v>3.3503750000000001</v>
      </c>
      <c r="S992">
        <v>2.5449999999999999</v>
      </c>
      <c r="T992">
        <v>20.1234</v>
      </c>
      <c r="U992">
        <v>2.5449999999999999</v>
      </c>
      <c r="V992" t="s">
        <v>1538</v>
      </c>
      <c r="W992" t="s">
        <v>14</v>
      </c>
      <c r="X992" t="s">
        <v>17</v>
      </c>
      <c r="Y992" s="1" t="s">
        <v>1133</v>
      </c>
    </row>
    <row r="993" spans="1:25" x14ac:dyDescent="0.25">
      <c r="A993" s="4">
        <v>1726</v>
      </c>
      <c r="B993" s="9" t="s">
        <v>1154</v>
      </c>
      <c r="C993" s="8" t="s">
        <v>1138</v>
      </c>
      <c r="D993" s="6" t="s">
        <v>643</v>
      </c>
      <c r="E993" s="10">
        <v>6</v>
      </c>
      <c r="F993">
        <v>15.4588296939692</v>
      </c>
      <c r="G993">
        <v>5.3332538956687197</v>
      </c>
      <c r="H993" t="s">
        <v>641</v>
      </c>
      <c r="I993" t="s">
        <v>266</v>
      </c>
      <c r="J993" t="s">
        <v>267</v>
      </c>
      <c r="K993" t="s">
        <v>1453</v>
      </c>
      <c r="L993">
        <v>282</v>
      </c>
      <c r="M993" t="s">
        <v>1453</v>
      </c>
      <c r="N993">
        <v>280</v>
      </c>
      <c r="O993" t="s">
        <v>709</v>
      </c>
      <c r="P993" s="1" t="s">
        <v>1132</v>
      </c>
      <c r="Q993" s="25">
        <v>43.634667999999998</v>
      </c>
      <c r="R993" s="25">
        <v>3.3503750000000001</v>
      </c>
      <c r="S993">
        <v>2.5449999999999999</v>
      </c>
      <c r="T993">
        <v>20.1234</v>
      </c>
      <c r="U993">
        <v>2.5449999999999999</v>
      </c>
      <c r="V993" t="s">
        <v>1538</v>
      </c>
      <c r="W993" t="s">
        <v>14</v>
      </c>
      <c r="X993" t="s">
        <v>17</v>
      </c>
      <c r="Y993" s="1" t="s">
        <v>1133</v>
      </c>
    </row>
    <row r="994" spans="1:25" x14ac:dyDescent="0.25">
      <c r="A994" s="4">
        <v>1727</v>
      </c>
      <c r="B994" s="9" t="s">
        <v>1155</v>
      </c>
      <c r="C994" s="8" t="s">
        <v>1138</v>
      </c>
      <c r="D994" s="6" t="s">
        <v>643</v>
      </c>
      <c r="E994" s="10">
        <v>6</v>
      </c>
      <c r="F994">
        <v>14.9917787925559</v>
      </c>
      <c r="G994">
        <v>7.2331261804672797</v>
      </c>
      <c r="H994" t="s">
        <v>641</v>
      </c>
      <c r="I994" t="s">
        <v>266</v>
      </c>
      <c r="J994" t="s">
        <v>267</v>
      </c>
      <c r="K994" t="s">
        <v>1453</v>
      </c>
      <c r="L994">
        <v>282</v>
      </c>
      <c r="M994" t="s">
        <v>1453</v>
      </c>
      <c r="N994">
        <v>280</v>
      </c>
      <c r="O994" t="s">
        <v>709</v>
      </c>
      <c r="P994" s="1" t="s">
        <v>1132</v>
      </c>
      <c r="Q994" s="25">
        <v>43.634667999999998</v>
      </c>
      <c r="R994" s="25">
        <v>3.3503750000000001</v>
      </c>
      <c r="S994">
        <v>2.5449999999999999</v>
      </c>
      <c r="T994">
        <v>20.1234</v>
      </c>
      <c r="U994">
        <v>2.5449999999999999</v>
      </c>
      <c r="V994" t="s">
        <v>1538</v>
      </c>
      <c r="W994" t="s">
        <v>14</v>
      </c>
      <c r="X994" t="s">
        <v>17</v>
      </c>
      <c r="Y994" s="1" t="s">
        <v>1133</v>
      </c>
    </row>
    <row r="995" spans="1:25" x14ac:dyDescent="0.25">
      <c r="A995" s="4">
        <v>1728</v>
      </c>
      <c r="B995" s="9" t="s">
        <v>1156</v>
      </c>
      <c r="C995" s="8" t="s">
        <v>1138</v>
      </c>
      <c r="D995" s="6" t="s">
        <v>157</v>
      </c>
      <c r="E995" s="10">
        <v>6</v>
      </c>
      <c r="F995">
        <v>17.333921347825701</v>
      </c>
      <c r="G995">
        <v>7.3742727189382196</v>
      </c>
      <c r="H995" t="s">
        <v>641</v>
      </c>
      <c r="I995" t="s">
        <v>266</v>
      </c>
      <c r="J995" t="s">
        <v>267</v>
      </c>
      <c r="K995" t="s">
        <v>1453</v>
      </c>
      <c r="L995">
        <v>282</v>
      </c>
      <c r="M995" t="s">
        <v>1453</v>
      </c>
      <c r="N995">
        <v>280</v>
      </c>
      <c r="O995" t="s">
        <v>709</v>
      </c>
      <c r="P995" s="1" t="s">
        <v>1132</v>
      </c>
      <c r="Q995" s="25">
        <v>43.634667999999998</v>
      </c>
      <c r="R995" s="25">
        <v>3.3503750000000001</v>
      </c>
      <c r="S995">
        <v>2.5449999999999999</v>
      </c>
      <c r="T995">
        <v>20.1234</v>
      </c>
      <c r="U995">
        <v>2.5449999999999999</v>
      </c>
      <c r="V995" t="s">
        <v>1538</v>
      </c>
      <c r="W995" t="s">
        <v>14</v>
      </c>
      <c r="X995" t="s">
        <v>17</v>
      </c>
      <c r="Y995" s="1" t="s">
        <v>1133</v>
      </c>
    </row>
    <row r="996" spans="1:25" x14ac:dyDescent="0.25">
      <c r="A996" s="4">
        <v>1729</v>
      </c>
      <c r="B996" s="9" t="s">
        <v>1157</v>
      </c>
      <c r="C996" s="8" t="s">
        <v>1138</v>
      </c>
      <c r="D996" s="6" t="s">
        <v>534</v>
      </c>
      <c r="E996" s="10">
        <v>6</v>
      </c>
      <c r="F996">
        <v>14.389873310265999</v>
      </c>
      <c r="G996">
        <v>8.7170840215635401</v>
      </c>
      <c r="H996" t="s">
        <v>641</v>
      </c>
      <c r="I996" t="s">
        <v>266</v>
      </c>
      <c r="J996" t="s">
        <v>267</v>
      </c>
      <c r="K996" t="s">
        <v>1453</v>
      </c>
      <c r="L996">
        <v>282</v>
      </c>
      <c r="M996" t="s">
        <v>1453</v>
      </c>
      <c r="N996">
        <v>280</v>
      </c>
      <c r="O996" t="s">
        <v>709</v>
      </c>
      <c r="P996" s="1" t="s">
        <v>1132</v>
      </c>
      <c r="Q996" s="25">
        <v>43.634667999999998</v>
      </c>
      <c r="R996" s="25">
        <v>3.3503750000000001</v>
      </c>
      <c r="S996">
        <v>2.5449999999999999</v>
      </c>
      <c r="T996">
        <v>20.1234</v>
      </c>
      <c r="U996">
        <v>2.5449999999999999</v>
      </c>
      <c r="V996" t="s">
        <v>1538</v>
      </c>
      <c r="W996" t="s">
        <v>14</v>
      </c>
      <c r="X996" t="s">
        <v>17</v>
      </c>
      <c r="Y996" s="1" t="s">
        <v>1133</v>
      </c>
    </row>
    <row r="997" spans="1:25" x14ac:dyDescent="0.25">
      <c r="A997" s="4">
        <v>1733</v>
      </c>
      <c r="B997" s="9">
        <v>649</v>
      </c>
      <c r="C997" s="8" t="s">
        <v>1138</v>
      </c>
      <c r="D997" s="6" t="s">
        <v>643</v>
      </c>
      <c r="E997" s="10">
        <v>6</v>
      </c>
      <c r="F997">
        <v>17.7730993824153</v>
      </c>
      <c r="G997">
        <v>6.1614995100225203</v>
      </c>
      <c r="H997" t="s">
        <v>641</v>
      </c>
      <c r="I997" t="s">
        <v>266</v>
      </c>
      <c r="J997" t="s">
        <v>267</v>
      </c>
      <c r="K997" t="s">
        <v>1453</v>
      </c>
      <c r="L997">
        <v>282</v>
      </c>
      <c r="M997" t="s">
        <v>1453</v>
      </c>
      <c r="N997">
        <v>280</v>
      </c>
      <c r="O997" t="s">
        <v>709</v>
      </c>
      <c r="P997" s="1" t="s">
        <v>1132</v>
      </c>
      <c r="Q997" s="25">
        <v>43.634667999999998</v>
      </c>
      <c r="R997" s="25">
        <v>3.3503750000000001</v>
      </c>
      <c r="S997">
        <v>2.5449999999999999</v>
      </c>
      <c r="T997">
        <v>20.1234</v>
      </c>
      <c r="U997">
        <v>2.5449999999999999</v>
      </c>
      <c r="V997" t="s">
        <v>1538</v>
      </c>
      <c r="W997" t="s">
        <v>14</v>
      </c>
      <c r="X997" t="s">
        <v>17</v>
      </c>
      <c r="Y997" s="1" t="s">
        <v>1133</v>
      </c>
    </row>
    <row r="998" spans="1:25" x14ac:dyDescent="0.25">
      <c r="A998" s="4">
        <v>1742</v>
      </c>
      <c r="B998" s="9" t="s">
        <v>1150</v>
      </c>
      <c r="C998" s="8" t="s">
        <v>1137</v>
      </c>
      <c r="D998" s="6" t="s">
        <v>64</v>
      </c>
      <c r="E998" s="10">
        <v>8</v>
      </c>
      <c r="F998">
        <v>3.7397839891377398</v>
      </c>
      <c r="G998">
        <v>0.36460516903130902</v>
      </c>
      <c r="H998" t="s">
        <v>641</v>
      </c>
      <c r="I998" t="s">
        <v>266</v>
      </c>
      <c r="J998" t="s">
        <v>267</v>
      </c>
      <c r="K998" t="s">
        <v>1453</v>
      </c>
      <c r="L998">
        <v>282</v>
      </c>
      <c r="M998" t="s">
        <v>1453</v>
      </c>
      <c r="N998">
        <v>280</v>
      </c>
      <c r="O998" t="s">
        <v>709</v>
      </c>
      <c r="P998" s="1" t="s">
        <v>1132</v>
      </c>
      <c r="Q998" s="25">
        <v>43.634667999999998</v>
      </c>
      <c r="R998" s="25">
        <v>3.3503750000000001</v>
      </c>
      <c r="S998">
        <v>2.5449999999999999</v>
      </c>
      <c r="T998">
        <v>20.1234</v>
      </c>
      <c r="U998">
        <v>2.5449999999999999</v>
      </c>
      <c r="V998" t="s">
        <v>1538</v>
      </c>
      <c r="W998" t="s">
        <v>14</v>
      </c>
      <c r="X998" t="s">
        <v>17</v>
      </c>
      <c r="Y998" s="1" t="s">
        <v>1133</v>
      </c>
    </row>
    <row r="999" spans="1:25" x14ac:dyDescent="0.25">
      <c r="A999" s="4">
        <v>1744</v>
      </c>
      <c r="B999" s="9" t="s">
        <v>1150</v>
      </c>
      <c r="C999" s="8" t="s">
        <v>1137</v>
      </c>
      <c r="D999" s="6" t="s">
        <v>60</v>
      </c>
      <c r="E999" s="10">
        <v>5</v>
      </c>
      <c r="F999">
        <v>3.9145199408859801</v>
      </c>
      <c r="G999">
        <v>0.32361702828164302</v>
      </c>
      <c r="H999" t="s">
        <v>641</v>
      </c>
      <c r="I999" t="s">
        <v>266</v>
      </c>
      <c r="J999" t="s">
        <v>267</v>
      </c>
      <c r="K999" t="s">
        <v>1453</v>
      </c>
      <c r="L999">
        <v>282</v>
      </c>
      <c r="M999" t="s">
        <v>1453</v>
      </c>
      <c r="N999">
        <v>280</v>
      </c>
      <c r="O999" t="s">
        <v>709</v>
      </c>
      <c r="P999" s="1" t="s">
        <v>1132</v>
      </c>
      <c r="Q999" s="25">
        <v>43.634667999999998</v>
      </c>
      <c r="R999" s="25">
        <v>3.3503750000000001</v>
      </c>
      <c r="S999">
        <v>2.5449999999999999</v>
      </c>
      <c r="T999">
        <v>20.1234</v>
      </c>
      <c r="U999">
        <v>2.5449999999999999</v>
      </c>
      <c r="V999" t="s">
        <v>1538</v>
      </c>
      <c r="W999" t="s">
        <v>14</v>
      </c>
      <c r="X999" t="s">
        <v>17</v>
      </c>
      <c r="Y999" s="1" t="s">
        <v>1133</v>
      </c>
    </row>
    <row r="1000" spans="1:25" x14ac:dyDescent="0.25">
      <c r="A1000" s="4">
        <v>1746</v>
      </c>
      <c r="B1000" s="9" t="s">
        <v>1158</v>
      </c>
      <c r="C1000" s="8" t="s">
        <v>1137</v>
      </c>
      <c r="D1000" s="6" t="s">
        <v>60</v>
      </c>
      <c r="E1000" s="10">
        <v>5</v>
      </c>
      <c r="F1000">
        <v>2.7210494957889901</v>
      </c>
      <c r="G1000">
        <v>0.284797100016011</v>
      </c>
      <c r="H1000" t="s">
        <v>641</v>
      </c>
      <c r="I1000" t="s">
        <v>266</v>
      </c>
      <c r="J1000" t="s">
        <v>267</v>
      </c>
      <c r="K1000" t="s">
        <v>1453</v>
      </c>
      <c r="L1000">
        <v>282</v>
      </c>
      <c r="M1000" t="s">
        <v>1453</v>
      </c>
      <c r="N1000">
        <v>280</v>
      </c>
      <c r="O1000" t="s">
        <v>709</v>
      </c>
      <c r="P1000" s="1" t="s">
        <v>1132</v>
      </c>
      <c r="Q1000" s="25">
        <v>43.634667999999998</v>
      </c>
      <c r="R1000" s="25">
        <v>3.3503750000000001</v>
      </c>
      <c r="S1000">
        <v>2.5449999999999999</v>
      </c>
      <c r="T1000">
        <v>20.1234</v>
      </c>
      <c r="U1000">
        <v>2.5449999999999999</v>
      </c>
      <c r="V1000" t="s">
        <v>1538</v>
      </c>
      <c r="W1000" t="s">
        <v>14</v>
      </c>
      <c r="X1000" t="s">
        <v>17</v>
      </c>
      <c r="Y1000" s="1" t="s">
        <v>1133</v>
      </c>
    </row>
    <row r="1001" spans="1:25" x14ac:dyDescent="0.25">
      <c r="A1001" s="4">
        <v>1747</v>
      </c>
      <c r="B1001" s="9" t="s">
        <v>1159</v>
      </c>
      <c r="C1001" s="8" t="s">
        <v>1138</v>
      </c>
      <c r="D1001" s="6" t="s">
        <v>60</v>
      </c>
      <c r="E1001" s="10">
        <v>5</v>
      </c>
      <c r="F1001">
        <v>6.4440952303417598</v>
      </c>
      <c r="G1001">
        <v>0.83367546634168199</v>
      </c>
      <c r="H1001" t="s">
        <v>641</v>
      </c>
      <c r="I1001" t="s">
        <v>266</v>
      </c>
      <c r="J1001" t="s">
        <v>267</v>
      </c>
      <c r="K1001" t="s">
        <v>1453</v>
      </c>
      <c r="L1001">
        <v>282</v>
      </c>
      <c r="M1001" t="s">
        <v>1453</v>
      </c>
      <c r="N1001">
        <v>280</v>
      </c>
      <c r="O1001" t="s">
        <v>709</v>
      </c>
      <c r="P1001" s="1" t="s">
        <v>1132</v>
      </c>
      <c r="Q1001" s="25">
        <v>43.634667999999998</v>
      </c>
      <c r="R1001" s="25">
        <v>3.3503750000000001</v>
      </c>
      <c r="S1001">
        <v>2.5449999999999999</v>
      </c>
      <c r="T1001">
        <v>20.1234</v>
      </c>
      <c r="U1001">
        <v>2.5449999999999999</v>
      </c>
      <c r="V1001" t="s">
        <v>1538</v>
      </c>
      <c r="W1001" t="s">
        <v>14</v>
      </c>
      <c r="X1001" t="s">
        <v>17</v>
      </c>
      <c r="Y1001" s="1" t="s">
        <v>1133</v>
      </c>
    </row>
    <row r="1002" spans="1:25" x14ac:dyDescent="0.25">
      <c r="A1002" s="4">
        <v>1748</v>
      </c>
      <c r="B1002" s="9" t="s">
        <v>1160</v>
      </c>
      <c r="C1002" s="8" t="s">
        <v>1137</v>
      </c>
      <c r="D1002" s="6" t="s">
        <v>60</v>
      </c>
      <c r="E1002" s="10">
        <v>5</v>
      </c>
      <c r="F1002">
        <v>6.3806632607721099</v>
      </c>
      <c r="G1002">
        <v>0.58961844345784897</v>
      </c>
      <c r="H1002" t="s">
        <v>641</v>
      </c>
      <c r="I1002" t="s">
        <v>266</v>
      </c>
      <c r="J1002" t="s">
        <v>267</v>
      </c>
      <c r="K1002" t="s">
        <v>1453</v>
      </c>
      <c r="L1002">
        <v>282</v>
      </c>
      <c r="M1002" t="s">
        <v>1453</v>
      </c>
      <c r="N1002">
        <v>280</v>
      </c>
      <c r="O1002" t="s">
        <v>709</v>
      </c>
      <c r="P1002" s="1" t="s">
        <v>1132</v>
      </c>
      <c r="Q1002" s="25">
        <v>43.634667999999998</v>
      </c>
      <c r="R1002" s="25">
        <v>3.3503750000000001</v>
      </c>
      <c r="S1002">
        <v>2.5449999999999999</v>
      </c>
      <c r="T1002">
        <v>20.1234</v>
      </c>
      <c r="U1002">
        <v>2.5449999999999999</v>
      </c>
      <c r="V1002" t="s">
        <v>1538</v>
      </c>
      <c r="W1002" t="s">
        <v>14</v>
      </c>
      <c r="X1002" t="s">
        <v>17</v>
      </c>
      <c r="Y1002" s="1" t="s">
        <v>1133</v>
      </c>
    </row>
    <row r="1003" spans="1:25" x14ac:dyDescent="0.25">
      <c r="A1003" s="4">
        <v>1752</v>
      </c>
      <c r="B1003" s="9" t="s">
        <v>1161</v>
      </c>
      <c r="C1003" s="8" t="s">
        <v>1137</v>
      </c>
      <c r="D1003" s="6" t="s">
        <v>60</v>
      </c>
      <c r="E1003" s="10">
        <v>5</v>
      </c>
      <c r="F1003">
        <v>7.3496242477343197</v>
      </c>
      <c r="G1003">
        <v>0.74879211560632797</v>
      </c>
      <c r="H1003" t="s">
        <v>641</v>
      </c>
      <c r="I1003" t="s">
        <v>266</v>
      </c>
      <c r="J1003" t="s">
        <v>267</v>
      </c>
      <c r="K1003" t="s">
        <v>1453</v>
      </c>
      <c r="L1003">
        <v>282</v>
      </c>
      <c r="M1003" t="s">
        <v>1453</v>
      </c>
      <c r="N1003">
        <v>280</v>
      </c>
      <c r="O1003" t="s">
        <v>709</v>
      </c>
      <c r="P1003" s="1" t="s">
        <v>1132</v>
      </c>
      <c r="Q1003" s="25">
        <v>43.634667999999998</v>
      </c>
      <c r="R1003" s="25">
        <v>3.3503750000000001</v>
      </c>
      <c r="S1003">
        <v>2.5449999999999999</v>
      </c>
      <c r="T1003">
        <v>20.1234</v>
      </c>
      <c r="U1003">
        <v>2.5449999999999999</v>
      </c>
      <c r="V1003" t="s">
        <v>1538</v>
      </c>
      <c r="W1003" t="s">
        <v>14</v>
      </c>
      <c r="X1003" t="s">
        <v>17</v>
      </c>
      <c r="Y1003" s="1" t="s">
        <v>1133</v>
      </c>
    </row>
    <row r="1004" spans="1:25" x14ac:dyDescent="0.25">
      <c r="A1004" s="4">
        <v>1753</v>
      </c>
      <c r="B1004" s="9" t="s">
        <v>1162</v>
      </c>
      <c r="C1004" s="8" t="s">
        <v>1137</v>
      </c>
      <c r="D1004" s="6" t="s">
        <v>60</v>
      </c>
      <c r="E1004" s="10">
        <v>5</v>
      </c>
      <c r="F1004">
        <v>7.9842967191051404</v>
      </c>
      <c r="G1004">
        <v>1.39250564354557</v>
      </c>
      <c r="H1004" t="s">
        <v>641</v>
      </c>
      <c r="I1004" t="s">
        <v>266</v>
      </c>
      <c r="J1004" t="s">
        <v>267</v>
      </c>
      <c r="K1004" t="s">
        <v>1453</v>
      </c>
      <c r="L1004">
        <v>282</v>
      </c>
      <c r="M1004" t="s">
        <v>1453</v>
      </c>
      <c r="N1004">
        <v>280</v>
      </c>
      <c r="O1004" t="s">
        <v>709</v>
      </c>
      <c r="P1004" s="1" t="s">
        <v>1132</v>
      </c>
      <c r="Q1004" s="25">
        <v>43.634667999999998</v>
      </c>
      <c r="R1004" s="25">
        <v>3.3503750000000001</v>
      </c>
      <c r="S1004">
        <v>2.5449999999999999</v>
      </c>
      <c r="T1004">
        <v>20.1234</v>
      </c>
      <c r="U1004">
        <v>2.5449999999999999</v>
      </c>
      <c r="V1004" t="s">
        <v>1538</v>
      </c>
      <c r="W1004" t="s">
        <v>14</v>
      </c>
      <c r="X1004" t="s">
        <v>17</v>
      </c>
      <c r="Y1004" s="1" t="s">
        <v>1133</v>
      </c>
    </row>
    <row r="1005" spans="1:25" x14ac:dyDescent="0.25">
      <c r="A1005" s="4">
        <v>1756</v>
      </c>
      <c r="B1005" s="9" t="s">
        <v>1163</v>
      </c>
      <c r="C1005" s="8" t="s">
        <v>1138</v>
      </c>
      <c r="D1005" s="6" t="s">
        <v>60</v>
      </c>
      <c r="E1005" s="10">
        <v>5</v>
      </c>
      <c r="F1005">
        <v>8.0802449652940904</v>
      </c>
      <c r="G1005">
        <v>1.51195272712605</v>
      </c>
      <c r="H1005" t="s">
        <v>641</v>
      </c>
      <c r="I1005" t="s">
        <v>266</v>
      </c>
      <c r="J1005" t="s">
        <v>267</v>
      </c>
      <c r="K1005" t="s">
        <v>1453</v>
      </c>
      <c r="L1005">
        <v>282</v>
      </c>
      <c r="M1005" t="s">
        <v>1453</v>
      </c>
      <c r="N1005">
        <v>280</v>
      </c>
      <c r="O1005" t="s">
        <v>709</v>
      </c>
      <c r="P1005" s="1" t="s">
        <v>1132</v>
      </c>
      <c r="Q1005" s="25">
        <v>43.634667999999998</v>
      </c>
      <c r="R1005" s="25">
        <v>3.3503750000000001</v>
      </c>
      <c r="S1005">
        <v>2.5449999999999999</v>
      </c>
      <c r="T1005">
        <v>20.1234</v>
      </c>
      <c r="U1005">
        <v>2.5449999999999999</v>
      </c>
      <c r="V1005" t="s">
        <v>1538</v>
      </c>
      <c r="W1005" t="s">
        <v>14</v>
      </c>
      <c r="X1005" t="s">
        <v>17</v>
      </c>
      <c r="Y1005" s="1" t="s">
        <v>1133</v>
      </c>
    </row>
    <row r="1006" spans="1:25" x14ac:dyDescent="0.25">
      <c r="A1006" s="4">
        <v>1757</v>
      </c>
      <c r="B1006" s="9" t="s">
        <v>1164</v>
      </c>
      <c r="C1006" s="8" t="s">
        <v>1138</v>
      </c>
      <c r="D1006" s="6" t="s">
        <v>60</v>
      </c>
      <c r="E1006" s="10">
        <v>5</v>
      </c>
      <c r="F1006">
        <v>13.9415913513151</v>
      </c>
      <c r="G1006">
        <v>3.36787476381273</v>
      </c>
      <c r="H1006" t="s">
        <v>641</v>
      </c>
      <c r="I1006" t="s">
        <v>266</v>
      </c>
      <c r="J1006" t="s">
        <v>267</v>
      </c>
      <c r="K1006" t="s">
        <v>1453</v>
      </c>
      <c r="L1006">
        <v>282</v>
      </c>
      <c r="M1006" t="s">
        <v>1453</v>
      </c>
      <c r="N1006">
        <v>280</v>
      </c>
      <c r="O1006" t="s">
        <v>709</v>
      </c>
      <c r="P1006" s="1" t="s">
        <v>1132</v>
      </c>
      <c r="Q1006" s="25">
        <v>43.634667999999998</v>
      </c>
      <c r="R1006" s="25">
        <v>3.3503750000000001</v>
      </c>
      <c r="S1006">
        <v>2.5449999999999999</v>
      </c>
      <c r="T1006">
        <v>20.1234</v>
      </c>
      <c r="U1006">
        <v>2.5449999999999999</v>
      </c>
      <c r="V1006" t="s">
        <v>1538</v>
      </c>
      <c r="W1006" t="s">
        <v>14</v>
      </c>
      <c r="X1006" t="s">
        <v>17</v>
      </c>
      <c r="Y1006" s="1" t="s">
        <v>1133</v>
      </c>
    </row>
    <row r="1007" spans="1:25" x14ac:dyDescent="0.25">
      <c r="A1007" s="4">
        <v>1758</v>
      </c>
      <c r="B1007" s="9" t="s">
        <v>1165</v>
      </c>
      <c r="C1007" s="8" t="s">
        <v>1138</v>
      </c>
      <c r="D1007" s="6" t="s">
        <v>60</v>
      </c>
      <c r="E1007" s="10">
        <v>5</v>
      </c>
      <c r="F1007">
        <v>6.2507098203015996</v>
      </c>
      <c r="G1007">
        <v>1.3360906032731801</v>
      </c>
      <c r="H1007" t="s">
        <v>641</v>
      </c>
      <c r="I1007" t="s">
        <v>266</v>
      </c>
      <c r="J1007" t="s">
        <v>267</v>
      </c>
      <c r="K1007" t="s">
        <v>1453</v>
      </c>
      <c r="L1007">
        <v>282</v>
      </c>
      <c r="M1007" t="s">
        <v>1453</v>
      </c>
      <c r="N1007">
        <v>280</v>
      </c>
      <c r="O1007" t="s">
        <v>709</v>
      </c>
      <c r="P1007" s="1" t="s">
        <v>1132</v>
      </c>
      <c r="Q1007" s="25">
        <v>43.634667999999998</v>
      </c>
      <c r="R1007" s="25">
        <v>3.3503750000000001</v>
      </c>
      <c r="S1007">
        <v>2.5449999999999999</v>
      </c>
      <c r="T1007">
        <v>20.1234</v>
      </c>
      <c r="U1007">
        <v>2.5449999999999999</v>
      </c>
      <c r="V1007" t="s">
        <v>1538</v>
      </c>
      <c r="W1007" t="s">
        <v>14</v>
      </c>
      <c r="X1007" t="s">
        <v>17</v>
      </c>
      <c r="Y1007" s="1" t="s">
        <v>1133</v>
      </c>
    </row>
    <row r="1008" spans="1:25" x14ac:dyDescent="0.25">
      <c r="A1008" s="4">
        <v>1767</v>
      </c>
      <c r="B1008" s="9" t="s">
        <v>1166</v>
      </c>
      <c r="C1008" s="8" t="s">
        <v>1137</v>
      </c>
      <c r="D1008" s="6" t="s">
        <v>60</v>
      </c>
      <c r="E1008" s="10">
        <v>5</v>
      </c>
      <c r="F1008">
        <v>1.80992001862387</v>
      </c>
      <c r="G1008">
        <v>0.25832097747884503</v>
      </c>
      <c r="H1008" t="s">
        <v>641</v>
      </c>
      <c r="I1008" t="s">
        <v>266</v>
      </c>
      <c r="J1008" t="s">
        <v>267</v>
      </c>
      <c r="K1008" t="s">
        <v>1453</v>
      </c>
      <c r="L1008">
        <v>282</v>
      </c>
      <c r="M1008" t="s">
        <v>1453</v>
      </c>
      <c r="N1008">
        <v>280</v>
      </c>
      <c r="O1008" t="s">
        <v>709</v>
      </c>
      <c r="P1008" s="1" t="s">
        <v>1132</v>
      </c>
      <c r="Q1008" s="25">
        <v>43.634667999999998</v>
      </c>
      <c r="R1008" s="25">
        <v>3.3503750000000001</v>
      </c>
      <c r="S1008">
        <v>2.5449999999999999</v>
      </c>
      <c r="T1008">
        <v>20.1234</v>
      </c>
      <c r="U1008">
        <v>2.5449999999999999</v>
      </c>
      <c r="V1008" t="s">
        <v>1538</v>
      </c>
      <c r="W1008" t="s">
        <v>14</v>
      </c>
      <c r="X1008" t="s">
        <v>17</v>
      </c>
      <c r="Y1008" s="1" t="s">
        <v>1133</v>
      </c>
    </row>
    <row r="1009" spans="1:25" x14ac:dyDescent="0.25">
      <c r="A1009" s="4">
        <v>1773</v>
      </c>
      <c r="B1009" s="9" t="s">
        <v>1166</v>
      </c>
      <c r="C1009" s="8" t="s">
        <v>1137</v>
      </c>
      <c r="D1009" s="6" t="s">
        <v>64</v>
      </c>
      <c r="E1009" s="10">
        <v>8</v>
      </c>
      <c r="F1009">
        <v>1.8090253161315699</v>
      </c>
      <c r="G1009">
        <v>0.45551123559781198</v>
      </c>
      <c r="H1009" t="s">
        <v>641</v>
      </c>
      <c r="I1009" t="s">
        <v>266</v>
      </c>
      <c r="J1009" t="s">
        <v>267</v>
      </c>
      <c r="K1009" t="s">
        <v>1453</v>
      </c>
      <c r="L1009">
        <v>282</v>
      </c>
      <c r="M1009" t="s">
        <v>1453</v>
      </c>
      <c r="N1009">
        <v>280</v>
      </c>
      <c r="O1009" t="s">
        <v>709</v>
      </c>
      <c r="P1009" s="1" t="s">
        <v>1132</v>
      </c>
      <c r="Q1009" s="25">
        <v>43.634667999999998</v>
      </c>
      <c r="R1009" s="25">
        <v>3.3503750000000001</v>
      </c>
      <c r="S1009">
        <v>2.5449999999999999</v>
      </c>
      <c r="T1009">
        <v>20.1234</v>
      </c>
      <c r="U1009">
        <v>2.5449999999999999</v>
      </c>
      <c r="V1009" t="s">
        <v>1538</v>
      </c>
      <c r="W1009" t="s">
        <v>14</v>
      </c>
      <c r="X1009" t="s">
        <v>17</v>
      </c>
      <c r="Y1009" s="1" t="s">
        <v>1133</v>
      </c>
    </row>
    <row r="1010" spans="1:25" x14ac:dyDescent="0.25">
      <c r="A1010" s="4">
        <v>1778</v>
      </c>
      <c r="B1010" s="9" t="s">
        <v>1167</v>
      </c>
      <c r="C1010" s="8" t="s">
        <v>1137</v>
      </c>
      <c r="D1010" s="6" t="s">
        <v>60</v>
      </c>
      <c r="E1010" s="10">
        <v>5</v>
      </c>
      <c r="F1010">
        <v>1.3960057506972501</v>
      </c>
      <c r="G1010">
        <v>0.15757738967826701</v>
      </c>
      <c r="H1010" t="s">
        <v>641</v>
      </c>
      <c r="I1010" t="s">
        <v>266</v>
      </c>
      <c r="J1010" t="s">
        <v>267</v>
      </c>
      <c r="K1010" t="s">
        <v>1453</v>
      </c>
      <c r="L1010">
        <v>282</v>
      </c>
      <c r="M1010" t="s">
        <v>1453</v>
      </c>
      <c r="N1010">
        <v>280</v>
      </c>
      <c r="O1010" t="s">
        <v>709</v>
      </c>
      <c r="P1010" s="1" t="s">
        <v>1132</v>
      </c>
      <c r="Q1010" s="25">
        <v>43.634667999999998</v>
      </c>
      <c r="R1010" s="25">
        <v>3.3503750000000001</v>
      </c>
      <c r="S1010">
        <v>2.5449999999999999</v>
      </c>
      <c r="T1010">
        <v>20.1234</v>
      </c>
      <c r="U1010">
        <v>2.5449999999999999</v>
      </c>
      <c r="V1010" t="s">
        <v>1538</v>
      </c>
      <c r="W1010" t="s">
        <v>14</v>
      </c>
      <c r="X1010" t="s">
        <v>17</v>
      </c>
      <c r="Y1010" s="1" t="s">
        <v>1133</v>
      </c>
    </row>
    <row r="1011" spans="1:25" x14ac:dyDescent="0.25">
      <c r="A1011" s="4">
        <v>1780</v>
      </c>
      <c r="B1011" s="9" t="s">
        <v>1167</v>
      </c>
      <c r="C1011" s="8" t="s">
        <v>1137</v>
      </c>
      <c r="D1011" s="6" t="s">
        <v>64</v>
      </c>
      <c r="E1011" s="10">
        <v>8</v>
      </c>
      <c r="F1011">
        <v>1.4734443444502701</v>
      </c>
      <c r="G1011">
        <v>0.180090901003716</v>
      </c>
      <c r="H1011" t="s">
        <v>641</v>
      </c>
      <c r="I1011" t="s">
        <v>266</v>
      </c>
      <c r="J1011" t="s">
        <v>267</v>
      </c>
      <c r="K1011" t="s">
        <v>1453</v>
      </c>
      <c r="L1011">
        <v>282</v>
      </c>
      <c r="M1011" t="s">
        <v>1453</v>
      </c>
      <c r="N1011">
        <v>280</v>
      </c>
      <c r="O1011" t="s">
        <v>709</v>
      </c>
      <c r="P1011" s="1" t="s">
        <v>1132</v>
      </c>
      <c r="Q1011" s="25">
        <v>43.634667999999998</v>
      </c>
      <c r="R1011" s="25">
        <v>3.3503750000000001</v>
      </c>
      <c r="S1011">
        <v>2.5449999999999999</v>
      </c>
      <c r="T1011">
        <v>20.1234</v>
      </c>
      <c r="U1011">
        <v>2.5449999999999999</v>
      </c>
      <c r="V1011" t="s">
        <v>1538</v>
      </c>
      <c r="W1011" t="s">
        <v>14</v>
      </c>
      <c r="X1011" t="s">
        <v>17</v>
      </c>
      <c r="Y1011" s="1" t="s">
        <v>1133</v>
      </c>
    </row>
    <row r="1012" spans="1:25" x14ac:dyDescent="0.25">
      <c r="A1012" s="4">
        <v>1783</v>
      </c>
      <c r="B1012" s="9" t="s">
        <v>1168</v>
      </c>
      <c r="C1012" s="8" t="s">
        <v>1137</v>
      </c>
      <c r="D1012" s="6" t="s">
        <v>64</v>
      </c>
      <c r="E1012" s="10">
        <v>8</v>
      </c>
      <c r="F1012">
        <v>1.81875156814664</v>
      </c>
      <c r="G1012">
        <v>0.256894308553339</v>
      </c>
      <c r="H1012" t="s">
        <v>641</v>
      </c>
      <c r="I1012" t="s">
        <v>266</v>
      </c>
      <c r="J1012" t="s">
        <v>267</v>
      </c>
      <c r="K1012" t="s">
        <v>1453</v>
      </c>
      <c r="L1012">
        <v>282</v>
      </c>
      <c r="M1012" t="s">
        <v>1453</v>
      </c>
      <c r="N1012">
        <v>280</v>
      </c>
      <c r="O1012" t="s">
        <v>709</v>
      </c>
      <c r="P1012" s="1" t="s">
        <v>1132</v>
      </c>
      <c r="Q1012" s="25">
        <v>43.634667999999998</v>
      </c>
      <c r="R1012" s="25">
        <v>3.3503750000000001</v>
      </c>
      <c r="S1012">
        <v>2.5449999999999999</v>
      </c>
      <c r="T1012">
        <v>20.1234</v>
      </c>
      <c r="U1012">
        <v>2.5449999999999999</v>
      </c>
      <c r="V1012" t="s">
        <v>1538</v>
      </c>
      <c r="W1012" t="s">
        <v>14</v>
      </c>
      <c r="X1012" t="s">
        <v>17</v>
      </c>
      <c r="Y1012" s="1" t="s">
        <v>1133</v>
      </c>
    </row>
    <row r="1013" spans="1:25" x14ac:dyDescent="0.25">
      <c r="A1013" s="4">
        <v>1784</v>
      </c>
      <c r="B1013" s="9" t="s">
        <v>1169</v>
      </c>
      <c r="C1013" s="8" t="s">
        <v>1138</v>
      </c>
      <c r="D1013" s="6" t="s">
        <v>64</v>
      </c>
      <c r="E1013" s="10">
        <v>8</v>
      </c>
      <c r="F1013">
        <v>6.8841176254692602</v>
      </c>
      <c r="G1013">
        <v>0.83327837842248598</v>
      </c>
      <c r="H1013" t="s">
        <v>641</v>
      </c>
      <c r="I1013" t="s">
        <v>266</v>
      </c>
      <c r="J1013" t="s">
        <v>267</v>
      </c>
      <c r="K1013" t="s">
        <v>1453</v>
      </c>
      <c r="L1013">
        <v>282</v>
      </c>
      <c r="M1013" t="s">
        <v>1453</v>
      </c>
      <c r="N1013">
        <v>280</v>
      </c>
      <c r="O1013" t="s">
        <v>709</v>
      </c>
      <c r="P1013" s="1" t="s">
        <v>1132</v>
      </c>
      <c r="Q1013" s="25">
        <v>43.634667999999998</v>
      </c>
      <c r="R1013" s="25">
        <v>3.3503750000000001</v>
      </c>
      <c r="S1013">
        <v>2.5449999999999999</v>
      </c>
      <c r="T1013">
        <v>20.1234</v>
      </c>
      <c r="U1013">
        <v>2.5449999999999999</v>
      </c>
      <c r="V1013" t="s">
        <v>1538</v>
      </c>
      <c r="W1013" t="s">
        <v>14</v>
      </c>
      <c r="X1013" t="s">
        <v>17</v>
      </c>
      <c r="Y1013" s="1" t="s">
        <v>1133</v>
      </c>
    </row>
    <row r="1014" spans="1:25" x14ac:dyDescent="0.25">
      <c r="A1014" s="4">
        <v>1785</v>
      </c>
      <c r="B1014" s="9" t="s">
        <v>1170</v>
      </c>
      <c r="C1014" s="8" t="s">
        <v>1137</v>
      </c>
      <c r="D1014" s="6" t="s">
        <v>64</v>
      </c>
      <c r="E1014" s="10">
        <v>8</v>
      </c>
      <c r="F1014">
        <v>1.1956844381177301</v>
      </c>
      <c r="G1014">
        <v>0.113546861860056</v>
      </c>
      <c r="H1014" t="s">
        <v>641</v>
      </c>
      <c r="I1014" t="s">
        <v>266</v>
      </c>
      <c r="J1014" t="s">
        <v>267</v>
      </c>
      <c r="K1014" t="s">
        <v>1453</v>
      </c>
      <c r="L1014">
        <v>282</v>
      </c>
      <c r="M1014" t="s">
        <v>1453</v>
      </c>
      <c r="N1014">
        <v>280</v>
      </c>
      <c r="O1014" t="s">
        <v>709</v>
      </c>
      <c r="P1014" s="1" t="s">
        <v>1132</v>
      </c>
      <c r="Q1014" s="25">
        <v>43.634667999999998</v>
      </c>
      <c r="R1014" s="25">
        <v>3.3503750000000001</v>
      </c>
      <c r="S1014">
        <v>2.5449999999999999</v>
      </c>
      <c r="T1014">
        <v>20.1234</v>
      </c>
      <c r="U1014">
        <v>2.5449999999999999</v>
      </c>
      <c r="V1014" t="s">
        <v>1538</v>
      </c>
      <c r="W1014" t="s">
        <v>14</v>
      </c>
      <c r="X1014" t="s">
        <v>17</v>
      </c>
      <c r="Y1014" s="1" t="s">
        <v>1133</v>
      </c>
    </row>
    <row r="1015" spans="1:25" x14ac:dyDescent="0.25">
      <c r="A1015" s="4">
        <v>1786</v>
      </c>
      <c r="B1015" s="9" t="s">
        <v>1158</v>
      </c>
      <c r="C1015" s="8" t="s">
        <v>1137</v>
      </c>
      <c r="D1015" s="6" t="s">
        <v>64</v>
      </c>
      <c r="E1015" s="10">
        <v>8</v>
      </c>
      <c r="F1015">
        <v>1.49683867260887</v>
      </c>
      <c r="G1015">
        <v>0.180087400602324</v>
      </c>
      <c r="H1015" t="s">
        <v>641</v>
      </c>
      <c r="I1015" t="s">
        <v>266</v>
      </c>
      <c r="J1015" t="s">
        <v>267</v>
      </c>
      <c r="K1015" t="s">
        <v>1453</v>
      </c>
      <c r="L1015">
        <v>282</v>
      </c>
      <c r="M1015" t="s">
        <v>1453</v>
      </c>
      <c r="N1015">
        <v>280</v>
      </c>
      <c r="O1015" t="s">
        <v>709</v>
      </c>
      <c r="P1015" s="1" t="s">
        <v>1132</v>
      </c>
      <c r="Q1015" s="25">
        <v>43.634667999999998</v>
      </c>
      <c r="R1015" s="25">
        <v>3.3503750000000001</v>
      </c>
      <c r="S1015">
        <v>2.5449999999999999</v>
      </c>
      <c r="T1015">
        <v>20.1234</v>
      </c>
      <c r="U1015">
        <v>2.5449999999999999</v>
      </c>
      <c r="V1015" t="s">
        <v>1538</v>
      </c>
      <c r="W1015" t="s">
        <v>14</v>
      </c>
      <c r="X1015" t="s">
        <v>17</v>
      </c>
      <c r="Y1015" s="1" t="s">
        <v>1133</v>
      </c>
    </row>
    <row r="1016" spans="1:25" x14ac:dyDescent="0.25">
      <c r="A1016" s="4">
        <v>1787</v>
      </c>
      <c r="B1016" s="9" t="s">
        <v>1171</v>
      </c>
      <c r="C1016" s="8" t="s">
        <v>1137</v>
      </c>
      <c r="D1016" s="6" t="s">
        <v>64</v>
      </c>
      <c r="E1016" s="10">
        <v>8</v>
      </c>
      <c r="F1016">
        <v>1.70013053100961</v>
      </c>
      <c r="G1016">
        <v>0.17996401079640101</v>
      </c>
      <c r="H1016" t="s">
        <v>641</v>
      </c>
      <c r="I1016" t="s">
        <v>266</v>
      </c>
      <c r="J1016" t="s">
        <v>267</v>
      </c>
      <c r="K1016" t="s">
        <v>1453</v>
      </c>
      <c r="L1016">
        <v>282</v>
      </c>
      <c r="M1016" t="s">
        <v>1453</v>
      </c>
      <c r="N1016">
        <v>280</v>
      </c>
      <c r="O1016" t="s">
        <v>709</v>
      </c>
      <c r="P1016" s="1" t="s">
        <v>1132</v>
      </c>
      <c r="Q1016" s="25">
        <v>43.634667999999998</v>
      </c>
      <c r="R1016" s="25">
        <v>3.3503750000000001</v>
      </c>
      <c r="S1016">
        <v>2.5449999999999999</v>
      </c>
      <c r="T1016">
        <v>20.1234</v>
      </c>
      <c r="U1016">
        <v>2.5449999999999999</v>
      </c>
      <c r="V1016" t="s">
        <v>1538</v>
      </c>
      <c r="W1016" t="s">
        <v>14</v>
      </c>
      <c r="X1016" t="s">
        <v>17</v>
      </c>
      <c r="Y1016" s="1" t="s">
        <v>1133</v>
      </c>
    </row>
    <row r="1017" spans="1:25" x14ac:dyDescent="0.25">
      <c r="A1017" s="4">
        <v>1788</v>
      </c>
      <c r="B1017" s="9" t="s">
        <v>1172</v>
      </c>
      <c r="C1017" s="8" t="s">
        <v>1138</v>
      </c>
      <c r="D1017" s="6" t="s">
        <v>64</v>
      </c>
      <c r="E1017" s="10">
        <v>8</v>
      </c>
      <c r="F1017">
        <v>0.824768112640207</v>
      </c>
      <c r="G1017">
        <v>8.5029595143484904E-2</v>
      </c>
      <c r="H1017" t="s">
        <v>641</v>
      </c>
      <c r="I1017" t="s">
        <v>266</v>
      </c>
      <c r="J1017" t="s">
        <v>267</v>
      </c>
      <c r="K1017" t="s">
        <v>1453</v>
      </c>
      <c r="L1017">
        <v>282</v>
      </c>
      <c r="M1017" t="s">
        <v>1453</v>
      </c>
      <c r="N1017">
        <v>280</v>
      </c>
      <c r="O1017" t="s">
        <v>709</v>
      </c>
      <c r="P1017" s="1" t="s">
        <v>1132</v>
      </c>
      <c r="Q1017" s="25">
        <v>43.634667999999998</v>
      </c>
      <c r="R1017" s="25">
        <v>3.3503750000000001</v>
      </c>
      <c r="S1017">
        <v>2.5449999999999999</v>
      </c>
      <c r="T1017">
        <v>20.1234</v>
      </c>
      <c r="U1017">
        <v>2.5449999999999999</v>
      </c>
      <c r="V1017" t="s">
        <v>1538</v>
      </c>
      <c r="W1017" t="s">
        <v>14</v>
      </c>
      <c r="X1017" t="s">
        <v>17</v>
      </c>
      <c r="Y1017" s="1" t="s">
        <v>1133</v>
      </c>
    </row>
    <row r="1018" spans="1:25" x14ac:dyDescent="0.25">
      <c r="A1018" s="4">
        <v>1789</v>
      </c>
      <c r="B1018" s="9" t="s">
        <v>149</v>
      </c>
      <c r="C1018" s="8" t="s">
        <v>49</v>
      </c>
      <c r="D1018" s="10" t="s">
        <v>434</v>
      </c>
      <c r="E1018" s="10">
        <v>6</v>
      </c>
      <c r="F1018">
        <v>9.31793796340739</v>
      </c>
      <c r="G1018">
        <v>3.9989247407983202</v>
      </c>
      <c r="H1018" t="s">
        <v>861</v>
      </c>
      <c r="I1018" t="s">
        <v>266</v>
      </c>
      <c r="J1018" t="s">
        <v>267</v>
      </c>
      <c r="K1018" t="s">
        <v>1434</v>
      </c>
      <c r="L1018">
        <v>278</v>
      </c>
      <c r="M1018" t="s">
        <v>1453</v>
      </c>
      <c r="N1018">
        <v>280</v>
      </c>
      <c r="O1018" t="s">
        <v>1173</v>
      </c>
      <c r="P1018" s="1" t="s">
        <v>1190</v>
      </c>
      <c r="Q1018" s="25">
        <v>46.035532000000003</v>
      </c>
      <c r="R1018" s="25">
        <v>9.8970219999999998</v>
      </c>
      <c r="S1018">
        <v>-1.5497000000000001</v>
      </c>
      <c r="T1018">
        <v>25.160499999999999</v>
      </c>
      <c r="U1018">
        <v>1.5497000000000001</v>
      </c>
      <c r="V1018" s="25" t="s">
        <v>1538</v>
      </c>
      <c r="W1018" t="s">
        <v>15</v>
      </c>
      <c r="X1018" t="s">
        <v>17</v>
      </c>
      <c r="Y1018" s="1" t="s">
        <v>1174</v>
      </c>
    </row>
    <row r="1019" spans="1:25" x14ac:dyDescent="0.25">
      <c r="A1019" s="4">
        <v>1790</v>
      </c>
      <c r="B1019" s="9">
        <v>10121</v>
      </c>
      <c r="C1019" s="8" t="s">
        <v>1192</v>
      </c>
      <c r="D1019" s="6" t="s">
        <v>219</v>
      </c>
      <c r="E1019" s="10">
        <v>6</v>
      </c>
      <c r="F1019">
        <v>7.0161313874251201</v>
      </c>
      <c r="G1019">
        <v>2.1807427498457499</v>
      </c>
      <c r="H1019" t="s">
        <v>861</v>
      </c>
      <c r="I1019" t="s">
        <v>266</v>
      </c>
      <c r="J1019" t="s">
        <v>267</v>
      </c>
      <c r="K1019" t="s">
        <v>1434</v>
      </c>
      <c r="L1019">
        <v>278</v>
      </c>
      <c r="M1019" t="s">
        <v>1453</v>
      </c>
      <c r="N1019">
        <v>280</v>
      </c>
      <c r="O1019" t="s">
        <v>1173</v>
      </c>
      <c r="P1019" s="1" t="s">
        <v>1190</v>
      </c>
      <c r="Q1019" s="25">
        <v>46.035532000000003</v>
      </c>
      <c r="R1019" s="25">
        <v>9.8970219999999998</v>
      </c>
      <c r="S1019">
        <v>-1.5497000000000001</v>
      </c>
      <c r="T1019">
        <v>25.160499999999999</v>
      </c>
      <c r="U1019">
        <v>1.5497000000000001</v>
      </c>
      <c r="V1019" s="25" t="s">
        <v>1538</v>
      </c>
      <c r="W1019" t="s">
        <v>15</v>
      </c>
      <c r="X1019" t="s">
        <v>17</v>
      </c>
      <c r="Y1019" s="1" t="s">
        <v>1174</v>
      </c>
    </row>
    <row r="1020" spans="1:25" x14ac:dyDescent="0.25">
      <c r="A1020" s="4">
        <v>1791</v>
      </c>
      <c r="B1020" s="9" t="s">
        <v>1175</v>
      </c>
      <c r="C1020" s="8" t="s">
        <v>1192</v>
      </c>
      <c r="D1020" s="10" t="s">
        <v>434</v>
      </c>
      <c r="E1020" s="10">
        <v>6</v>
      </c>
      <c r="F1020">
        <v>12.322478427336</v>
      </c>
      <c r="G1020">
        <v>4.3233554778275796</v>
      </c>
      <c r="H1020" t="s">
        <v>861</v>
      </c>
      <c r="I1020" t="s">
        <v>266</v>
      </c>
      <c r="J1020" t="s">
        <v>267</v>
      </c>
      <c r="K1020" t="s">
        <v>1434</v>
      </c>
      <c r="L1020">
        <v>278</v>
      </c>
      <c r="M1020" t="s">
        <v>1453</v>
      </c>
      <c r="N1020">
        <v>280</v>
      </c>
      <c r="O1020" t="s">
        <v>1173</v>
      </c>
      <c r="P1020" s="1" t="s">
        <v>1190</v>
      </c>
      <c r="Q1020" s="25">
        <v>46.035532000000003</v>
      </c>
      <c r="R1020" s="25">
        <v>9.8970219999999998</v>
      </c>
      <c r="S1020">
        <v>-1.5497000000000001</v>
      </c>
      <c r="T1020">
        <v>25.160499999999999</v>
      </c>
      <c r="U1020">
        <v>1.5497000000000001</v>
      </c>
      <c r="V1020" s="25" t="s">
        <v>1538</v>
      </c>
      <c r="W1020" t="s">
        <v>15</v>
      </c>
      <c r="X1020" t="s">
        <v>17</v>
      </c>
      <c r="Y1020" s="1" t="s">
        <v>1174</v>
      </c>
    </row>
    <row r="1021" spans="1:25" x14ac:dyDescent="0.25">
      <c r="A1021" s="4">
        <v>1792</v>
      </c>
      <c r="B1021" s="9" t="s">
        <v>1176</v>
      </c>
      <c r="C1021" s="8" t="s">
        <v>1192</v>
      </c>
      <c r="D1021" s="6" t="s">
        <v>534</v>
      </c>
      <c r="E1021" s="10">
        <v>6</v>
      </c>
      <c r="F1021">
        <v>11.984265494613</v>
      </c>
      <c r="G1021">
        <v>9.6346776298122094</v>
      </c>
      <c r="H1021" t="s">
        <v>861</v>
      </c>
      <c r="I1021" t="s">
        <v>266</v>
      </c>
      <c r="J1021" t="s">
        <v>267</v>
      </c>
      <c r="K1021" t="s">
        <v>1434</v>
      </c>
      <c r="L1021">
        <v>278</v>
      </c>
      <c r="M1021" t="s">
        <v>1453</v>
      </c>
      <c r="N1021">
        <v>280</v>
      </c>
      <c r="O1021" t="s">
        <v>1173</v>
      </c>
      <c r="P1021" s="1" t="s">
        <v>1190</v>
      </c>
      <c r="Q1021" s="25">
        <v>46.035532000000003</v>
      </c>
      <c r="R1021" s="25">
        <v>9.8970219999999998</v>
      </c>
      <c r="S1021">
        <v>-1.5497000000000001</v>
      </c>
      <c r="T1021">
        <v>25.160499999999999</v>
      </c>
      <c r="U1021">
        <v>1.5497000000000001</v>
      </c>
      <c r="V1021" s="25" t="s">
        <v>1538</v>
      </c>
      <c r="W1021" t="s">
        <v>15</v>
      </c>
      <c r="X1021" t="s">
        <v>17</v>
      </c>
      <c r="Y1021" s="1" t="s">
        <v>1174</v>
      </c>
    </row>
    <row r="1022" spans="1:25" x14ac:dyDescent="0.25">
      <c r="A1022" s="4">
        <v>1793</v>
      </c>
      <c r="B1022" s="9">
        <v>12503</v>
      </c>
      <c r="C1022" s="8" t="s">
        <v>1192</v>
      </c>
      <c r="D1022" s="6" t="s">
        <v>137</v>
      </c>
      <c r="E1022" s="10">
        <v>6</v>
      </c>
      <c r="F1022">
        <v>14.5716791034371</v>
      </c>
      <c r="G1022">
        <v>5.8971392676983703</v>
      </c>
      <c r="H1022" t="s">
        <v>861</v>
      </c>
      <c r="I1022" t="s">
        <v>266</v>
      </c>
      <c r="J1022" t="s">
        <v>267</v>
      </c>
      <c r="K1022" t="s">
        <v>1434</v>
      </c>
      <c r="L1022">
        <v>278</v>
      </c>
      <c r="M1022" t="s">
        <v>1453</v>
      </c>
      <c r="N1022">
        <v>280</v>
      </c>
      <c r="O1022" t="s">
        <v>1173</v>
      </c>
      <c r="P1022" s="1" t="s">
        <v>1190</v>
      </c>
      <c r="Q1022" s="25">
        <v>46.045251</v>
      </c>
      <c r="R1022" s="25">
        <v>9.9074299999999997</v>
      </c>
      <c r="S1022">
        <v>-1.5490999999999999</v>
      </c>
      <c r="T1022">
        <v>25.172599999999999</v>
      </c>
      <c r="U1022">
        <v>1.5490999999999999</v>
      </c>
      <c r="V1022" s="25" t="s">
        <v>1538</v>
      </c>
      <c r="W1022" t="s">
        <v>15</v>
      </c>
      <c r="X1022" t="s">
        <v>18</v>
      </c>
      <c r="Y1022" s="1" t="s">
        <v>1191</v>
      </c>
    </row>
    <row r="1023" spans="1:25" x14ac:dyDescent="0.25">
      <c r="A1023" s="4">
        <v>1794</v>
      </c>
      <c r="B1023" s="9">
        <v>12503</v>
      </c>
      <c r="C1023" s="8" t="s">
        <v>1192</v>
      </c>
      <c r="D1023" s="6" t="s">
        <v>1193</v>
      </c>
      <c r="E1023" s="10">
        <v>7</v>
      </c>
      <c r="F1023">
        <v>11.395876112908001</v>
      </c>
      <c r="G1023">
        <v>3.82873077150979</v>
      </c>
      <c r="H1023" t="s">
        <v>861</v>
      </c>
      <c r="I1023" t="s">
        <v>266</v>
      </c>
      <c r="J1023" t="s">
        <v>267</v>
      </c>
      <c r="K1023" t="s">
        <v>1434</v>
      </c>
      <c r="L1023">
        <v>278</v>
      </c>
      <c r="M1023" t="s">
        <v>1453</v>
      </c>
      <c r="N1023">
        <v>280</v>
      </c>
      <c r="O1023" t="s">
        <v>1173</v>
      </c>
      <c r="P1023" s="1" t="s">
        <v>1190</v>
      </c>
      <c r="Q1023" s="25">
        <v>46.045251</v>
      </c>
      <c r="R1023" s="25">
        <v>9.9074299999999997</v>
      </c>
      <c r="S1023">
        <v>-1.5490999999999999</v>
      </c>
      <c r="T1023">
        <v>25.172599999999999</v>
      </c>
      <c r="U1023">
        <v>1.5490999999999999</v>
      </c>
      <c r="V1023" s="25" t="s">
        <v>1538</v>
      </c>
      <c r="W1023" t="s">
        <v>15</v>
      </c>
      <c r="X1023" t="s">
        <v>18</v>
      </c>
      <c r="Y1023" s="1" t="s">
        <v>1191</v>
      </c>
    </row>
    <row r="1024" spans="1:25" x14ac:dyDescent="0.25">
      <c r="A1024" s="4">
        <v>1795</v>
      </c>
      <c r="B1024" s="9">
        <v>13019</v>
      </c>
      <c r="C1024" s="8" t="s">
        <v>1192</v>
      </c>
      <c r="D1024" s="6" t="s">
        <v>137</v>
      </c>
      <c r="E1024" s="10">
        <v>6</v>
      </c>
      <c r="F1024">
        <v>7.8297318065227799</v>
      </c>
      <c r="G1024">
        <v>2.87237266899362</v>
      </c>
      <c r="H1024" t="s">
        <v>861</v>
      </c>
      <c r="I1024" t="s">
        <v>266</v>
      </c>
      <c r="J1024" t="s">
        <v>267</v>
      </c>
      <c r="K1024" t="s">
        <v>1434</v>
      </c>
      <c r="L1024">
        <v>278</v>
      </c>
      <c r="M1024" t="s">
        <v>1453</v>
      </c>
      <c r="N1024">
        <v>280</v>
      </c>
      <c r="O1024" t="s">
        <v>1173</v>
      </c>
      <c r="P1024" s="1" t="s">
        <v>1190</v>
      </c>
      <c r="Q1024" s="25">
        <v>46.045251</v>
      </c>
      <c r="R1024" s="25">
        <v>9.9074299999999997</v>
      </c>
      <c r="S1024">
        <v>-1.5490999999999999</v>
      </c>
      <c r="T1024">
        <v>25.172599999999999</v>
      </c>
      <c r="U1024">
        <v>1.5490999999999999</v>
      </c>
      <c r="V1024" s="25" t="s">
        <v>1538</v>
      </c>
      <c r="W1024" t="s">
        <v>15</v>
      </c>
      <c r="X1024" t="s">
        <v>18</v>
      </c>
      <c r="Y1024" s="1" t="s">
        <v>1191</v>
      </c>
    </row>
    <row r="1025" spans="1:25" x14ac:dyDescent="0.25">
      <c r="A1025" s="4">
        <v>1796</v>
      </c>
      <c r="B1025" s="9">
        <v>12499</v>
      </c>
      <c r="C1025" s="8" t="s">
        <v>1192</v>
      </c>
      <c r="D1025" s="6" t="s">
        <v>137</v>
      </c>
      <c r="E1025" s="10">
        <v>6</v>
      </c>
      <c r="F1025">
        <v>16.0996602595221</v>
      </c>
      <c r="G1025">
        <v>4.9177144065449196</v>
      </c>
      <c r="H1025" t="s">
        <v>861</v>
      </c>
      <c r="I1025" t="s">
        <v>266</v>
      </c>
      <c r="J1025" t="s">
        <v>267</v>
      </c>
      <c r="K1025" t="s">
        <v>1434</v>
      </c>
      <c r="L1025">
        <v>278</v>
      </c>
      <c r="M1025" t="s">
        <v>1453</v>
      </c>
      <c r="N1025">
        <v>280</v>
      </c>
      <c r="O1025" t="s">
        <v>1173</v>
      </c>
      <c r="P1025" s="1" t="s">
        <v>1190</v>
      </c>
      <c r="Q1025" s="25">
        <v>46.045251</v>
      </c>
      <c r="R1025" s="25">
        <v>9.9074299999999997</v>
      </c>
      <c r="S1025">
        <v>-1.5490999999999999</v>
      </c>
      <c r="T1025">
        <v>25.172599999999999</v>
      </c>
      <c r="U1025">
        <v>1.5490999999999999</v>
      </c>
      <c r="V1025" s="25" t="s">
        <v>1538</v>
      </c>
      <c r="W1025" t="s">
        <v>15</v>
      </c>
      <c r="X1025" t="s">
        <v>18</v>
      </c>
      <c r="Y1025" s="1" t="s">
        <v>1191</v>
      </c>
    </row>
    <row r="1026" spans="1:25" x14ac:dyDescent="0.25">
      <c r="A1026" s="4">
        <v>1797</v>
      </c>
      <c r="B1026" s="9" t="s">
        <v>1353</v>
      </c>
      <c r="C1026" s="8" t="s">
        <v>1352</v>
      </c>
      <c r="D1026" s="6" t="s">
        <v>721</v>
      </c>
      <c r="E1026" s="10">
        <v>6</v>
      </c>
      <c r="F1026">
        <v>51.854811501400299</v>
      </c>
      <c r="G1026">
        <v>18.530791956705201</v>
      </c>
      <c r="H1026" t="s">
        <v>92</v>
      </c>
      <c r="I1026" t="s">
        <v>266</v>
      </c>
      <c r="J1026" t="s">
        <v>267</v>
      </c>
      <c r="K1026" t="s">
        <v>1434</v>
      </c>
      <c r="L1026">
        <v>278</v>
      </c>
      <c r="M1026" t="s">
        <v>1453</v>
      </c>
      <c r="N1026">
        <v>280</v>
      </c>
      <c r="O1026" t="s">
        <v>1526</v>
      </c>
      <c r="P1026" s="1" t="s">
        <v>715</v>
      </c>
      <c r="Q1026" s="25">
        <v>35.835306000000003</v>
      </c>
      <c r="R1026" s="25">
        <v>-112.510446</v>
      </c>
      <c r="S1026">
        <v>11.5611</v>
      </c>
      <c r="T1026">
        <v>-40.272500000000001</v>
      </c>
      <c r="U1026">
        <v>11.5611</v>
      </c>
      <c r="V1026" t="s">
        <v>1536</v>
      </c>
      <c r="W1026" t="s">
        <v>14</v>
      </c>
      <c r="X1026" t="s">
        <v>18</v>
      </c>
      <c r="Y1026" s="1" t="s">
        <v>1357</v>
      </c>
    </row>
    <row r="1027" spans="1:25" x14ac:dyDescent="0.25">
      <c r="A1027" s="4">
        <v>1798</v>
      </c>
      <c r="B1027" s="9" t="s">
        <v>1358</v>
      </c>
      <c r="C1027" s="8" t="s">
        <v>702</v>
      </c>
      <c r="D1027" s="6" t="s">
        <v>721</v>
      </c>
      <c r="E1027" s="10">
        <v>6</v>
      </c>
      <c r="F1027">
        <v>78.215979328811301</v>
      </c>
      <c r="G1027">
        <v>33.239466843177603</v>
      </c>
      <c r="H1027" t="s">
        <v>92</v>
      </c>
      <c r="I1027" t="s">
        <v>266</v>
      </c>
      <c r="J1027" t="s">
        <v>267</v>
      </c>
      <c r="K1027" t="s">
        <v>1434</v>
      </c>
      <c r="L1027">
        <v>278</v>
      </c>
      <c r="M1027" t="s">
        <v>1453</v>
      </c>
      <c r="N1027">
        <v>280</v>
      </c>
      <c r="O1027" t="s">
        <v>1526</v>
      </c>
      <c r="P1027" s="1" t="s">
        <v>715</v>
      </c>
      <c r="Q1027" s="25">
        <v>35.835306000000003</v>
      </c>
      <c r="R1027" s="25">
        <v>-112.510446</v>
      </c>
      <c r="S1027">
        <v>11.5611</v>
      </c>
      <c r="T1027">
        <v>-40.272500000000001</v>
      </c>
      <c r="U1027">
        <v>11.5611</v>
      </c>
      <c r="V1027" t="s">
        <v>1536</v>
      </c>
      <c r="W1027" t="s">
        <v>14</v>
      </c>
      <c r="X1027" t="s">
        <v>18</v>
      </c>
      <c r="Y1027" s="1" t="s">
        <v>1357</v>
      </c>
    </row>
    <row r="1028" spans="1:25" x14ac:dyDescent="0.25">
      <c r="A1028" s="4">
        <v>1799</v>
      </c>
      <c r="B1028" s="9" t="s">
        <v>1359</v>
      </c>
      <c r="C1028" s="8" t="s">
        <v>702</v>
      </c>
      <c r="D1028" s="6" t="s">
        <v>721</v>
      </c>
      <c r="E1028" s="10">
        <v>6</v>
      </c>
      <c r="F1028">
        <v>67.180593438687495</v>
      </c>
      <c r="G1028">
        <v>26.673129103005799</v>
      </c>
      <c r="H1028" t="s">
        <v>92</v>
      </c>
      <c r="I1028" t="s">
        <v>266</v>
      </c>
      <c r="J1028" t="s">
        <v>267</v>
      </c>
      <c r="K1028" t="s">
        <v>1434</v>
      </c>
      <c r="L1028">
        <v>278</v>
      </c>
      <c r="M1028" t="s">
        <v>1453</v>
      </c>
      <c r="N1028">
        <v>280</v>
      </c>
      <c r="O1028" t="s">
        <v>1526</v>
      </c>
      <c r="P1028" s="1" t="s">
        <v>715</v>
      </c>
      <c r="Q1028" s="25">
        <v>35.835306000000003</v>
      </c>
      <c r="R1028" s="25">
        <v>-112.510446</v>
      </c>
      <c r="S1028">
        <v>11.5611</v>
      </c>
      <c r="T1028">
        <v>-40.272500000000001</v>
      </c>
      <c r="U1028">
        <v>11.5611</v>
      </c>
      <c r="V1028" t="s">
        <v>1536</v>
      </c>
      <c r="W1028" t="s">
        <v>14</v>
      </c>
      <c r="X1028" t="s">
        <v>18</v>
      </c>
      <c r="Y1028" s="1" t="s">
        <v>1357</v>
      </c>
    </row>
    <row r="1029" spans="1:25" x14ac:dyDescent="0.25">
      <c r="A1029" s="4">
        <v>1800</v>
      </c>
      <c r="B1029" s="9" t="s">
        <v>1360</v>
      </c>
      <c r="C1029" s="8" t="s">
        <v>1352</v>
      </c>
      <c r="D1029" s="6" t="s">
        <v>308</v>
      </c>
      <c r="E1029" s="10">
        <v>6</v>
      </c>
      <c r="F1029">
        <v>17.3049450595487</v>
      </c>
      <c r="G1029">
        <v>5.63030828514857</v>
      </c>
      <c r="H1029" t="s">
        <v>92</v>
      </c>
      <c r="I1029" t="s">
        <v>266</v>
      </c>
      <c r="J1029" t="s">
        <v>267</v>
      </c>
      <c r="K1029" t="s">
        <v>1434</v>
      </c>
      <c r="L1029">
        <v>278</v>
      </c>
      <c r="M1029" t="s">
        <v>1453</v>
      </c>
      <c r="N1029">
        <v>280</v>
      </c>
      <c r="O1029" t="s">
        <v>1526</v>
      </c>
      <c r="P1029" s="1" t="s">
        <v>715</v>
      </c>
      <c r="Q1029" s="25">
        <v>35.835306000000003</v>
      </c>
      <c r="R1029" s="25">
        <v>-112.510446</v>
      </c>
      <c r="S1029">
        <v>11.5611</v>
      </c>
      <c r="T1029">
        <v>-40.272500000000001</v>
      </c>
      <c r="U1029">
        <v>11.5611</v>
      </c>
      <c r="V1029" t="s">
        <v>1536</v>
      </c>
      <c r="W1029" t="s">
        <v>14</v>
      </c>
      <c r="X1029" t="s">
        <v>18</v>
      </c>
      <c r="Y1029" s="1" t="s">
        <v>1357</v>
      </c>
    </row>
    <row r="1030" spans="1:25" x14ac:dyDescent="0.25">
      <c r="A1030" s="4">
        <v>1801</v>
      </c>
      <c r="B1030" s="9" t="s">
        <v>1361</v>
      </c>
      <c r="C1030" s="8" t="s">
        <v>1352</v>
      </c>
      <c r="D1030" s="6" t="s">
        <v>308</v>
      </c>
      <c r="E1030" s="10">
        <v>6</v>
      </c>
      <c r="F1030">
        <v>25.909153738137402</v>
      </c>
      <c r="G1030">
        <v>4.2997655821670797</v>
      </c>
      <c r="H1030" t="s">
        <v>92</v>
      </c>
      <c r="I1030" t="s">
        <v>266</v>
      </c>
      <c r="J1030" t="s">
        <v>267</v>
      </c>
      <c r="K1030" t="s">
        <v>1434</v>
      </c>
      <c r="L1030">
        <v>278</v>
      </c>
      <c r="M1030" t="s">
        <v>1453</v>
      </c>
      <c r="N1030">
        <v>280</v>
      </c>
      <c r="O1030" t="s">
        <v>1526</v>
      </c>
      <c r="P1030" s="1" t="s">
        <v>715</v>
      </c>
      <c r="Q1030" s="25">
        <v>35.835306000000003</v>
      </c>
      <c r="R1030" s="25">
        <v>-112.510446</v>
      </c>
      <c r="S1030">
        <v>11.5611</v>
      </c>
      <c r="T1030">
        <v>-40.272500000000001</v>
      </c>
      <c r="U1030">
        <v>11.5611</v>
      </c>
      <c r="V1030" t="s">
        <v>1536</v>
      </c>
      <c r="W1030" t="s">
        <v>14</v>
      </c>
      <c r="X1030" t="s">
        <v>18</v>
      </c>
      <c r="Y1030" s="1" t="s">
        <v>1357</v>
      </c>
    </row>
    <row r="1031" spans="1:25" x14ac:dyDescent="0.25">
      <c r="A1031" s="4">
        <v>1802</v>
      </c>
      <c r="B1031" s="9" t="s">
        <v>1362</v>
      </c>
      <c r="C1031" s="8" t="s">
        <v>1352</v>
      </c>
      <c r="D1031" s="6" t="s">
        <v>308</v>
      </c>
      <c r="E1031" s="10">
        <v>6</v>
      </c>
      <c r="F1031">
        <v>36.265648551526702</v>
      </c>
      <c r="G1031">
        <v>4.4130940417470503</v>
      </c>
      <c r="H1031" t="s">
        <v>92</v>
      </c>
      <c r="I1031" t="s">
        <v>266</v>
      </c>
      <c r="J1031" t="s">
        <v>267</v>
      </c>
      <c r="K1031" t="s">
        <v>1434</v>
      </c>
      <c r="L1031">
        <v>278</v>
      </c>
      <c r="M1031" t="s">
        <v>1453</v>
      </c>
      <c r="N1031">
        <v>280</v>
      </c>
      <c r="O1031" t="s">
        <v>1526</v>
      </c>
      <c r="P1031" s="1" t="s">
        <v>715</v>
      </c>
      <c r="Q1031" s="25">
        <v>35.835306000000003</v>
      </c>
      <c r="R1031" s="25">
        <v>-112.510446</v>
      </c>
      <c r="S1031">
        <v>11.5611</v>
      </c>
      <c r="T1031">
        <v>-40.272500000000001</v>
      </c>
      <c r="U1031">
        <v>11.5611</v>
      </c>
      <c r="V1031" t="s">
        <v>1536</v>
      </c>
      <c r="W1031" t="s">
        <v>14</v>
      </c>
      <c r="X1031" t="s">
        <v>18</v>
      </c>
      <c r="Y1031" s="1" t="s">
        <v>1357</v>
      </c>
    </row>
    <row r="1032" spans="1:25" x14ac:dyDescent="0.25">
      <c r="A1032" s="4">
        <v>1803</v>
      </c>
      <c r="B1032" s="9" t="s">
        <v>1363</v>
      </c>
      <c r="C1032" s="8" t="s">
        <v>1352</v>
      </c>
      <c r="D1032" s="6" t="s">
        <v>308</v>
      </c>
      <c r="E1032" s="10">
        <v>6</v>
      </c>
      <c r="F1032">
        <v>26.6466765263832</v>
      </c>
      <c r="G1032">
        <v>9.6143968098817592</v>
      </c>
      <c r="H1032" t="s">
        <v>92</v>
      </c>
      <c r="I1032" t="s">
        <v>266</v>
      </c>
      <c r="J1032" t="s">
        <v>267</v>
      </c>
      <c r="K1032" t="s">
        <v>1434</v>
      </c>
      <c r="L1032">
        <v>278</v>
      </c>
      <c r="M1032" t="s">
        <v>1453</v>
      </c>
      <c r="N1032">
        <v>280</v>
      </c>
      <c r="O1032" t="s">
        <v>1526</v>
      </c>
      <c r="P1032" s="1" t="s">
        <v>715</v>
      </c>
      <c r="Q1032" s="25">
        <v>35.835306000000003</v>
      </c>
      <c r="R1032" s="25">
        <v>-112.510446</v>
      </c>
      <c r="S1032">
        <v>11.5611</v>
      </c>
      <c r="T1032">
        <v>-40.272500000000001</v>
      </c>
      <c r="U1032">
        <v>11.5611</v>
      </c>
      <c r="V1032" t="s">
        <v>1536</v>
      </c>
      <c r="W1032" t="s">
        <v>14</v>
      </c>
      <c r="X1032" t="s">
        <v>18</v>
      </c>
      <c r="Y1032" s="1" t="s">
        <v>1357</v>
      </c>
    </row>
    <row r="1033" spans="1:25" x14ac:dyDescent="0.25">
      <c r="A1033" s="4">
        <v>1804</v>
      </c>
      <c r="B1033" s="9" t="s">
        <v>1364</v>
      </c>
      <c r="C1033" s="8" t="s">
        <v>1352</v>
      </c>
      <c r="D1033" s="6" t="s">
        <v>308</v>
      </c>
      <c r="E1033" s="10">
        <v>6</v>
      </c>
      <c r="F1033">
        <v>22.567405170751201</v>
      </c>
      <c r="G1033">
        <v>7.6650551695057798</v>
      </c>
      <c r="H1033" t="s">
        <v>92</v>
      </c>
      <c r="I1033" t="s">
        <v>266</v>
      </c>
      <c r="J1033" t="s">
        <v>267</v>
      </c>
      <c r="K1033" t="s">
        <v>1434</v>
      </c>
      <c r="L1033">
        <v>278</v>
      </c>
      <c r="M1033" t="s">
        <v>1453</v>
      </c>
      <c r="N1033">
        <v>280</v>
      </c>
      <c r="O1033" t="s">
        <v>1526</v>
      </c>
      <c r="P1033" s="1" t="s">
        <v>715</v>
      </c>
      <c r="Q1033" s="25">
        <v>35.835306000000003</v>
      </c>
      <c r="R1033" s="25">
        <v>-112.510446</v>
      </c>
      <c r="S1033">
        <v>11.5611</v>
      </c>
      <c r="T1033">
        <v>-40.272500000000001</v>
      </c>
      <c r="U1033">
        <v>11.5611</v>
      </c>
      <c r="V1033" t="s">
        <v>1536</v>
      </c>
      <c r="W1033" t="s">
        <v>14</v>
      </c>
      <c r="X1033" t="s">
        <v>18</v>
      </c>
      <c r="Y1033" s="1" t="s">
        <v>1357</v>
      </c>
    </row>
    <row r="1034" spans="1:25" x14ac:dyDescent="0.25">
      <c r="A1034" s="4">
        <v>1805</v>
      </c>
      <c r="B1034" s="9" t="s">
        <v>1365</v>
      </c>
      <c r="C1034" s="8" t="s">
        <v>1349</v>
      </c>
      <c r="D1034" s="6" t="s">
        <v>308</v>
      </c>
      <c r="E1034" s="10">
        <v>6</v>
      </c>
      <c r="F1034">
        <v>31.346885316437199</v>
      </c>
      <c r="G1034">
        <v>7.0424659397936704</v>
      </c>
      <c r="H1034" t="s">
        <v>92</v>
      </c>
      <c r="I1034" t="s">
        <v>266</v>
      </c>
      <c r="J1034" t="s">
        <v>267</v>
      </c>
      <c r="K1034" t="s">
        <v>1434</v>
      </c>
      <c r="L1034">
        <v>278</v>
      </c>
      <c r="M1034" t="s">
        <v>1453</v>
      </c>
      <c r="N1034">
        <v>280</v>
      </c>
      <c r="O1034" t="s">
        <v>1526</v>
      </c>
      <c r="P1034" s="1" t="s">
        <v>715</v>
      </c>
      <c r="Q1034" s="25">
        <v>35.835306000000003</v>
      </c>
      <c r="R1034" s="25">
        <v>-112.510446</v>
      </c>
      <c r="S1034">
        <v>11.5611</v>
      </c>
      <c r="T1034">
        <v>-40.272500000000001</v>
      </c>
      <c r="U1034">
        <v>11.5611</v>
      </c>
      <c r="V1034" t="s">
        <v>1536</v>
      </c>
      <c r="W1034" t="s">
        <v>14</v>
      </c>
      <c r="X1034" t="s">
        <v>18</v>
      </c>
      <c r="Y1034" s="1" t="s">
        <v>1357</v>
      </c>
    </row>
    <row r="1035" spans="1:25" x14ac:dyDescent="0.25">
      <c r="A1035" s="4">
        <v>1806</v>
      </c>
      <c r="B1035" s="9" t="s">
        <v>1366</v>
      </c>
      <c r="C1035" s="8" t="s">
        <v>702</v>
      </c>
      <c r="D1035" s="6" t="s">
        <v>308</v>
      </c>
      <c r="E1035" s="10">
        <v>6</v>
      </c>
      <c r="F1035">
        <v>21.8981403295045</v>
      </c>
      <c r="G1035">
        <v>10.255765761787901</v>
      </c>
      <c r="H1035" t="s">
        <v>92</v>
      </c>
      <c r="I1035" t="s">
        <v>266</v>
      </c>
      <c r="J1035" t="s">
        <v>267</v>
      </c>
      <c r="K1035" t="s">
        <v>1434</v>
      </c>
      <c r="L1035">
        <v>278</v>
      </c>
      <c r="M1035" t="s">
        <v>1453</v>
      </c>
      <c r="N1035">
        <v>280</v>
      </c>
      <c r="O1035" t="s">
        <v>1526</v>
      </c>
      <c r="P1035" s="1" t="s">
        <v>715</v>
      </c>
      <c r="Q1035" s="25">
        <v>35.835306000000003</v>
      </c>
      <c r="R1035" s="25">
        <v>-112.510446</v>
      </c>
      <c r="S1035">
        <v>11.5611</v>
      </c>
      <c r="T1035">
        <v>-40.272500000000001</v>
      </c>
      <c r="U1035">
        <v>11.5611</v>
      </c>
      <c r="V1035" t="s">
        <v>1536</v>
      </c>
      <c r="W1035" t="s">
        <v>14</v>
      </c>
      <c r="X1035" t="s">
        <v>18</v>
      </c>
      <c r="Y1035" s="1" t="s">
        <v>1357</v>
      </c>
    </row>
    <row r="1036" spans="1:25" x14ac:dyDescent="0.25">
      <c r="A1036" s="4">
        <v>1807</v>
      </c>
      <c r="B1036" s="9" t="s">
        <v>263</v>
      </c>
      <c r="C1036" s="8" t="s">
        <v>242</v>
      </c>
      <c r="D1036" s="6" t="s">
        <v>73</v>
      </c>
      <c r="E1036" s="10">
        <v>6</v>
      </c>
      <c r="F1036">
        <v>16.678917554959401</v>
      </c>
      <c r="G1036">
        <v>9.2742421997574507</v>
      </c>
      <c r="H1036" t="s">
        <v>236</v>
      </c>
      <c r="I1036" t="s">
        <v>266</v>
      </c>
      <c r="J1036" t="s">
        <v>267</v>
      </c>
      <c r="L1036">
        <v>286</v>
      </c>
      <c r="M1036" t="s">
        <v>1453</v>
      </c>
      <c r="N1036">
        <v>280</v>
      </c>
      <c r="O1036" s="1" t="s">
        <v>235</v>
      </c>
      <c r="P1036" s="1" t="s">
        <v>1443</v>
      </c>
      <c r="Q1036" s="25">
        <v>-33.191667000000002</v>
      </c>
      <c r="R1036" s="25">
        <v>20.833333</v>
      </c>
      <c r="S1036">
        <v>-58.739899999999999</v>
      </c>
      <c r="T1036">
        <v>-45.114899999999999</v>
      </c>
      <c r="U1036">
        <v>58.739899999999999</v>
      </c>
      <c r="V1036" s="25" t="s">
        <v>1539</v>
      </c>
      <c r="W1036" t="s">
        <v>13</v>
      </c>
      <c r="X1036" t="s">
        <v>16</v>
      </c>
      <c r="Y1036" s="1" t="s">
        <v>245</v>
      </c>
    </row>
    <row r="1037" spans="1:25" x14ac:dyDescent="0.25">
      <c r="A1037" s="4">
        <v>1809</v>
      </c>
      <c r="B1037" s="9" t="s">
        <v>264</v>
      </c>
      <c r="C1037" s="8" t="s">
        <v>265</v>
      </c>
      <c r="D1037" s="6" t="s">
        <v>73</v>
      </c>
      <c r="E1037" s="10">
        <v>6</v>
      </c>
      <c r="F1037">
        <v>16.6656650004056</v>
      </c>
      <c r="G1037">
        <v>6.78165342296818</v>
      </c>
      <c r="H1037" t="s">
        <v>236</v>
      </c>
      <c r="I1037" t="s">
        <v>266</v>
      </c>
      <c r="J1037" t="s">
        <v>267</v>
      </c>
      <c r="L1037">
        <v>286</v>
      </c>
      <c r="M1037" t="s">
        <v>1453</v>
      </c>
      <c r="N1037">
        <v>280</v>
      </c>
      <c r="O1037" s="1" t="s">
        <v>235</v>
      </c>
      <c r="P1037" s="1" t="s">
        <v>1443</v>
      </c>
      <c r="Q1037" s="25">
        <v>-33.191667000000002</v>
      </c>
      <c r="R1037" s="25">
        <v>20.833333</v>
      </c>
      <c r="S1037">
        <v>-58.739899999999999</v>
      </c>
      <c r="T1037">
        <v>-45.114899999999999</v>
      </c>
      <c r="U1037">
        <v>58.739899999999999</v>
      </c>
      <c r="V1037" s="25" t="s">
        <v>1539</v>
      </c>
      <c r="W1037" t="s">
        <v>13</v>
      </c>
      <c r="X1037" t="s">
        <v>16</v>
      </c>
      <c r="Y1037" s="1" t="s">
        <v>245</v>
      </c>
    </row>
    <row r="1038" spans="1:25" x14ac:dyDescent="0.25">
      <c r="A1038" s="4">
        <v>1810</v>
      </c>
      <c r="B1038" s="9" t="s">
        <v>438</v>
      </c>
      <c r="C1038" s="8" t="s">
        <v>440</v>
      </c>
      <c r="D1038" s="6" t="s">
        <v>130</v>
      </c>
      <c r="E1038" s="10">
        <v>6</v>
      </c>
      <c r="F1038">
        <v>69.897268159202596</v>
      </c>
      <c r="G1038">
        <v>30.149203443418699</v>
      </c>
      <c r="H1038" t="s">
        <v>236</v>
      </c>
      <c r="I1038" t="s">
        <v>266</v>
      </c>
      <c r="J1038" t="s">
        <v>267</v>
      </c>
      <c r="L1038">
        <v>286</v>
      </c>
      <c r="M1038" t="s">
        <v>1453</v>
      </c>
      <c r="N1038">
        <v>280</v>
      </c>
      <c r="O1038" s="1" t="s">
        <v>235</v>
      </c>
      <c r="P1038" s="1" t="s">
        <v>1443</v>
      </c>
      <c r="Q1038" s="25">
        <v>-33.191667000000002</v>
      </c>
      <c r="R1038" s="25">
        <v>20.833333</v>
      </c>
      <c r="S1038">
        <v>-58.739899999999999</v>
      </c>
      <c r="T1038">
        <v>-45.114899999999999</v>
      </c>
      <c r="U1038">
        <v>58.739899999999999</v>
      </c>
      <c r="V1038" s="25" t="s">
        <v>1539</v>
      </c>
      <c r="W1038" t="s">
        <v>13</v>
      </c>
      <c r="X1038" t="s">
        <v>16</v>
      </c>
      <c r="Y1038" s="1" t="s">
        <v>437</v>
      </c>
    </row>
    <row r="1039" spans="1:25" x14ac:dyDescent="0.25">
      <c r="A1039" s="4">
        <v>1813</v>
      </c>
      <c r="B1039" s="9" t="s">
        <v>1631</v>
      </c>
      <c r="C1039" s="8" t="s">
        <v>304</v>
      </c>
      <c r="D1039" s="6" t="s">
        <v>534</v>
      </c>
      <c r="E1039" s="10">
        <v>6</v>
      </c>
      <c r="F1039">
        <v>20.735916329955799</v>
      </c>
      <c r="G1039">
        <v>8.6392871503899098</v>
      </c>
      <c r="H1039" t="s">
        <v>92</v>
      </c>
      <c r="I1039" t="s">
        <v>266</v>
      </c>
      <c r="J1039" t="s">
        <v>267</v>
      </c>
      <c r="K1039" t="s">
        <v>1452</v>
      </c>
      <c r="L1039">
        <v>294</v>
      </c>
      <c r="M1039" t="s">
        <v>1798</v>
      </c>
      <c r="N1039">
        <v>300</v>
      </c>
      <c r="O1039" t="s">
        <v>1530</v>
      </c>
      <c r="P1039" s="1" t="s">
        <v>528</v>
      </c>
      <c r="Q1039" s="25">
        <v>32.476754999999997</v>
      </c>
      <c r="R1039" s="25">
        <v>-106.797602</v>
      </c>
      <c r="S1039">
        <v>-1.7399</v>
      </c>
      <c r="T1039">
        <v>-38.448999999999998</v>
      </c>
      <c r="U1039">
        <v>1.7399</v>
      </c>
      <c r="V1039" t="s">
        <v>1538</v>
      </c>
      <c r="W1039" s="1" t="s">
        <v>13</v>
      </c>
      <c r="X1039" t="s">
        <v>17</v>
      </c>
      <c r="Y1039" s="1" t="s">
        <v>1630</v>
      </c>
    </row>
    <row r="1040" spans="1:25" x14ac:dyDescent="0.25">
      <c r="A1040" s="4">
        <v>1814</v>
      </c>
      <c r="B1040" s="9" t="s">
        <v>1632</v>
      </c>
      <c r="C1040" s="8" t="s">
        <v>304</v>
      </c>
      <c r="D1040" s="6" t="s">
        <v>534</v>
      </c>
      <c r="E1040" s="10">
        <v>6</v>
      </c>
      <c r="F1040" s="10">
        <v>28.479789684586699</v>
      </c>
      <c r="G1040" s="10">
        <v>6.0514215323699903</v>
      </c>
      <c r="H1040" t="s">
        <v>92</v>
      </c>
      <c r="I1040" t="s">
        <v>266</v>
      </c>
      <c r="J1040" t="s">
        <v>267</v>
      </c>
      <c r="K1040" t="s">
        <v>1452</v>
      </c>
      <c r="L1040">
        <v>294</v>
      </c>
      <c r="M1040" t="s">
        <v>1798</v>
      </c>
      <c r="N1040">
        <v>300</v>
      </c>
      <c r="O1040" t="s">
        <v>1530</v>
      </c>
      <c r="P1040" s="1" t="s">
        <v>528</v>
      </c>
      <c r="Q1040" s="25">
        <v>32.476754999999997</v>
      </c>
      <c r="R1040" s="25">
        <v>-106.797602</v>
      </c>
      <c r="S1040">
        <v>-1.7399</v>
      </c>
      <c r="T1040">
        <v>-38.448999999999998</v>
      </c>
      <c r="U1040">
        <v>1.7399</v>
      </c>
      <c r="V1040" t="s">
        <v>1538</v>
      </c>
      <c r="W1040" s="1" t="s">
        <v>13</v>
      </c>
      <c r="X1040" t="s">
        <v>17</v>
      </c>
      <c r="Y1040" s="1" t="s">
        <v>1630</v>
      </c>
    </row>
    <row r="1041" spans="1:25" x14ac:dyDescent="0.25">
      <c r="A1041" s="4">
        <v>1815</v>
      </c>
      <c r="B1041" s="9" t="s">
        <v>1633</v>
      </c>
      <c r="C1041" s="8" t="s">
        <v>304</v>
      </c>
      <c r="D1041" s="6" t="s">
        <v>534</v>
      </c>
      <c r="E1041" s="10">
        <v>6</v>
      </c>
      <c r="F1041">
        <v>25.961212877142199</v>
      </c>
      <c r="G1041">
        <v>12.3650128920927</v>
      </c>
      <c r="H1041" t="s">
        <v>92</v>
      </c>
      <c r="I1041" t="s">
        <v>266</v>
      </c>
      <c r="J1041" t="s">
        <v>267</v>
      </c>
      <c r="K1041" t="s">
        <v>1452</v>
      </c>
      <c r="L1041">
        <v>294</v>
      </c>
      <c r="M1041" t="s">
        <v>1798</v>
      </c>
      <c r="N1041">
        <v>300</v>
      </c>
      <c r="O1041" t="s">
        <v>1530</v>
      </c>
      <c r="P1041" s="1" t="s">
        <v>528</v>
      </c>
      <c r="Q1041" s="25">
        <v>32.476754999999997</v>
      </c>
      <c r="R1041" s="25">
        <v>-106.797602</v>
      </c>
      <c r="S1041">
        <v>-1.7399</v>
      </c>
      <c r="T1041">
        <v>-38.448999999999998</v>
      </c>
      <c r="U1041">
        <v>1.7399</v>
      </c>
      <c r="V1041" t="s">
        <v>1538</v>
      </c>
      <c r="W1041" s="1" t="s">
        <v>13</v>
      </c>
      <c r="X1041" t="s">
        <v>17</v>
      </c>
      <c r="Y1041" s="1" t="s">
        <v>1630</v>
      </c>
    </row>
    <row r="1042" spans="1:25" x14ac:dyDescent="0.25">
      <c r="A1042" s="4">
        <v>1816</v>
      </c>
      <c r="B1042" s="9" t="s">
        <v>1634</v>
      </c>
      <c r="C1042" s="8" t="s">
        <v>304</v>
      </c>
      <c r="D1042" s="6" t="s">
        <v>96</v>
      </c>
      <c r="E1042" s="10">
        <v>6</v>
      </c>
      <c r="F1042">
        <v>14.759753939486499</v>
      </c>
      <c r="G1042">
        <v>6.5794388357660596</v>
      </c>
      <c r="H1042" t="s">
        <v>92</v>
      </c>
      <c r="I1042" t="s">
        <v>266</v>
      </c>
      <c r="J1042" t="s">
        <v>267</v>
      </c>
      <c r="K1042" t="s">
        <v>1452</v>
      </c>
      <c r="L1042">
        <v>294</v>
      </c>
      <c r="M1042" t="s">
        <v>1798</v>
      </c>
      <c r="N1042">
        <v>300</v>
      </c>
      <c r="O1042" t="s">
        <v>1530</v>
      </c>
      <c r="P1042" s="1" t="s">
        <v>528</v>
      </c>
      <c r="Q1042" s="25">
        <v>32.476754999999997</v>
      </c>
      <c r="R1042" s="25">
        <v>-106.797602</v>
      </c>
      <c r="S1042">
        <v>-1.7399</v>
      </c>
      <c r="T1042">
        <v>-38.448999999999998</v>
      </c>
      <c r="U1042">
        <v>1.7399</v>
      </c>
      <c r="V1042" t="s">
        <v>1538</v>
      </c>
      <c r="W1042" s="1" t="s">
        <v>13</v>
      </c>
      <c r="X1042" t="s">
        <v>17</v>
      </c>
      <c r="Y1042" s="1" t="s">
        <v>1630</v>
      </c>
    </row>
    <row r="1043" spans="1:25" x14ac:dyDescent="0.25">
      <c r="A1043" s="4">
        <v>1817</v>
      </c>
      <c r="B1043" s="9" t="s">
        <v>1636</v>
      </c>
      <c r="C1043" s="8" t="s">
        <v>304</v>
      </c>
      <c r="D1043" s="6" t="s">
        <v>96</v>
      </c>
      <c r="E1043" s="10">
        <v>6</v>
      </c>
      <c r="F1043">
        <v>17.157022433246802</v>
      </c>
      <c r="G1043">
        <v>6.3093985372626298</v>
      </c>
      <c r="H1043" t="s">
        <v>92</v>
      </c>
      <c r="I1043" t="s">
        <v>266</v>
      </c>
      <c r="J1043" t="s">
        <v>267</v>
      </c>
      <c r="K1043" t="s">
        <v>1452</v>
      </c>
      <c r="L1043">
        <v>294</v>
      </c>
      <c r="M1043" t="s">
        <v>1798</v>
      </c>
      <c r="N1043">
        <v>300</v>
      </c>
      <c r="O1043" t="s">
        <v>1530</v>
      </c>
      <c r="P1043" s="1" t="s">
        <v>528</v>
      </c>
      <c r="Q1043" s="25">
        <v>32.476754999999997</v>
      </c>
      <c r="R1043" s="25">
        <v>-106.797602</v>
      </c>
      <c r="S1043">
        <v>-1.7399</v>
      </c>
      <c r="T1043">
        <v>-38.448999999999998</v>
      </c>
      <c r="U1043">
        <v>1.7399</v>
      </c>
      <c r="V1043" t="s">
        <v>1538</v>
      </c>
      <c r="W1043" s="1" t="s">
        <v>13</v>
      </c>
      <c r="X1043" t="s">
        <v>17</v>
      </c>
      <c r="Y1043" s="1" t="s">
        <v>1630</v>
      </c>
    </row>
    <row r="1044" spans="1:25" x14ac:dyDescent="0.25">
      <c r="A1044" s="4">
        <v>1818</v>
      </c>
      <c r="B1044" s="9" t="s">
        <v>1635</v>
      </c>
      <c r="C1044" s="8" t="s">
        <v>304</v>
      </c>
      <c r="D1044" s="6" t="s">
        <v>96</v>
      </c>
      <c r="E1044" s="10">
        <v>6</v>
      </c>
      <c r="F1044">
        <v>13.7338743023242</v>
      </c>
      <c r="G1044">
        <v>5.6420182896517304</v>
      </c>
      <c r="H1044" t="s">
        <v>92</v>
      </c>
      <c r="I1044" t="s">
        <v>266</v>
      </c>
      <c r="J1044" t="s">
        <v>267</v>
      </c>
      <c r="K1044" t="s">
        <v>1452</v>
      </c>
      <c r="L1044">
        <v>294</v>
      </c>
      <c r="M1044" t="s">
        <v>1798</v>
      </c>
      <c r="N1044">
        <v>300</v>
      </c>
      <c r="O1044" t="s">
        <v>1530</v>
      </c>
      <c r="P1044" s="1" t="s">
        <v>528</v>
      </c>
      <c r="Q1044" s="25">
        <v>32.476754999999997</v>
      </c>
      <c r="R1044" s="25">
        <v>-106.797602</v>
      </c>
      <c r="S1044">
        <v>-1.7399</v>
      </c>
      <c r="T1044">
        <v>-38.448999999999998</v>
      </c>
      <c r="U1044">
        <v>1.7399</v>
      </c>
      <c r="V1044" t="s">
        <v>1538</v>
      </c>
      <c r="W1044" s="1" t="s">
        <v>13</v>
      </c>
      <c r="X1044" t="s">
        <v>17</v>
      </c>
      <c r="Y1044" s="1" t="s">
        <v>1630</v>
      </c>
    </row>
    <row r="1045" spans="1:25" x14ac:dyDescent="0.25">
      <c r="A1045" s="4">
        <v>1819</v>
      </c>
      <c r="B1045" s="9" t="s">
        <v>1637</v>
      </c>
      <c r="C1045" s="8" t="s">
        <v>304</v>
      </c>
      <c r="D1045" s="6" t="s">
        <v>96</v>
      </c>
      <c r="E1045" s="10">
        <v>6</v>
      </c>
      <c r="F1045">
        <v>7.21400009405881</v>
      </c>
      <c r="G1045">
        <v>3.77525615381647</v>
      </c>
      <c r="H1045" t="s">
        <v>92</v>
      </c>
      <c r="I1045" t="s">
        <v>266</v>
      </c>
      <c r="J1045" t="s">
        <v>267</v>
      </c>
      <c r="K1045" t="s">
        <v>1452</v>
      </c>
      <c r="L1045">
        <v>294</v>
      </c>
      <c r="M1045" t="s">
        <v>1798</v>
      </c>
      <c r="N1045">
        <v>300</v>
      </c>
      <c r="O1045" t="s">
        <v>1530</v>
      </c>
      <c r="P1045" s="1" t="s">
        <v>528</v>
      </c>
      <c r="Q1045" s="25">
        <v>32.476754999999997</v>
      </c>
      <c r="R1045" s="25">
        <v>-106.797602</v>
      </c>
      <c r="S1045">
        <v>-1.7399</v>
      </c>
      <c r="T1045">
        <v>-38.448999999999998</v>
      </c>
      <c r="U1045">
        <v>1.7399</v>
      </c>
      <c r="V1045" t="s">
        <v>1538</v>
      </c>
      <c r="W1045" s="1" t="s">
        <v>13</v>
      </c>
      <c r="X1045" t="s">
        <v>17</v>
      </c>
      <c r="Y1045" s="1" t="s">
        <v>1630</v>
      </c>
    </row>
    <row r="1046" spans="1:25" x14ac:dyDescent="0.25">
      <c r="A1046" s="4">
        <v>1820</v>
      </c>
      <c r="B1046" s="9" t="s">
        <v>1638</v>
      </c>
      <c r="C1046" s="8" t="s">
        <v>304</v>
      </c>
      <c r="D1046" s="6" t="s">
        <v>28</v>
      </c>
      <c r="E1046" s="10">
        <v>6</v>
      </c>
      <c r="F1046">
        <v>16.304749173724201</v>
      </c>
      <c r="G1046">
        <v>4.8834584540659796</v>
      </c>
      <c r="H1046" t="s">
        <v>92</v>
      </c>
      <c r="I1046" t="s">
        <v>266</v>
      </c>
      <c r="J1046" t="s">
        <v>267</v>
      </c>
      <c r="K1046" t="s">
        <v>1452</v>
      </c>
      <c r="L1046">
        <v>294</v>
      </c>
      <c r="M1046" t="s">
        <v>1798</v>
      </c>
      <c r="N1046">
        <v>300</v>
      </c>
      <c r="O1046" t="s">
        <v>1530</v>
      </c>
      <c r="P1046" s="1" t="s">
        <v>528</v>
      </c>
      <c r="Q1046" s="25">
        <v>32.476754999999997</v>
      </c>
      <c r="R1046" s="25">
        <v>-106.797602</v>
      </c>
      <c r="S1046">
        <v>-1.7399</v>
      </c>
      <c r="T1046">
        <v>-38.448999999999998</v>
      </c>
      <c r="U1046">
        <v>1.7399</v>
      </c>
      <c r="V1046" t="s">
        <v>1538</v>
      </c>
      <c r="W1046" s="1" t="s">
        <v>13</v>
      </c>
      <c r="X1046" t="s">
        <v>17</v>
      </c>
      <c r="Y1046" s="1" t="s">
        <v>1630</v>
      </c>
    </row>
    <row r="1047" spans="1:25" x14ac:dyDescent="0.25">
      <c r="A1047" s="4">
        <v>1821</v>
      </c>
      <c r="B1047" s="9" t="s">
        <v>1639</v>
      </c>
      <c r="C1047" s="8" t="s">
        <v>304</v>
      </c>
      <c r="D1047" s="6" t="s">
        <v>534</v>
      </c>
      <c r="E1047" s="10">
        <v>6</v>
      </c>
      <c r="F1047">
        <v>15.4578552595707</v>
      </c>
      <c r="G1047">
        <v>4.8059763909219804</v>
      </c>
      <c r="H1047" t="s">
        <v>92</v>
      </c>
      <c r="I1047" t="s">
        <v>266</v>
      </c>
      <c r="J1047" t="s">
        <v>267</v>
      </c>
      <c r="K1047" t="s">
        <v>1452</v>
      </c>
      <c r="L1047">
        <v>294</v>
      </c>
      <c r="M1047" t="s">
        <v>1798</v>
      </c>
      <c r="N1047">
        <v>300</v>
      </c>
      <c r="O1047" t="s">
        <v>1530</v>
      </c>
      <c r="P1047" s="1" t="s">
        <v>528</v>
      </c>
      <c r="Q1047" s="25">
        <v>32.476754999999997</v>
      </c>
      <c r="R1047" s="25">
        <v>-106.797602</v>
      </c>
      <c r="S1047">
        <v>-1.7399</v>
      </c>
      <c r="T1047">
        <v>-38.448999999999998</v>
      </c>
      <c r="U1047">
        <v>1.7399</v>
      </c>
      <c r="V1047" t="s">
        <v>1538</v>
      </c>
      <c r="W1047" s="1" t="s">
        <v>13</v>
      </c>
      <c r="X1047" t="s">
        <v>17</v>
      </c>
      <c r="Y1047" s="1" t="s">
        <v>1630</v>
      </c>
    </row>
    <row r="1048" spans="1:25" x14ac:dyDescent="0.25">
      <c r="A1048" s="4">
        <v>1822</v>
      </c>
      <c r="B1048" s="9" t="s">
        <v>1640</v>
      </c>
      <c r="C1048" s="8" t="s">
        <v>304</v>
      </c>
      <c r="D1048" s="6" t="s">
        <v>534</v>
      </c>
      <c r="E1048" s="10">
        <v>6</v>
      </c>
      <c r="F1048">
        <v>18.426270488059998</v>
      </c>
      <c r="G1048">
        <v>9.4263886565708805</v>
      </c>
      <c r="H1048" t="s">
        <v>92</v>
      </c>
      <c r="I1048" t="s">
        <v>266</v>
      </c>
      <c r="J1048" t="s">
        <v>267</v>
      </c>
      <c r="K1048" t="s">
        <v>1452</v>
      </c>
      <c r="L1048">
        <v>294</v>
      </c>
      <c r="M1048" t="s">
        <v>1798</v>
      </c>
      <c r="N1048">
        <v>300</v>
      </c>
      <c r="O1048" t="s">
        <v>1530</v>
      </c>
      <c r="P1048" s="1" t="s">
        <v>528</v>
      </c>
      <c r="Q1048" s="25">
        <v>32.476754999999997</v>
      </c>
      <c r="R1048" s="25">
        <v>-106.797602</v>
      </c>
      <c r="S1048">
        <v>-1.7399</v>
      </c>
      <c r="T1048">
        <v>-38.448999999999998</v>
      </c>
      <c r="U1048">
        <v>1.7399</v>
      </c>
      <c r="V1048" t="s">
        <v>1538</v>
      </c>
      <c r="W1048" s="1" t="s">
        <v>13</v>
      </c>
      <c r="X1048" t="s">
        <v>17</v>
      </c>
      <c r="Y1048" s="1" t="s">
        <v>1630</v>
      </c>
    </row>
    <row r="1049" spans="1:25" x14ac:dyDescent="0.25">
      <c r="A1049" s="4">
        <v>1823</v>
      </c>
      <c r="B1049" s="9" t="s">
        <v>1641</v>
      </c>
      <c r="C1049" s="8" t="s">
        <v>304</v>
      </c>
      <c r="D1049" s="6" t="s">
        <v>96</v>
      </c>
      <c r="E1049" s="10">
        <v>6</v>
      </c>
      <c r="F1049">
        <v>44.904747507422897</v>
      </c>
      <c r="G1049">
        <v>18.9654636003186</v>
      </c>
      <c r="H1049" t="s">
        <v>92</v>
      </c>
      <c r="I1049" t="s">
        <v>266</v>
      </c>
      <c r="J1049" t="s">
        <v>267</v>
      </c>
      <c r="K1049" t="s">
        <v>1452</v>
      </c>
      <c r="L1049">
        <v>294</v>
      </c>
      <c r="M1049" t="s">
        <v>1798</v>
      </c>
      <c r="N1049">
        <v>300</v>
      </c>
      <c r="O1049" t="s">
        <v>1530</v>
      </c>
      <c r="P1049" s="1" t="s">
        <v>528</v>
      </c>
      <c r="Q1049" s="25">
        <v>32.476754999999997</v>
      </c>
      <c r="R1049" s="25">
        <v>-106.797602</v>
      </c>
      <c r="S1049">
        <v>-1.7399</v>
      </c>
      <c r="T1049">
        <v>-38.448999999999998</v>
      </c>
      <c r="U1049">
        <v>1.7399</v>
      </c>
      <c r="V1049" t="s">
        <v>1538</v>
      </c>
      <c r="W1049" s="1" t="s">
        <v>13</v>
      </c>
      <c r="X1049" t="s">
        <v>17</v>
      </c>
      <c r="Y1049" s="1" t="s">
        <v>1630</v>
      </c>
    </row>
    <row r="1050" spans="1:25" x14ac:dyDescent="0.25">
      <c r="A1050" s="4">
        <v>1824</v>
      </c>
      <c r="B1050" s="9" t="s">
        <v>1642</v>
      </c>
      <c r="C1050" s="8" t="s">
        <v>304</v>
      </c>
      <c r="D1050" s="6" t="s">
        <v>137</v>
      </c>
      <c r="E1050" s="10">
        <v>6</v>
      </c>
      <c r="F1050">
        <v>7.7577526578549101</v>
      </c>
      <c r="G1050">
        <v>2.7289926985414299</v>
      </c>
      <c r="H1050" t="s">
        <v>92</v>
      </c>
      <c r="I1050" t="s">
        <v>266</v>
      </c>
      <c r="J1050" t="s">
        <v>267</v>
      </c>
      <c r="K1050" t="s">
        <v>1452</v>
      </c>
      <c r="L1050">
        <v>294</v>
      </c>
      <c r="M1050" t="s">
        <v>1798</v>
      </c>
      <c r="N1050">
        <v>300</v>
      </c>
      <c r="O1050" t="s">
        <v>1530</v>
      </c>
      <c r="P1050" s="1" t="s">
        <v>528</v>
      </c>
      <c r="Q1050" s="25">
        <v>32.476754999999997</v>
      </c>
      <c r="R1050" s="25">
        <v>-106.797602</v>
      </c>
      <c r="S1050">
        <v>-1.7399</v>
      </c>
      <c r="T1050">
        <v>-38.448999999999998</v>
      </c>
      <c r="U1050">
        <v>1.7399</v>
      </c>
      <c r="V1050" t="s">
        <v>1538</v>
      </c>
      <c r="W1050" s="1" t="s">
        <v>13</v>
      </c>
      <c r="X1050" t="s">
        <v>17</v>
      </c>
      <c r="Y1050" s="1" t="s">
        <v>1630</v>
      </c>
    </row>
    <row r="1051" spans="1:25" x14ac:dyDescent="0.25">
      <c r="A1051" s="4">
        <v>1825</v>
      </c>
      <c r="B1051" s="9" t="s">
        <v>1643</v>
      </c>
      <c r="C1051" s="8" t="s">
        <v>304</v>
      </c>
      <c r="D1051" s="6" t="s">
        <v>137</v>
      </c>
      <c r="E1051" s="10">
        <v>6</v>
      </c>
      <c r="F1051">
        <v>12.6081874395448</v>
      </c>
      <c r="G1051">
        <v>7.0031075975401702</v>
      </c>
      <c r="H1051" t="s">
        <v>92</v>
      </c>
      <c r="I1051" t="s">
        <v>266</v>
      </c>
      <c r="J1051" t="s">
        <v>267</v>
      </c>
      <c r="K1051" t="s">
        <v>1452</v>
      </c>
      <c r="L1051">
        <v>294</v>
      </c>
      <c r="M1051" t="s">
        <v>1798</v>
      </c>
      <c r="N1051">
        <v>300</v>
      </c>
      <c r="O1051" t="s">
        <v>1530</v>
      </c>
      <c r="P1051" s="1" t="s">
        <v>528</v>
      </c>
      <c r="Q1051" s="25">
        <v>32.476754999999997</v>
      </c>
      <c r="R1051" s="25">
        <v>-106.797602</v>
      </c>
      <c r="S1051">
        <v>-1.7399</v>
      </c>
      <c r="T1051">
        <v>-38.448999999999998</v>
      </c>
      <c r="U1051">
        <v>1.7399</v>
      </c>
      <c r="V1051" t="s">
        <v>1538</v>
      </c>
      <c r="W1051" s="1" t="s">
        <v>13</v>
      </c>
      <c r="X1051" t="s">
        <v>17</v>
      </c>
      <c r="Y1051" s="1" t="s">
        <v>1630</v>
      </c>
    </row>
    <row r="1052" spans="1:25" x14ac:dyDescent="0.25">
      <c r="A1052" s="4">
        <v>1826</v>
      </c>
      <c r="B1052" s="9" t="s">
        <v>1644</v>
      </c>
      <c r="C1052" s="8" t="s">
        <v>304</v>
      </c>
      <c r="D1052" s="6" t="s">
        <v>137</v>
      </c>
      <c r="E1052" s="10">
        <v>6</v>
      </c>
      <c r="F1052">
        <v>12.8504274267644</v>
      </c>
      <c r="G1052">
        <v>6.2674243899483004</v>
      </c>
      <c r="H1052" t="s">
        <v>92</v>
      </c>
      <c r="I1052" t="s">
        <v>266</v>
      </c>
      <c r="J1052" t="s">
        <v>267</v>
      </c>
      <c r="K1052" t="s">
        <v>1452</v>
      </c>
      <c r="L1052">
        <v>294</v>
      </c>
      <c r="M1052" t="s">
        <v>1798</v>
      </c>
      <c r="N1052">
        <v>300</v>
      </c>
      <c r="O1052" t="s">
        <v>1530</v>
      </c>
      <c r="P1052" s="1" t="s">
        <v>528</v>
      </c>
      <c r="Q1052" s="25">
        <v>32.476754999999997</v>
      </c>
      <c r="R1052" s="25">
        <v>-106.797602</v>
      </c>
      <c r="S1052">
        <v>-1.7399</v>
      </c>
      <c r="T1052">
        <v>-38.448999999999998</v>
      </c>
      <c r="U1052">
        <v>1.7399</v>
      </c>
      <c r="V1052" t="s">
        <v>1538</v>
      </c>
      <c r="W1052" s="1" t="s">
        <v>13</v>
      </c>
      <c r="X1052" t="s">
        <v>17</v>
      </c>
      <c r="Y1052" s="1" t="s">
        <v>1630</v>
      </c>
    </row>
    <row r="1053" spans="1:25" x14ac:dyDescent="0.25">
      <c r="A1053" s="4">
        <v>1827</v>
      </c>
      <c r="B1053" s="9" t="s">
        <v>1645</v>
      </c>
      <c r="C1053" s="8" t="s">
        <v>304</v>
      </c>
      <c r="D1053" s="6" t="s">
        <v>137</v>
      </c>
      <c r="E1053" s="10">
        <v>6</v>
      </c>
      <c r="F1053">
        <v>13.2952422295084</v>
      </c>
      <c r="G1053">
        <v>6.2684745442838103</v>
      </c>
      <c r="H1053" t="s">
        <v>92</v>
      </c>
      <c r="I1053" t="s">
        <v>266</v>
      </c>
      <c r="J1053" t="s">
        <v>267</v>
      </c>
      <c r="K1053" t="s">
        <v>1452</v>
      </c>
      <c r="L1053">
        <v>294</v>
      </c>
      <c r="M1053" t="s">
        <v>1798</v>
      </c>
      <c r="N1053">
        <v>300</v>
      </c>
      <c r="O1053" t="s">
        <v>1530</v>
      </c>
      <c r="P1053" s="1" t="s">
        <v>528</v>
      </c>
      <c r="Q1053" s="25">
        <v>32.476754999999997</v>
      </c>
      <c r="R1053" s="25">
        <v>-106.797602</v>
      </c>
      <c r="S1053">
        <v>-1.7399</v>
      </c>
      <c r="T1053">
        <v>-38.448999999999998</v>
      </c>
      <c r="U1053">
        <v>1.7399</v>
      </c>
      <c r="V1053" t="s">
        <v>1538</v>
      </c>
      <c r="W1053" s="1" t="s">
        <v>13</v>
      </c>
      <c r="X1053" t="s">
        <v>17</v>
      </c>
      <c r="Y1053" s="1" t="s">
        <v>1630</v>
      </c>
    </row>
    <row r="1054" spans="1:25" x14ac:dyDescent="0.25">
      <c r="A1054" s="4">
        <v>1828</v>
      </c>
      <c r="B1054" s="9" t="s">
        <v>1646</v>
      </c>
      <c r="C1054" s="8" t="s">
        <v>304</v>
      </c>
      <c r="D1054" s="6" t="s">
        <v>137</v>
      </c>
      <c r="E1054" s="10">
        <v>6</v>
      </c>
      <c r="F1054">
        <v>13.109315417051199</v>
      </c>
      <c r="G1054">
        <v>8.1073720133430403</v>
      </c>
      <c r="H1054" t="s">
        <v>92</v>
      </c>
      <c r="I1054" t="s">
        <v>266</v>
      </c>
      <c r="J1054" t="s">
        <v>267</v>
      </c>
      <c r="K1054" t="s">
        <v>1452</v>
      </c>
      <c r="L1054">
        <v>294</v>
      </c>
      <c r="M1054" t="s">
        <v>1798</v>
      </c>
      <c r="N1054">
        <v>300</v>
      </c>
      <c r="O1054" t="s">
        <v>1530</v>
      </c>
      <c r="P1054" s="1" t="s">
        <v>528</v>
      </c>
      <c r="Q1054" s="25">
        <v>32.476754999999997</v>
      </c>
      <c r="R1054" s="25">
        <v>-106.797602</v>
      </c>
      <c r="S1054">
        <v>-1.7399</v>
      </c>
      <c r="T1054">
        <v>-38.448999999999998</v>
      </c>
      <c r="U1054">
        <v>1.7399</v>
      </c>
      <c r="V1054" t="s">
        <v>1538</v>
      </c>
      <c r="W1054" s="1" t="s">
        <v>13</v>
      </c>
      <c r="X1054" t="s">
        <v>17</v>
      </c>
      <c r="Y1054" s="1" t="s">
        <v>1630</v>
      </c>
    </row>
    <row r="1055" spans="1:25" x14ac:dyDescent="0.25">
      <c r="A1055" s="4">
        <v>1829</v>
      </c>
      <c r="B1055" s="9" t="s">
        <v>1647</v>
      </c>
      <c r="C1055" s="8" t="s">
        <v>304</v>
      </c>
      <c r="D1055" s="6" t="s">
        <v>534</v>
      </c>
      <c r="E1055" s="10">
        <v>6</v>
      </c>
      <c r="F1055">
        <v>10.5205050013709</v>
      </c>
      <c r="G1055">
        <v>4.2451388755770196</v>
      </c>
      <c r="H1055" t="s">
        <v>92</v>
      </c>
      <c r="I1055" t="s">
        <v>266</v>
      </c>
      <c r="J1055" t="s">
        <v>267</v>
      </c>
      <c r="K1055" t="s">
        <v>1452</v>
      </c>
      <c r="L1055">
        <v>294</v>
      </c>
      <c r="M1055" t="s">
        <v>1798</v>
      </c>
      <c r="N1055">
        <v>300</v>
      </c>
      <c r="O1055" t="s">
        <v>1530</v>
      </c>
      <c r="P1055" s="1" t="s">
        <v>528</v>
      </c>
      <c r="Q1055" s="25">
        <v>32.476754999999997</v>
      </c>
      <c r="R1055" s="25">
        <v>-106.797602</v>
      </c>
      <c r="S1055">
        <v>-1.7399</v>
      </c>
      <c r="T1055">
        <v>-38.448999999999998</v>
      </c>
      <c r="U1055">
        <v>1.7399</v>
      </c>
      <c r="V1055" t="s">
        <v>1538</v>
      </c>
      <c r="W1055" s="1" t="s">
        <v>13</v>
      </c>
      <c r="X1055" t="s">
        <v>17</v>
      </c>
      <c r="Y1055" s="1" t="s">
        <v>1630</v>
      </c>
    </row>
    <row r="1056" spans="1:25" x14ac:dyDescent="0.25">
      <c r="A1056" s="4">
        <v>1830</v>
      </c>
      <c r="B1056" s="9" t="s">
        <v>1648</v>
      </c>
      <c r="C1056" s="8" t="s">
        <v>304</v>
      </c>
      <c r="D1056" s="6" t="s">
        <v>137</v>
      </c>
      <c r="E1056" s="10">
        <v>6</v>
      </c>
      <c r="F1056">
        <v>13.094561857260601</v>
      </c>
      <c r="G1056">
        <v>8.4916433911642706</v>
      </c>
      <c r="H1056" t="s">
        <v>92</v>
      </c>
      <c r="I1056" t="s">
        <v>266</v>
      </c>
      <c r="J1056" t="s">
        <v>267</v>
      </c>
      <c r="K1056" t="s">
        <v>1452</v>
      </c>
      <c r="L1056">
        <v>294</v>
      </c>
      <c r="M1056" t="s">
        <v>1798</v>
      </c>
      <c r="N1056">
        <v>300</v>
      </c>
      <c r="O1056" t="s">
        <v>1530</v>
      </c>
      <c r="P1056" s="1" t="s">
        <v>528</v>
      </c>
      <c r="Q1056" s="25">
        <v>32.476754999999997</v>
      </c>
      <c r="R1056" s="25">
        <v>-106.797602</v>
      </c>
      <c r="S1056">
        <v>-1.7399</v>
      </c>
      <c r="T1056">
        <v>-38.448999999999998</v>
      </c>
      <c r="U1056">
        <v>1.7399</v>
      </c>
      <c r="V1056" t="s">
        <v>1538</v>
      </c>
      <c r="W1056" s="1" t="s">
        <v>13</v>
      </c>
      <c r="X1056" t="s">
        <v>17</v>
      </c>
      <c r="Y1056" s="1" t="s">
        <v>1630</v>
      </c>
    </row>
    <row r="1057" spans="1:25" x14ac:dyDescent="0.25">
      <c r="A1057" s="4">
        <v>1831</v>
      </c>
      <c r="B1057" s="9" t="s">
        <v>541</v>
      </c>
      <c r="C1057" s="8" t="s">
        <v>304</v>
      </c>
      <c r="D1057" s="6" t="s">
        <v>137</v>
      </c>
      <c r="E1057" s="10">
        <v>6</v>
      </c>
      <c r="F1057">
        <v>11.2648786401503</v>
      </c>
      <c r="G1057">
        <v>5.0036011655545201</v>
      </c>
      <c r="H1057" t="s">
        <v>92</v>
      </c>
      <c r="I1057" t="s">
        <v>266</v>
      </c>
      <c r="J1057" t="s">
        <v>267</v>
      </c>
      <c r="K1057" t="s">
        <v>1452</v>
      </c>
      <c r="L1057">
        <v>294</v>
      </c>
      <c r="M1057" t="s">
        <v>1798</v>
      </c>
      <c r="N1057">
        <v>300</v>
      </c>
      <c r="O1057" t="s">
        <v>1530</v>
      </c>
      <c r="P1057" s="1" t="s">
        <v>528</v>
      </c>
      <c r="Q1057" s="25">
        <v>32.476754999999997</v>
      </c>
      <c r="R1057" s="25">
        <v>-106.797602</v>
      </c>
      <c r="S1057">
        <v>-1.7399</v>
      </c>
      <c r="T1057">
        <v>-38.448999999999998</v>
      </c>
      <c r="U1057">
        <v>1.7399</v>
      </c>
      <c r="V1057" t="s">
        <v>1538</v>
      </c>
      <c r="W1057" s="1" t="s">
        <v>13</v>
      </c>
      <c r="X1057" t="s">
        <v>17</v>
      </c>
      <c r="Y1057" s="1" t="s">
        <v>1630</v>
      </c>
    </row>
    <row r="1058" spans="1:25" x14ac:dyDescent="0.25">
      <c r="A1058" s="4">
        <v>1832</v>
      </c>
      <c r="B1058" s="9" t="s">
        <v>551</v>
      </c>
      <c r="C1058" s="8" t="s">
        <v>304</v>
      </c>
      <c r="D1058" s="6" t="s">
        <v>137</v>
      </c>
      <c r="E1058" s="10">
        <v>6</v>
      </c>
      <c r="F1058">
        <v>10.441317985311301</v>
      </c>
      <c r="G1058">
        <v>5.7642315036471796</v>
      </c>
      <c r="H1058" t="s">
        <v>92</v>
      </c>
      <c r="I1058" t="s">
        <v>266</v>
      </c>
      <c r="J1058" t="s">
        <v>267</v>
      </c>
      <c r="K1058" t="s">
        <v>1452</v>
      </c>
      <c r="L1058">
        <v>294</v>
      </c>
      <c r="M1058" t="s">
        <v>1798</v>
      </c>
      <c r="N1058">
        <v>300</v>
      </c>
      <c r="O1058" t="s">
        <v>1530</v>
      </c>
      <c r="P1058" s="1" t="s">
        <v>528</v>
      </c>
      <c r="Q1058" s="25">
        <v>32.476754999999997</v>
      </c>
      <c r="R1058" s="25">
        <v>-106.797602</v>
      </c>
      <c r="S1058">
        <v>-1.7399</v>
      </c>
      <c r="T1058">
        <v>-38.448999999999998</v>
      </c>
      <c r="U1058">
        <v>1.7399</v>
      </c>
      <c r="V1058" t="s">
        <v>1538</v>
      </c>
      <c r="W1058" s="1" t="s">
        <v>13</v>
      </c>
      <c r="X1058" t="s">
        <v>17</v>
      </c>
      <c r="Y1058" s="1" t="s">
        <v>1630</v>
      </c>
    </row>
    <row r="1059" spans="1:25" x14ac:dyDescent="0.25">
      <c r="A1059" s="4">
        <v>1833</v>
      </c>
      <c r="B1059" s="9" t="s">
        <v>1649</v>
      </c>
      <c r="C1059" s="8" t="s">
        <v>304</v>
      </c>
      <c r="D1059" s="6" t="s">
        <v>137</v>
      </c>
      <c r="E1059" s="10">
        <v>6</v>
      </c>
      <c r="F1059">
        <v>12.597108527323901</v>
      </c>
      <c r="G1059">
        <v>5.5160150858451598</v>
      </c>
      <c r="H1059" t="s">
        <v>92</v>
      </c>
      <c r="I1059" t="s">
        <v>266</v>
      </c>
      <c r="J1059" t="s">
        <v>267</v>
      </c>
      <c r="K1059" t="s">
        <v>1452</v>
      </c>
      <c r="L1059">
        <v>294</v>
      </c>
      <c r="M1059" t="s">
        <v>1798</v>
      </c>
      <c r="N1059">
        <v>300</v>
      </c>
      <c r="O1059" t="s">
        <v>1530</v>
      </c>
      <c r="P1059" s="1" t="s">
        <v>528</v>
      </c>
      <c r="Q1059" s="25">
        <v>32.476754999999997</v>
      </c>
      <c r="R1059" s="25">
        <v>-106.797602</v>
      </c>
      <c r="S1059">
        <v>-1.7399</v>
      </c>
      <c r="T1059">
        <v>-38.448999999999998</v>
      </c>
      <c r="U1059">
        <v>1.7399</v>
      </c>
      <c r="V1059" t="s">
        <v>1538</v>
      </c>
      <c r="W1059" s="1" t="s">
        <v>13</v>
      </c>
      <c r="X1059" t="s">
        <v>17</v>
      </c>
      <c r="Y1059" s="1" t="s">
        <v>1630</v>
      </c>
    </row>
    <row r="1060" spans="1:25" x14ac:dyDescent="0.25">
      <c r="A1060" s="4">
        <v>1834</v>
      </c>
      <c r="B1060" s="9" t="s">
        <v>1650</v>
      </c>
      <c r="C1060" s="8" t="s">
        <v>304</v>
      </c>
      <c r="D1060" s="6" t="s">
        <v>137</v>
      </c>
      <c r="E1060" s="10">
        <v>6</v>
      </c>
      <c r="F1060">
        <v>13.595287767327299</v>
      </c>
      <c r="G1060">
        <v>5.5455535479077502</v>
      </c>
      <c r="H1060" t="s">
        <v>92</v>
      </c>
      <c r="I1060" t="s">
        <v>266</v>
      </c>
      <c r="J1060" t="s">
        <v>267</v>
      </c>
      <c r="K1060" t="s">
        <v>1452</v>
      </c>
      <c r="L1060">
        <v>294</v>
      </c>
      <c r="M1060" t="s">
        <v>1798</v>
      </c>
      <c r="N1060">
        <v>300</v>
      </c>
      <c r="O1060" t="s">
        <v>1530</v>
      </c>
      <c r="P1060" s="1" t="s">
        <v>528</v>
      </c>
      <c r="Q1060" s="25">
        <v>32.476754999999997</v>
      </c>
      <c r="R1060" s="25">
        <v>-106.797602</v>
      </c>
      <c r="S1060">
        <v>-1.7399</v>
      </c>
      <c r="T1060">
        <v>-38.448999999999998</v>
      </c>
      <c r="U1060">
        <v>1.7399</v>
      </c>
      <c r="V1060" t="s">
        <v>1538</v>
      </c>
      <c r="W1060" s="1" t="s">
        <v>13</v>
      </c>
      <c r="X1060" t="s">
        <v>17</v>
      </c>
      <c r="Y1060" s="1" t="s">
        <v>1630</v>
      </c>
    </row>
    <row r="1061" spans="1:25" x14ac:dyDescent="0.25">
      <c r="A1061" s="4">
        <v>1835</v>
      </c>
      <c r="B1061" s="9" t="s">
        <v>1651</v>
      </c>
      <c r="C1061" s="8" t="s">
        <v>304</v>
      </c>
      <c r="D1061" s="6" t="s">
        <v>534</v>
      </c>
      <c r="E1061" s="10">
        <v>6</v>
      </c>
      <c r="F1061">
        <v>20.790464052819399</v>
      </c>
      <c r="G1061">
        <v>11.2321308514781</v>
      </c>
      <c r="H1061" t="s">
        <v>92</v>
      </c>
      <c r="I1061" t="s">
        <v>266</v>
      </c>
      <c r="J1061" t="s">
        <v>267</v>
      </c>
      <c r="K1061" t="s">
        <v>1452</v>
      </c>
      <c r="L1061">
        <v>294</v>
      </c>
      <c r="M1061" t="s">
        <v>1798</v>
      </c>
      <c r="N1061">
        <v>300</v>
      </c>
      <c r="O1061" t="s">
        <v>1530</v>
      </c>
      <c r="P1061" s="1" t="s">
        <v>528</v>
      </c>
      <c r="Q1061" s="25">
        <v>32.476754999999997</v>
      </c>
      <c r="R1061" s="25">
        <v>-106.797602</v>
      </c>
      <c r="S1061">
        <v>-1.7399</v>
      </c>
      <c r="T1061">
        <v>-38.448999999999998</v>
      </c>
      <c r="U1061">
        <v>1.7399</v>
      </c>
      <c r="V1061" t="s">
        <v>1538</v>
      </c>
      <c r="W1061" s="1" t="s">
        <v>13</v>
      </c>
      <c r="X1061" t="s">
        <v>17</v>
      </c>
      <c r="Y1061" s="1" t="s">
        <v>1630</v>
      </c>
    </row>
    <row r="1062" spans="1:25" x14ac:dyDescent="0.25">
      <c r="A1062" s="4">
        <v>1836</v>
      </c>
      <c r="B1062" s="9" t="s">
        <v>1652</v>
      </c>
      <c r="C1062" s="8" t="s">
        <v>304</v>
      </c>
      <c r="D1062" s="6" t="s">
        <v>96</v>
      </c>
      <c r="E1062" s="10">
        <v>6</v>
      </c>
      <c r="F1062">
        <v>12.289259908808001</v>
      </c>
      <c r="G1062">
        <v>5.07323950073628</v>
      </c>
      <c r="H1062" t="s">
        <v>92</v>
      </c>
      <c r="I1062" t="s">
        <v>266</v>
      </c>
      <c r="J1062" t="s">
        <v>267</v>
      </c>
      <c r="K1062" t="s">
        <v>1452</v>
      </c>
      <c r="L1062">
        <v>294</v>
      </c>
      <c r="M1062" t="s">
        <v>1798</v>
      </c>
      <c r="N1062">
        <v>300</v>
      </c>
      <c r="O1062" t="s">
        <v>1530</v>
      </c>
      <c r="P1062" s="1" t="s">
        <v>528</v>
      </c>
      <c r="Q1062" s="25">
        <v>32.476754999999997</v>
      </c>
      <c r="R1062" s="25">
        <v>-106.797602</v>
      </c>
      <c r="S1062">
        <v>-1.7399</v>
      </c>
      <c r="T1062">
        <v>-38.448999999999998</v>
      </c>
      <c r="U1062">
        <v>1.7399</v>
      </c>
      <c r="V1062" t="s">
        <v>1538</v>
      </c>
      <c r="W1062" s="1" t="s">
        <v>13</v>
      </c>
      <c r="X1062" t="s">
        <v>17</v>
      </c>
      <c r="Y1062" s="1" t="s">
        <v>1630</v>
      </c>
    </row>
    <row r="1063" spans="1:25" x14ac:dyDescent="0.25">
      <c r="A1063" s="4">
        <v>1837</v>
      </c>
      <c r="B1063" s="9" t="s">
        <v>1653</v>
      </c>
      <c r="C1063" s="8" t="s">
        <v>304</v>
      </c>
      <c r="D1063" s="6" t="s">
        <v>137</v>
      </c>
      <c r="E1063" s="10">
        <v>6</v>
      </c>
      <c r="F1063">
        <v>9.2246852964246102</v>
      </c>
      <c r="G1063">
        <v>3.8706679276309699</v>
      </c>
      <c r="H1063" t="s">
        <v>92</v>
      </c>
      <c r="I1063" t="s">
        <v>266</v>
      </c>
      <c r="J1063" t="s">
        <v>267</v>
      </c>
      <c r="K1063" t="s">
        <v>1452</v>
      </c>
      <c r="L1063">
        <v>294</v>
      </c>
      <c r="M1063" t="s">
        <v>1798</v>
      </c>
      <c r="N1063">
        <v>300</v>
      </c>
      <c r="O1063" t="s">
        <v>1530</v>
      </c>
      <c r="P1063" s="1" t="s">
        <v>528</v>
      </c>
      <c r="Q1063" s="25">
        <v>32.476754999999997</v>
      </c>
      <c r="R1063" s="25">
        <v>-106.797602</v>
      </c>
      <c r="S1063">
        <v>-1.7399</v>
      </c>
      <c r="T1063">
        <v>-38.448999999999998</v>
      </c>
      <c r="U1063">
        <v>1.7399</v>
      </c>
      <c r="V1063" t="s">
        <v>1538</v>
      </c>
      <c r="W1063" s="1" t="s">
        <v>13</v>
      </c>
      <c r="X1063" t="s">
        <v>17</v>
      </c>
      <c r="Y1063" s="1" t="s">
        <v>1630</v>
      </c>
    </row>
    <row r="1064" spans="1:25" x14ac:dyDescent="0.25">
      <c r="A1064" s="4">
        <v>1838</v>
      </c>
      <c r="B1064" s="9" t="s">
        <v>1654</v>
      </c>
      <c r="C1064" s="8" t="s">
        <v>304</v>
      </c>
      <c r="D1064" s="6" t="s">
        <v>434</v>
      </c>
      <c r="E1064" s="10">
        <v>6</v>
      </c>
      <c r="F1064">
        <v>14.948836027062599</v>
      </c>
      <c r="G1064">
        <v>3.0956748967947001</v>
      </c>
      <c r="H1064" t="s">
        <v>92</v>
      </c>
      <c r="I1064" t="s">
        <v>266</v>
      </c>
      <c r="J1064" t="s">
        <v>267</v>
      </c>
      <c r="K1064" t="s">
        <v>1452</v>
      </c>
      <c r="L1064">
        <v>294</v>
      </c>
      <c r="M1064" t="s">
        <v>1798</v>
      </c>
      <c r="N1064">
        <v>300</v>
      </c>
      <c r="O1064" t="s">
        <v>1530</v>
      </c>
      <c r="P1064" s="1" t="s">
        <v>528</v>
      </c>
      <c r="Q1064" s="25">
        <v>32.476754999999997</v>
      </c>
      <c r="R1064" s="25">
        <v>-106.797602</v>
      </c>
      <c r="S1064">
        <v>-1.7399</v>
      </c>
      <c r="T1064">
        <v>-38.448999999999998</v>
      </c>
      <c r="U1064">
        <v>1.7399</v>
      </c>
      <c r="V1064" t="s">
        <v>1538</v>
      </c>
      <c r="W1064" s="1" t="s">
        <v>13</v>
      </c>
      <c r="X1064" t="s">
        <v>17</v>
      </c>
      <c r="Y1064" s="1" t="s">
        <v>1630</v>
      </c>
    </row>
    <row r="1065" spans="1:25" x14ac:dyDescent="0.25">
      <c r="A1065" s="4">
        <v>1839</v>
      </c>
      <c r="B1065" s="9" t="s">
        <v>1655</v>
      </c>
      <c r="C1065" s="8" t="s">
        <v>304</v>
      </c>
      <c r="D1065" s="6" t="s">
        <v>534</v>
      </c>
      <c r="E1065" s="10">
        <v>6</v>
      </c>
      <c r="F1065">
        <v>16.378267297037102</v>
      </c>
      <c r="G1065">
        <v>5.7333788168097204</v>
      </c>
      <c r="H1065" t="s">
        <v>92</v>
      </c>
      <c r="I1065" t="s">
        <v>266</v>
      </c>
      <c r="J1065" t="s">
        <v>267</v>
      </c>
      <c r="K1065" t="s">
        <v>1452</v>
      </c>
      <c r="L1065">
        <v>294</v>
      </c>
      <c r="M1065" t="s">
        <v>1798</v>
      </c>
      <c r="N1065">
        <v>300</v>
      </c>
      <c r="O1065" t="s">
        <v>1530</v>
      </c>
      <c r="P1065" s="1" t="s">
        <v>528</v>
      </c>
      <c r="Q1065" s="25">
        <v>32.476754999999997</v>
      </c>
      <c r="R1065" s="25">
        <v>-106.797602</v>
      </c>
      <c r="S1065">
        <v>-1.7399</v>
      </c>
      <c r="T1065">
        <v>-38.448999999999998</v>
      </c>
      <c r="U1065">
        <v>1.7399</v>
      </c>
      <c r="V1065" t="s">
        <v>1538</v>
      </c>
      <c r="W1065" s="1" t="s">
        <v>13</v>
      </c>
      <c r="X1065" t="s">
        <v>17</v>
      </c>
      <c r="Y1065" s="1" t="s">
        <v>1630</v>
      </c>
    </row>
    <row r="1066" spans="1:25" x14ac:dyDescent="0.25">
      <c r="A1066" s="4">
        <v>1840</v>
      </c>
      <c r="B1066" s="9" t="s">
        <v>1656</v>
      </c>
      <c r="C1066" s="8" t="s">
        <v>304</v>
      </c>
      <c r="D1066" s="6" t="s">
        <v>137</v>
      </c>
      <c r="E1066" s="10">
        <v>6</v>
      </c>
      <c r="F1066">
        <v>9.2309904837895296</v>
      </c>
      <c r="G1066">
        <v>4.0236878531525599</v>
      </c>
      <c r="H1066" t="s">
        <v>92</v>
      </c>
      <c r="I1066" t="s">
        <v>266</v>
      </c>
      <c r="J1066" t="s">
        <v>267</v>
      </c>
      <c r="K1066" t="s">
        <v>1452</v>
      </c>
      <c r="L1066">
        <v>294</v>
      </c>
      <c r="M1066" t="s">
        <v>1798</v>
      </c>
      <c r="N1066">
        <v>300</v>
      </c>
      <c r="O1066" t="s">
        <v>1530</v>
      </c>
      <c r="P1066" s="1" t="s">
        <v>528</v>
      </c>
      <c r="Q1066" s="25">
        <v>32.476754999999997</v>
      </c>
      <c r="R1066" s="25">
        <v>-106.797602</v>
      </c>
      <c r="S1066">
        <v>-1.7399</v>
      </c>
      <c r="T1066">
        <v>-38.448999999999998</v>
      </c>
      <c r="U1066">
        <v>1.7399</v>
      </c>
      <c r="V1066" t="s">
        <v>1538</v>
      </c>
      <c r="W1066" s="1" t="s">
        <v>13</v>
      </c>
      <c r="X1066" t="s">
        <v>17</v>
      </c>
      <c r="Y1066" s="1" t="s">
        <v>1630</v>
      </c>
    </row>
    <row r="1067" spans="1:25" x14ac:dyDescent="0.25">
      <c r="A1067" s="4">
        <v>1841</v>
      </c>
      <c r="B1067" s="9" t="s">
        <v>1657</v>
      </c>
      <c r="C1067" s="8" t="s">
        <v>304</v>
      </c>
      <c r="D1067" s="6" t="s">
        <v>534</v>
      </c>
      <c r="E1067" s="10">
        <v>6</v>
      </c>
      <c r="F1067">
        <v>23.0229790020216</v>
      </c>
      <c r="G1067">
        <v>5.4227549032989399</v>
      </c>
      <c r="H1067" t="s">
        <v>92</v>
      </c>
      <c r="I1067" t="s">
        <v>266</v>
      </c>
      <c r="J1067" t="s">
        <v>267</v>
      </c>
      <c r="K1067" t="s">
        <v>1452</v>
      </c>
      <c r="L1067">
        <v>294</v>
      </c>
      <c r="M1067" t="s">
        <v>1798</v>
      </c>
      <c r="N1067">
        <v>300</v>
      </c>
      <c r="O1067" t="s">
        <v>1530</v>
      </c>
      <c r="P1067" s="1" t="s">
        <v>528</v>
      </c>
      <c r="Q1067" s="25">
        <v>32.476754999999997</v>
      </c>
      <c r="R1067" s="25">
        <v>-106.797602</v>
      </c>
      <c r="S1067">
        <v>-1.7399</v>
      </c>
      <c r="T1067">
        <v>-38.448999999999998</v>
      </c>
      <c r="U1067">
        <v>1.7399</v>
      </c>
      <c r="V1067" t="s">
        <v>1538</v>
      </c>
      <c r="W1067" s="1" t="s">
        <v>13</v>
      </c>
      <c r="X1067" t="s">
        <v>17</v>
      </c>
      <c r="Y1067" s="1" t="s">
        <v>1630</v>
      </c>
    </row>
    <row r="1068" spans="1:25" x14ac:dyDescent="0.25">
      <c r="A1068" s="4">
        <v>1842</v>
      </c>
      <c r="B1068" s="9" t="s">
        <v>1658</v>
      </c>
      <c r="C1068" s="8" t="s">
        <v>304</v>
      </c>
      <c r="D1068" s="6" t="s">
        <v>434</v>
      </c>
      <c r="E1068" s="10">
        <v>6</v>
      </c>
      <c r="F1068">
        <v>17.848962563688801</v>
      </c>
      <c r="G1068">
        <v>11.8993083757926</v>
      </c>
      <c r="H1068" t="s">
        <v>92</v>
      </c>
      <c r="I1068" t="s">
        <v>266</v>
      </c>
      <c r="J1068" t="s">
        <v>267</v>
      </c>
      <c r="K1068" t="s">
        <v>1452</v>
      </c>
      <c r="L1068">
        <v>294</v>
      </c>
      <c r="M1068" t="s">
        <v>1798</v>
      </c>
      <c r="N1068">
        <v>300</v>
      </c>
      <c r="O1068" t="s">
        <v>1530</v>
      </c>
      <c r="P1068" s="1" t="s">
        <v>528</v>
      </c>
      <c r="Q1068" s="25">
        <v>32.476754999999997</v>
      </c>
      <c r="R1068" s="25">
        <v>-106.797602</v>
      </c>
      <c r="S1068">
        <v>-1.7399</v>
      </c>
      <c r="T1068">
        <v>-38.448999999999998</v>
      </c>
      <c r="U1068">
        <v>1.7399</v>
      </c>
      <c r="V1068" t="s">
        <v>1538</v>
      </c>
      <c r="W1068" s="1" t="s">
        <v>13</v>
      </c>
      <c r="X1068" t="s">
        <v>17</v>
      </c>
      <c r="Y1068" s="1" t="s">
        <v>1630</v>
      </c>
    </row>
    <row r="1069" spans="1:25" x14ac:dyDescent="0.25">
      <c r="A1069" s="4">
        <v>1843</v>
      </c>
      <c r="B1069" s="9" t="s">
        <v>1659</v>
      </c>
      <c r="C1069" s="8" t="s">
        <v>304</v>
      </c>
      <c r="D1069" s="6" t="s">
        <v>137</v>
      </c>
      <c r="E1069" s="10">
        <v>6</v>
      </c>
      <c r="F1069">
        <v>15.694969403062</v>
      </c>
      <c r="G1069">
        <v>5.5284326112829998</v>
      </c>
      <c r="H1069" t="s">
        <v>92</v>
      </c>
      <c r="I1069" t="s">
        <v>266</v>
      </c>
      <c r="J1069" t="s">
        <v>267</v>
      </c>
      <c r="K1069" t="s">
        <v>1452</v>
      </c>
      <c r="L1069">
        <v>294</v>
      </c>
      <c r="M1069" t="s">
        <v>1798</v>
      </c>
      <c r="N1069">
        <v>300</v>
      </c>
      <c r="O1069" t="s">
        <v>1530</v>
      </c>
      <c r="P1069" s="1" t="s">
        <v>528</v>
      </c>
      <c r="Q1069" s="25">
        <v>32.476754999999997</v>
      </c>
      <c r="R1069" s="25">
        <v>-106.797602</v>
      </c>
      <c r="S1069">
        <v>-1.7399</v>
      </c>
      <c r="T1069">
        <v>-38.448999999999998</v>
      </c>
      <c r="U1069">
        <v>1.7399</v>
      </c>
      <c r="V1069" t="s">
        <v>1538</v>
      </c>
      <c r="W1069" s="1" t="s">
        <v>13</v>
      </c>
      <c r="X1069" t="s">
        <v>17</v>
      </c>
      <c r="Y1069" s="1" t="s">
        <v>1630</v>
      </c>
    </row>
    <row r="1070" spans="1:25" x14ac:dyDescent="0.25">
      <c r="A1070" s="4">
        <v>1844</v>
      </c>
      <c r="B1070" s="9" t="s">
        <v>1660</v>
      </c>
      <c r="C1070" s="8" t="s">
        <v>304</v>
      </c>
      <c r="D1070" s="6" t="s">
        <v>137</v>
      </c>
      <c r="E1070" s="10">
        <v>6</v>
      </c>
      <c r="F1070">
        <v>11.401841094070701</v>
      </c>
      <c r="G1070">
        <v>6.2827164775082496</v>
      </c>
      <c r="H1070" t="s">
        <v>92</v>
      </c>
      <c r="I1070" t="s">
        <v>266</v>
      </c>
      <c r="J1070" t="s">
        <v>267</v>
      </c>
      <c r="K1070" t="s">
        <v>1452</v>
      </c>
      <c r="L1070">
        <v>294</v>
      </c>
      <c r="M1070" t="s">
        <v>1798</v>
      </c>
      <c r="N1070">
        <v>300</v>
      </c>
      <c r="O1070" t="s">
        <v>1530</v>
      </c>
      <c r="P1070" s="1" t="s">
        <v>528</v>
      </c>
      <c r="Q1070" s="25">
        <v>32.476754999999997</v>
      </c>
      <c r="R1070" s="25">
        <v>-106.797602</v>
      </c>
      <c r="S1070">
        <v>-1.7399</v>
      </c>
      <c r="T1070">
        <v>-38.448999999999998</v>
      </c>
      <c r="U1070">
        <v>1.7399</v>
      </c>
      <c r="V1070" t="s">
        <v>1538</v>
      </c>
      <c r="W1070" s="1" t="s">
        <v>13</v>
      </c>
      <c r="X1070" t="s">
        <v>17</v>
      </c>
      <c r="Y1070" s="1" t="s">
        <v>1630</v>
      </c>
    </row>
    <row r="1071" spans="1:25" x14ac:dyDescent="0.25">
      <c r="A1071" s="4">
        <v>1845</v>
      </c>
      <c r="B1071" s="9" t="s">
        <v>1661</v>
      </c>
      <c r="C1071" s="8" t="s">
        <v>304</v>
      </c>
      <c r="D1071" s="6" t="s">
        <v>137</v>
      </c>
      <c r="E1071" s="10">
        <v>6</v>
      </c>
      <c r="F1071">
        <v>13.3904345942669</v>
      </c>
      <c r="G1071">
        <v>5.2627393602772496</v>
      </c>
      <c r="H1071" t="s">
        <v>92</v>
      </c>
      <c r="I1071" t="s">
        <v>266</v>
      </c>
      <c r="J1071" t="s">
        <v>267</v>
      </c>
      <c r="K1071" t="s">
        <v>1452</v>
      </c>
      <c r="L1071">
        <v>294</v>
      </c>
      <c r="M1071" t="s">
        <v>1798</v>
      </c>
      <c r="N1071">
        <v>300</v>
      </c>
      <c r="O1071" t="s">
        <v>1530</v>
      </c>
      <c r="P1071" s="1" t="s">
        <v>528</v>
      </c>
      <c r="Q1071" s="25">
        <v>32.476754999999997</v>
      </c>
      <c r="R1071" s="25">
        <v>-106.797602</v>
      </c>
      <c r="S1071">
        <v>-1.7399</v>
      </c>
      <c r="T1071">
        <v>-38.448999999999998</v>
      </c>
      <c r="U1071">
        <v>1.7399</v>
      </c>
      <c r="V1071" t="s">
        <v>1538</v>
      </c>
      <c r="W1071" s="1" t="s">
        <v>13</v>
      </c>
      <c r="X1071" t="s">
        <v>17</v>
      </c>
      <c r="Y1071" s="1" t="s">
        <v>1630</v>
      </c>
    </row>
    <row r="1072" spans="1:25" x14ac:dyDescent="0.25">
      <c r="A1072" s="4">
        <v>1846</v>
      </c>
      <c r="B1072" s="9" t="s">
        <v>1662</v>
      </c>
      <c r="C1072" s="8" t="s">
        <v>304</v>
      </c>
      <c r="D1072" s="6" t="s">
        <v>137</v>
      </c>
      <c r="E1072" s="10">
        <v>6</v>
      </c>
      <c r="F1072">
        <v>17.109335641185901</v>
      </c>
      <c r="G1072">
        <v>5.4763808494774899</v>
      </c>
      <c r="H1072" t="s">
        <v>92</v>
      </c>
      <c r="I1072" t="s">
        <v>266</v>
      </c>
      <c r="J1072" t="s">
        <v>267</v>
      </c>
      <c r="K1072" t="s">
        <v>1452</v>
      </c>
      <c r="L1072">
        <v>294</v>
      </c>
      <c r="M1072" t="s">
        <v>1798</v>
      </c>
      <c r="N1072">
        <v>300</v>
      </c>
      <c r="O1072" t="s">
        <v>1530</v>
      </c>
      <c r="P1072" s="1" t="s">
        <v>528</v>
      </c>
      <c r="Q1072" s="25">
        <v>32.476754999999997</v>
      </c>
      <c r="R1072" s="25">
        <v>-106.797602</v>
      </c>
      <c r="S1072">
        <v>-1.7399</v>
      </c>
      <c r="T1072">
        <v>-38.448999999999998</v>
      </c>
      <c r="U1072">
        <v>1.7399</v>
      </c>
      <c r="V1072" t="s">
        <v>1538</v>
      </c>
      <c r="W1072" s="1" t="s">
        <v>13</v>
      </c>
      <c r="X1072" t="s">
        <v>17</v>
      </c>
      <c r="Y1072" s="1" t="s">
        <v>1630</v>
      </c>
    </row>
    <row r="1073" spans="1:25" x14ac:dyDescent="0.25">
      <c r="A1073" s="4">
        <v>1847</v>
      </c>
      <c r="B1073" s="9" t="s">
        <v>1663</v>
      </c>
      <c r="C1073" s="8" t="s">
        <v>304</v>
      </c>
      <c r="D1073" s="6" t="s">
        <v>137</v>
      </c>
      <c r="E1073" s="10">
        <v>6</v>
      </c>
      <c r="F1073">
        <v>10.240987816544299</v>
      </c>
      <c r="G1073">
        <v>6.79387003442727</v>
      </c>
      <c r="H1073" t="s">
        <v>92</v>
      </c>
      <c r="I1073" t="s">
        <v>266</v>
      </c>
      <c r="J1073" t="s">
        <v>267</v>
      </c>
      <c r="K1073" t="s">
        <v>1452</v>
      </c>
      <c r="L1073">
        <v>294</v>
      </c>
      <c r="M1073" t="s">
        <v>1798</v>
      </c>
      <c r="N1073">
        <v>300</v>
      </c>
      <c r="O1073" t="s">
        <v>1530</v>
      </c>
      <c r="P1073" s="1" t="s">
        <v>528</v>
      </c>
      <c r="Q1073" s="25">
        <v>32.476754999999997</v>
      </c>
      <c r="R1073" s="25">
        <v>-106.797602</v>
      </c>
      <c r="S1073">
        <v>-1.7399</v>
      </c>
      <c r="T1073">
        <v>-38.448999999999998</v>
      </c>
      <c r="U1073">
        <v>1.7399</v>
      </c>
      <c r="V1073" t="s">
        <v>1538</v>
      </c>
      <c r="W1073" s="1" t="s">
        <v>13</v>
      </c>
      <c r="X1073" t="s">
        <v>17</v>
      </c>
      <c r="Y1073" s="1" t="s">
        <v>1630</v>
      </c>
    </row>
    <row r="1074" spans="1:25" x14ac:dyDescent="0.25">
      <c r="A1074" s="4">
        <v>1848</v>
      </c>
      <c r="B1074" s="9" t="s">
        <v>1664</v>
      </c>
      <c r="C1074" s="8" t="s">
        <v>304</v>
      </c>
      <c r="D1074" s="6" t="s">
        <v>137</v>
      </c>
      <c r="E1074" s="10">
        <v>6</v>
      </c>
      <c r="F1074">
        <v>7.2419934155433801</v>
      </c>
      <c r="G1074">
        <v>2.8732923451091601</v>
      </c>
      <c r="H1074" t="s">
        <v>92</v>
      </c>
      <c r="I1074" t="s">
        <v>266</v>
      </c>
      <c r="J1074" t="s">
        <v>267</v>
      </c>
      <c r="K1074" t="s">
        <v>1452</v>
      </c>
      <c r="L1074">
        <v>294</v>
      </c>
      <c r="M1074" t="s">
        <v>1798</v>
      </c>
      <c r="N1074">
        <v>300</v>
      </c>
      <c r="O1074" t="s">
        <v>1530</v>
      </c>
      <c r="P1074" s="1" t="s">
        <v>528</v>
      </c>
      <c r="Q1074" s="25">
        <v>32.476754999999997</v>
      </c>
      <c r="R1074" s="25">
        <v>-106.797602</v>
      </c>
      <c r="S1074">
        <v>-1.7399</v>
      </c>
      <c r="T1074">
        <v>-38.448999999999998</v>
      </c>
      <c r="U1074">
        <v>1.7399</v>
      </c>
      <c r="V1074" t="s">
        <v>1538</v>
      </c>
      <c r="W1074" s="1" t="s">
        <v>13</v>
      </c>
      <c r="X1074" t="s">
        <v>17</v>
      </c>
      <c r="Y1074" s="1" t="s">
        <v>1630</v>
      </c>
    </row>
    <row r="1075" spans="1:25" x14ac:dyDescent="0.25">
      <c r="A1075" s="4">
        <v>1849</v>
      </c>
      <c r="B1075" s="9" t="s">
        <v>1665</v>
      </c>
      <c r="C1075" s="8" t="s">
        <v>304</v>
      </c>
      <c r="D1075" s="6" t="s">
        <v>137</v>
      </c>
      <c r="E1075" s="10">
        <v>6</v>
      </c>
      <c r="F1075">
        <v>9.4589291365852599</v>
      </c>
      <c r="G1075">
        <v>3.6949680876287898</v>
      </c>
      <c r="H1075" t="s">
        <v>92</v>
      </c>
      <c r="I1075" t="s">
        <v>266</v>
      </c>
      <c r="J1075" t="s">
        <v>267</v>
      </c>
      <c r="K1075" t="s">
        <v>1452</v>
      </c>
      <c r="L1075">
        <v>294</v>
      </c>
      <c r="M1075" t="s">
        <v>1798</v>
      </c>
      <c r="N1075">
        <v>300</v>
      </c>
      <c r="O1075" t="s">
        <v>1530</v>
      </c>
      <c r="P1075" s="1" t="s">
        <v>528</v>
      </c>
      <c r="Q1075" s="25">
        <v>32.476754999999997</v>
      </c>
      <c r="R1075" s="25">
        <v>-106.797602</v>
      </c>
      <c r="S1075">
        <v>-1.7399</v>
      </c>
      <c r="T1075">
        <v>-38.448999999999998</v>
      </c>
      <c r="U1075">
        <v>1.7399</v>
      </c>
      <c r="V1075" t="s">
        <v>1538</v>
      </c>
      <c r="W1075" s="1" t="s">
        <v>13</v>
      </c>
      <c r="X1075" t="s">
        <v>17</v>
      </c>
      <c r="Y1075" s="1" t="s">
        <v>1630</v>
      </c>
    </row>
    <row r="1076" spans="1:25" x14ac:dyDescent="0.25">
      <c r="A1076" s="4">
        <v>1850</v>
      </c>
      <c r="B1076" s="9" t="s">
        <v>1666</v>
      </c>
      <c r="C1076" s="8" t="s">
        <v>304</v>
      </c>
      <c r="D1076" s="6" t="s">
        <v>534</v>
      </c>
      <c r="E1076" s="10">
        <v>6</v>
      </c>
      <c r="F1076">
        <v>22.9768068044554</v>
      </c>
      <c r="G1076">
        <v>5.5360292238045297</v>
      </c>
      <c r="H1076" t="s">
        <v>92</v>
      </c>
      <c r="I1076" t="s">
        <v>266</v>
      </c>
      <c r="J1076" t="s">
        <v>267</v>
      </c>
      <c r="K1076" t="s">
        <v>1452</v>
      </c>
      <c r="L1076">
        <v>294</v>
      </c>
      <c r="M1076" t="s">
        <v>1798</v>
      </c>
      <c r="N1076">
        <v>300</v>
      </c>
      <c r="O1076" t="s">
        <v>1530</v>
      </c>
      <c r="P1076" s="1" t="s">
        <v>528</v>
      </c>
      <c r="Q1076" s="25">
        <v>32.476754999999997</v>
      </c>
      <c r="R1076" s="25">
        <v>-106.797602</v>
      </c>
      <c r="S1076">
        <v>-1.7399</v>
      </c>
      <c r="T1076">
        <v>-38.448999999999998</v>
      </c>
      <c r="U1076">
        <v>1.7399</v>
      </c>
      <c r="V1076" t="s">
        <v>1538</v>
      </c>
      <c r="W1076" s="1" t="s">
        <v>13</v>
      </c>
      <c r="X1076" t="s">
        <v>17</v>
      </c>
      <c r="Y1076" s="1" t="s">
        <v>1630</v>
      </c>
    </row>
    <row r="1077" spans="1:25" x14ac:dyDescent="0.25">
      <c r="A1077" s="4">
        <v>1851</v>
      </c>
      <c r="B1077" s="9" t="s">
        <v>1667</v>
      </c>
      <c r="C1077" s="8" t="s">
        <v>304</v>
      </c>
      <c r="D1077" s="6" t="s">
        <v>137</v>
      </c>
      <c r="E1077" s="10">
        <v>6</v>
      </c>
      <c r="F1077">
        <v>7.4291525543664099</v>
      </c>
      <c r="G1077">
        <v>4.1354743021176299</v>
      </c>
      <c r="H1077" t="s">
        <v>92</v>
      </c>
      <c r="I1077" t="s">
        <v>266</v>
      </c>
      <c r="J1077" t="s">
        <v>267</v>
      </c>
      <c r="K1077" t="s">
        <v>1452</v>
      </c>
      <c r="L1077">
        <v>294</v>
      </c>
      <c r="M1077" t="s">
        <v>1798</v>
      </c>
      <c r="N1077">
        <v>300</v>
      </c>
      <c r="O1077" t="s">
        <v>1530</v>
      </c>
      <c r="P1077" s="1" t="s">
        <v>528</v>
      </c>
      <c r="Q1077" s="25">
        <v>32.476754999999997</v>
      </c>
      <c r="R1077" s="25">
        <v>-106.797602</v>
      </c>
      <c r="S1077">
        <v>-1.7399</v>
      </c>
      <c r="T1077">
        <v>-38.448999999999998</v>
      </c>
      <c r="U1077">
        <v>1.7399</v>
      </c>
      <c r="V1077" t="s">
        <v>1538</v>
      </c>
      <c r="W1077" s="1" t="s">
        <v>13</v>
      </c>
      <c r="X1077" t="s">
        <v>17</v>
      </c>
      <c r="Y1077" s="1" t="s">
        <v>1630</v>
      </c>
    </row>
    <row r="1078" spans="1:25" x14ac:dyDescent="0.25">
      <c r="A1078" s="4">
        <v>1852</v>
      </c>
      <c r="B1078" s="9" t="s">
        <v>1668</v>
      </c>
      <c r="C1078" s="8" t="s">
        <v>304</v>
      </c>
      <c r="D1078" s="6" t="s">
        <v>721</v>
      </c>
      <c r="E1078" s="10">
        <v>6</v>
      </c>
      <c r="F1078">
        <v>8.3056136615013791</v>
      </c>
      <c r="G1078">
        <v>4.9543814402969399</v>
      </c>
      <c r="H1078" t="s">
        <v>92</v>
      </c>
      <c r="I1078" t="s">
        <v>266</v>
      </c>
      <c r="J1078" t="s">
        <v>267</v>
      </c>
      <c r="K1078" t="s">
        <v>1452</v>
      </c>
      <c r="L1078">
        <v>294</v>
      </c>
      <c r="M1078" t="s">
        <v>1798</v>
      </c>
      <c r="N1078">
        <v>300</v>
      </c>
      <c r="O1078" t="s">
        <v>1530</v>
      </c>
      <c r="P1078" s="1" t="s">
        <v>528</v>
      </c>
      <c r="Q1078" s="25">
        <v>32.476754999999997</v>
      </c>
      <c r="R1078" s="25">
        <v>-106.797602</v>
      </c>
      <c r="S1078">
        <v>-1.7399</v>
      </c>
      <c r="T1078">
        <v>-38.448999999999998</v>
      </c>
      <c r="U1078">
        <v>1.7399</v>
      </c>
      <c r="V1078" t="s">
        <v>1538</v>
      </c>
      <c r="W1078" s="1" t="s">
        <v>13</v>
      </c>
      <c r="X1078" t="s">
        <v>17</v>
      </c>
      <c r="Y1078" s="1" t="s">
        <v>1630</v>
      </c>
    </row>
    <row r="1079" spans="1:25" x14ac:dyDescent="0.25">
      <c r="A1079" s="4">
        <v>1853</v>
      </c>
      <c r="B1079" s="9" t="s">
        <v>1669</v>
      </c>
      <c r="C1079" s="8" t="s">
        <v>304</v>
      </c>
      <c r="D1079" s="6" t="s">
        <v>137</v>
      </c>
      <c r="E1079" s="10">
        <v>6</v>
      </c>
      <c r="F1079">
        <v>12.0810003715705</v>
      </c>
      <c r="G1079">
        <v>6.1200759254824</v>
      </c>
      <c r="H1079" t="s">
        <v>92</v>
      </c>
      <c r="I1079" t="s">
        <v>266</v>
      </c>
      <c r="J1079" t="s">
        <v>267</v>
      </c>
      <c r="K1079" t="s">
        <v>1452</v>
      </c>
      <c r="L1079">
        <v>294</v>
      </c>
      <c r="M1079" t="s">
        <v>1798</v>
      </c>
      <c r="N1079">
        <v>300</v>
      </c>
      <c r="O1079" t="s">
        <v>1530</v>
      </c>
      <c r="P1079" s="1" t="s">
        <v>528</v>
      </c>
      <c r="Q1079" s="25">
        <v>32.476754999999997</v>
      </c>
      <c r="R1079" s="25">
        <v>-106.797602</v>
      </c>
      <c r="S1079">
        <v>-1.7399</v>
      </c>
      <c r="T1079">
        <v>-38.448999999999998</v>
      </c>
      <c r="U1079">
        <v>1.7399</v>
      </c>
      <c r="V1079" t="s">
        <v>1538</v>
      </c>
      <c r="W1079" s="1" t="s">
        <v>13</v>
      </c>
      <c r="X1079" t="s">
        <v>17</v>
      </c>
      <c r="Y1079" s="1" t="s">
        <v>1630</v>
      </c>
    </row>
    <row r="1080" spans="1:25" x14ac:dyDescent="0.25">
      <c r="A1080" s="4">
        <v>1854</v>
      </c>
      <c r="B1080" s="9" t="s">
        <v>1670</v>
      </c>
      <c r="C1080" s="8" t="s">
        <v>304</v>
      </c>
      <c r="D1080" s="6" t="s">
        <v>534</v>
      </c>
      <c r="E1080" s="10">
        <v>6</v>
      </c>
      <c r="F1080">
        <v>26.071052213585698</v>
      </c>
      <c r="G1080">
        <v>15.628296491411</v>
      </c>
      <c r="H1080" t="s">
        <v>92</v>
      </c>
      <c r="I1080" t="s">
        <v>266</v>
      </c>
      <c r="J1080" t="s">
        <v>267</v>
      </c>
      <c r="K1080" t="s">
        <v>1452</v>
      </c>
      <c r="L1080">
        <v>294</v>
      </c>
      <c r="M1080" t="s">
        <v>1798</v>
      </c>
      <c r="N1080">
        <v>300</v>
      </c>
      <c r="O1080" t="s">
        <v>1530</v>
      </c>
      <c r="P1080" s="1" t="s">
        <v>528</v>
      </c>
      <c r="Q1080" s="25">
        <v>32.476754999999997</v>
      </c>
      <c r="R1080" s="25">
        <v>-106.797602</v>
      </c>
      <c r="S1080">
        <v>-1.7399</v>
      </c>
      <c r="T1080">
        <v>-38.448999999999998</v>
      </c>
      <c r="U1080">
        <v>1.7399</v>
      </c>
      <c r="V1080" t="s">
        <v>1538</v>
      </c>
      <c r="W1080" s="1" t="s">
        <v>13</v>
      </c>
      <c r="X1080" t="s">
        <v>17</v>
      </c>
      <c r="Y1080" s="1" t="s">
        <v>1630</v>
      </c>
    </row>
    <row r="1081" spans="1:25" x14ac:dyDescent="0.25">
      <c r="A1081" s="4">
        <v>1855</v>
      </c>
      <c r="B1081" s="9" t="s">
        <v>1671</v>
      </c>
      <c r="C1081" s="8" t="s">
        <v>304</v>
      </c>
      <c r="D1081" s="6" t="s">
        <v>137</v>
      </c>
      <c r="E1081" s="10">
        <v>6</v>
      </c>
      <c r="F1081">
        <v>9.7543533840813303</v>
      </c>
      <c r="G1081">
        <v>4.2257199924615998</v>
      </c>
      <c r="H1081" t="s">
        <v>92</v>
      </c>
      <c r="I1081" t="s">
        <v>266</v>
      </c>
      <c r="J1081" t="s">
        <v>267</v>
      </c>
      <c r="K1081" t="s">
        <v>1452</v>
      </c>
      <c r="L1081">
        <v>294</v>
      </c>
      <c r="M1081" t="s">
        <v>1798</v>
      </c>
      <c r="N1081">
        <v>300</v>
      </c>
      <c r="O1081" t="s">
        <v>1530</v>
      </c>
      <c r="P1081" s="1" t="s">
        <v>528</v>
      </c>
      <c r="Q1081" s="25">
        <v>32.476754999999997</v>
      </c>
      <c r="R1081" s="25">
        <v>-106.797602</v>
      </c>
      <c r="S1081">
        <v>-1.7399</v>
      </c>
      <c r="T1081">
        <v>-38.448999999999998</v>
      </c>
      <c r="U1081">
        <v>1.7399</v>
      </c>
      <c r="V1081" t="s">
        <v>1538</v>
      </c>
      <c r="W1081" s="1" t="s">
        <v>13</v>
      </c>
      <c r="X1081" t="s">
        <v>17</v>
      </c>
      <c r="Y1081" s="1" t="s">
        <v>1630</v>
      </c>
    </row>
    <row r="1082" spans="1:25" x14ac:dyDescent="0.25">
      <c r="A1082" s="4">
        <v>1856</v>
      </c>
      <c r="B1082" s="9" t="s">
        <v>1672</v>
      </c>
      <c r="C1082" s="8" t="s">
        <v>304</v>
      </c>
      <c r="D1082" s="6" t="s">
        <v>534</v>
      </c>
      <c r="E1082" s="10">
        <v>6</v>
      </c>
      <c r="F1082">
        <v>14.891796837150601</v>
      </c>
      <c r="G1082">
        <v>4.8496313298929898</v>
      </c>
      <c r="H1082" t="s">
        <v>92</v>
      </c>
      <c r="I1082" t="s">
        <v>266</v>
      </c>
      <c r="J1082" t="s">
        <v>267</v>
      </c>
      <c r="K1082" t="s">
        <v>1452</v>
      </c>
      <c r="L1082">
        <v>294</v>
      </c>
      <c r="M1082" t="s">
        <v>1798</v>
      </c>
      <c r="N1082">
        <v>300</v>
      </c>
      <c r="O1082" t="s">
        <v>1530</v>
      </c>
      <c r="P1082" s="1" t="s">
        <v>528</v>
      </c>
      <c r="Q1082" s="25">
        <v>32.476754999999997</v>
      </c>
      <c r="R1082" s="25">
        <v>-106.797602</v>
      </c>
      <c r="S1082">
        <v>-1.7399</v>
      </c>
      <c r="T1082">
        <v>-38.448999999999998</v>
      </c>
      <c r="U1082">
        <v>1.7399</v>
      </c>
      <c r="V1082" t="s">
        <v>1538</v>
      </c>
      <c r="W1082" s="1" t="s">
        <v>13</v>
      </c>
      <c r="X1082" t="s">
        <v>17</v>
      </c>
      <c r="Y1082" s="1" t="s">
        <v>1630</v>
      </c>
    </row>
    <row r="1083" spans="1:25" x14ac:dyDescent="0.25">
      <c r="A1083" s="4">
        <v>1857</v>
      </c>
      <c r="B1083" s="9" t="s">
        <v>1673</v>
      </c>
      <c r="C1083" s="8" t="s">
        <v>304</v>
      </c>
      <c r="D1083" s="6" t="s">
        <v>721</v>
      </c>
      <c r="E1083" s="10">
        <v>6</v>
      </c>
      <c r="F1083">
        <v>17.4955402470069</v>
      </c>
      <c r="G1083">
        <v>7.8316830539987699</v>
      </c>
      <c r="H1083" t="s">
        <v>92</v>
      </c>
      <c r="I1083" t="s">
        <v>266</v>
      </c>
      <c r="J1083" t="s">
        <v>267</v>
      </c>
      <c r="K1083" t="s">
        <v>1452</v>
      </c>
      <c r="L1083">
        <v>294</v>
      </c>
      <c r="M1083" t="s">
        <v>1798</v>
      </c>
      <c r="N1083">
        <v>300</v>
      </c>
      <c r="O1083" t="s">
        <v>1530</v>
      </c>
      <c r="P1083" s="1" t="s">
        <v>528</v>
      </c>
      <c r="Q1083" s="25">
        <v>32.476754999999997</v>
      </c>
      <c r="R1083" s="25">
        <v>-106.797602</v>
      </c>
      <c r="S1083">
        <v>-1.7399</v>
      </c>
      <c r="T1083">
        <v>-38.448999999999998</v>
      </c>
      <c r="U1083">
        <v>1.7399</v>
      </c>
      <c r="V1083" t="s">
        <v>1538</v>
      </c>
      <c r="W1083" s="1" t="s">
        <v>13</v>
      </c>
      <c r="X1083" t="s">
        <v>17</v>
      </c>
      <c r="Y1083" s="1" t="s">
        <v>1630</v>
      </c>
    </row>
    <row r="1084" spans="1:25" x14ac:dyDescent="0.25">
      <c r="A1084" s="4">
        <v>1858</v>
      </c>
      <c r="B1084" s="9" t="s">
        <v>1674</v>
      </c>
      <c r="C1084" s="8" t="s">
        <v>304</v>
      </c>
      <c r="D1084" s="6" t="s">
        <v>434</v>
      </c>
      <c r="E1084" s="10">
        <v>6</v>
      </c>
      <c r="F1084">
        <v>30.673021161920101</v>
      </c>
      <c r="G1084">
        <v>18.826923076430699</v>
      </c>
      <c r="H1084" t="s">
        <v>92</v>
      </c>
      <c r="I1084" t="s">
        <v>266</v>
      </c>
      <c r="J1084" t="s">
        <v>267</v>
      </c>
      <c r="K1084" t="s">
        <v>1452</v>
      </c>
      <c r="L1084">
        <v>294</v>
      </c>
      <c r="M1084" t="s">
        <v>1798</v>
      </c>
      <c r="N1084">
        <v>300</v>
      </c>
      <c r="O1084" t="s">
        <v>1530</v>
      </c>
      <c r="P1084" s="1" t="s">
        <v>528</v>
      </c>
      <c r="Q1084" s="25">
        <v>32.476754999999997</v>
      </c>
      <c r="R1084" s="25">
        <v>-106.797602</v>
      </c>
      <c r="S1084">
        <v>-1.7399</v>
      </c>
      <c r="T1084">
        <v>-38.448999999999998</v>
      </c>
      <c r="U1084">
        <v>1.7399</v>
      </c>
      <c r="V1084" t="s">
        <v>1538</v>
      </c>
      <c r="W1084" s="1" t="s">
        <v>13</v>
      </c>
      <c r="X1084" t="s">
        <v>17</v>
      </c>
      <c r="Y1084" s="1" t="s">
        <v>1630</v>
      </c>
    </row>
    <row r="1085" spans="1:25" x14ac:dyDescent="0.25">
      <c r="A1085" s="4">
        <v>1859</v>
      </c>
      <c r="B1085" s="9" t="s">
        <v>1675</v>
      </c>
      <c r="C1085" s="8" t="s">
        <v>304</v>
      </c>
      <c r="D1085" s="6" t="s">
        <v>434</v>
      </c>
      <c r="E1085" s="10">
        <v>6</v>
      </c>
      <c r="F1085">
        <v>17.1689817602471</v>
      </c>
      <c r="G1085">
        <v>5.7949866783450004</v>
      </c>
      <c r="H1085" t="s">
        <v>92</v>
      </c>
      <c r="I1085" t="s">
        <v>266</v>
      </c>
      <c r="J1085" t="s">
        <v>267</v>
      </c>
      <c r="K1085" t="s">
        <v>1452</v>
      </c>
      <c r="L1085">
        <v>294</v>
      </c>
      <c r="M1085" t="s">
        <v>1798</v>
      </c>
      <c r="N1085">
        <v>300</v>
      </c>
      <c r="O1085" t="s">
        <v>1530</v>
      </c>
      <c r="P1085" s="1" t="s">
        <v>528</v>
      </c>
      <c r="Q1085" s="25">
        <v>32.476754999999997</v>
      </c>
      <c r="R1085" s="25">
        <v>-106.797602</v>
      </c>
      <c r="S1085">
        <v>-1.7399</v>
      </c>
      <c r="T1085">
        <v>-38.448999999999998</v>
      </c>
      <c r="U1085">
        <v>1.7399</v>
      </c>
      <c r="V1085" t="s">
        <v>1538</v>
      </c>
      <c r="W1085" s="1" t="s">
        <v>13</v>
      </c>
      <c r="X1085" t="s">
        <v>17</v>
      </c>
      <c r="Y1085" s="1" t="s">
        <v>1630</v>
      </c>
    </row>
    <row r="1086" spans="1:25" x14ac:dyDescent="0.25">
      <c r="A1086" s="4">
        <v>1860</v>
      </c>
      <c r="B1086" s="9" t="s">
        <v>1676</v>
      </c>
      <c r="C1086" s="8" t="s">
        <v>304</v>
      </c>
      <c r="D1086" s="6" t="s">
        <v>534</v>
      </c>
      <c r="E1086" s="10">
        <v>6</v>
      </c>
      <c r="F1086">
        <v>17.804270165685502</v>
      </c>
      <c r="G1086">
        <v>5.6776956964468601</v>
      </c>
      <c r="H1086" t="s">
        <v>92</v>
      </c>
      <c r="I1086" t="s">
        <v>266</v>
      </c>
      <c r="J1086" t="s">
        <v>267</v>
      </c>
      <c r="K1086" t="s">
        <v>1452</v>
      </c>
      <c r="L1086">
        <v>294</v>
      </c>
      <c r="M1086" t="s">
        <v>1798</v>
      </c>
      <c r="N1086">
        <v>300</v>
      </c>
      <c r="O1086" t="s">
        <v>1530</v>
      </c>
      <c r="P1086" s="1" t="s">
        <v>528</v>
      </c>
      <c r="Q1086" s="25">
        <v>32.476754999999997</v>
      </c>
      <c r="R1086" s="25">
        <v>-106.797602</v>
      </c>
      <c r="S1086">
        <v>-1.7399</v>
      </c>
      <c r="T1086">
        <v>-38.448999999999998</v>
      </c>
      <c r="U1086">
        <v>1.7399</v>
      </c>
      <c r="V1086" t="s">
        <v>1538</v>
      </c>
      <c r="W1086" s="1" t="s">
        <v>13</v>
      </c>
      <c r="X1086" t="s">
        <v>17</v>
      </c>
      <c r="Y1086" s="1" t="s">
        <v>1630</v>
      </c>
    </row>
    <row r="1087" spans="1:25" x14ac:dyDescent="0.25">
      <c r="A1087" s="4">
        <v>1861</v>
      </c>
      <c r="B1087" s="9" t="s">
        <v>1677</v>
      </c>
      <c r="C1087" s="8" t="s">
        <v>304</v>
      </c>
      <c r="D1087" s="6" t="s">
        <v>434</v>
      </c>
      <c r="E1087" s="10">
        <v>6</v>
      </c>
      <c r="F1087">
        <v>15.5891473765458</v>
      </c>
      <c r="G1087">
        <v>9.5648724122331394</v>
      </c>
      <c r="H1087" t="s">
        <v>92</v>
      </c>
      <c r="I1087" t="s">
        <v>266</v>
      </c>
      <c r="J1087" t="s">
        <v>267</v>
      </c>
      <c r="K1087" t="s">
        <v>1452</v>
      </c>
      <c r="L1087">
        <v>294</v>
      </c>
      <c r="M1087" t="s">
        <v>1798</v>
      </c>
      <c r="N1087">
        <v>300</v>
      </c>
      <c r="O1087" t="s">
        <v>1530</v>
      </c>
      <c r="P1087" s="1" t="s">
        <v>528</v>
      </c>
      <c r="Q1087" s="25">
        <v>32.476754999999997</v>
      </c>
      <c r="R1087" s="25">
        <v>-106.797602</v>
      </c>
      <c r="S1087">
        <v>-1.7399</v>
      </c>
      <c r="T1087">
        <v>-38.448999999999998</v>
      </c>
      <c r="U1087">
        <v>1.7399</v>
      </c>
      <c r="V1087" t="s">
        <v>1538</v>
      </c>
      <c r="W1087" s="1" t="s">
        <v>13</v>
      </c>
      <c r="X1087" t="s">
        <v>17</v>
      </c>
      <c r="Y1087" s="1" t="s">
        <v>1630</v>
      </c>
    </row>
    <row r="1088" spans="1:25" x14ac:dyDescent="0.25">
      <c r="A1088" s="4">
        <v>1862</v>
      </c>
      <c r="B1088" s="9" t="s">
        <v>1678</v>
      </c>
      <c r="C1088" s="8" t="s">
        <v>304</v>
      </c>
      <c r="D1088" s="6" t="s">
        <v>137</v>
      </c>
      <c r="E1088" s="10">
        <v>6</v>
      </c>
      <c r="F1088">
        <v>13.1329405275994</v>
      </c>
      <c r="G1088">
        <v>6.8651063694945798</v>
      </c>
      <c r="H1088" t="s">
        <v>92</v>
      </c>
      <c r="I1088" t="s">
        <v>266</v>
      </c>
      <c r="J1088" t="s">
        <v>267</v>
      </c>
      <c r="K1088" t="s">
        <v>1452</v>
      </c>
      <c r="L1088">
        <v>294</v>
      </c>
      <c r="M1088" t="s">
        <v>1798</v>
      </c>
      <c r="N1088">
        <v>300</v>
      </c>
      <c r="O1088" t="s">
        <v>1530</v>
      </c>
      <c r="P1088" s="1" t="s">
        <v>528</v>
      </c>
      <c r="Q1088" s="25">
        <v>32.476754999999997</v>
      </c>
      <c r="R1088" s="25">
        <v>-106.797602</v>
      </c>
      <c r="S1088">
        <v>-1.7399</v>
      </c>
      <c r="T1088">
        <v>-38.448999999999998</v>
      </c>
      <c r="U1088">
        <v>1.7399</v>
      </c>
      <c r="V1088" t="s">
        <v>1538</v>
      </c>
      <c r="W1088" s="1" t="s">
        <v>13</v>
      </c>
      <c r="X1088" t="s">
        <v>17</v>
      </c>
      <c r="Y1088" s="1" t="s">
        <v>1630</v>
      </c>
    </row>
    <row r="1089" spans="1:25" x14ac:dyDescent="0.25">
      <c r="A1089" s="4">
        <v>1863</v>
      </c>
      <c r="B1089" s="9" t="s">
        <v>1679</v>
      </c>
      <c r="C1089" s="8" t="s">
        <v>304</v>
      </c>
      <c r="D1089" s="6" t="s">
        <v>137</v>
      </c>
      <c r="E1089" s="10">
        <v>6</v>
      </c>
      <c r="F1089">
        <v>11.024951256214999</v>
      </c>
      <c r="G1089">
        <v>5.3949259347166798</v>
      </c>
      <c r="H1089" t="s">
        <v>92</v>
      </c>
      <c r="I1089" t="s">
        <v>266</v>
      </c>
      <c r="J1089" t="s">
        <v>267</v>
      </c>
      <c r="K1089" t="s">
        <v>1452</v>
      </c>
      <c r="L1089">
        <v>294</v>
      </c>
      <c r="M1089" t="s">
        <v>1798</v>
      </c>
      <c r="N1089">
        <v>300</v>
      </c>
      <c r="O1089" t="s">
        <v>1530</v>
      </c>
      <c r="P1089" s="1" t="s">
        <v>528</v>
      </c>
      <c r="Q1089" s="25">
        <v>32.476754999999997</v>
      </c>
      <c r="R1089" s="25">
        <v>-106.797602</v>
      </c>
      <c r="S1089">
        <v>-1.7399</v>
      </c>
      <c r="T1089">
        <v>-38.448999999999998</v>
      </c>
      <c r="U1089">
        <v>1.7399</v>
      </c>
      <c r="V1089" t="s">
        <v>1538</v>
      </c>
      <c r="W1089" s="1" t="s">
        <v>13</v>
      </c>
      <c r="X1089" t="s">
        <v>17</v>
      </c>
      <c r="Y1089" s="1" t="s">
        <v>1630</v>
      </c>
    </row>
    <row r="1090" spans="1:25" x14ac:dyDescent="0.25">
      <c r="A1090" s="4">
        <v>1864</v>
      </c>
      <c r="B1090" s="9" t="s">
        <v>1680</v>
      </c>
      <c r="C1090" s="8" t="s">
        <v>304</v>
      </c>
      <c r="D1090" s="6" t="s">
        <v>137</v>
      </c>
      <c r="E1090" s="10">
        <v>6</v>
      </c>
      <c r="F1090">
        <v>10.7882613978802</v>
      </c>
      <c r="G1090">
        <v>4.3728734618158001</v>
      </c>
      <c r="H1090" t="s">
        <v>92</v>
      </c>
      <c r="I1090" t="s">
        <v>266</v>
      </c>
      <c r="J1090" t="s">
        <v>267</v>
      </c>
      <c r="K1090" t="s">
        <v>1452</v>
      </c>
      <c r="L1090">
        <v>294</v>
      </c>
      <c r="M1090" t="s">
        <v>1798</v>
      </c>
      <c r="N1090">
        <v>300</v>
      </c>
      <c r="O1090" t="s">
        <v>1530</v>
      </c>
      <c r="P1090" s="1" t="s">
        <v>528</v>
      </c>
      <c r="Q1090" s="25">
        <v>32.476754999999997</v>
      </c>
      <c r="R1090" s="25">
        <v>-106.797602</v>
      </c>
      <c r="S1090">
        <v>-1.7399</v>
      </c>
      <c r="T1090">
        <v>-38.448999999999998</v>
      </c>
      <c r="U1090">
        <v>1.7399</v>
      </c>
      <c r="V1090" t="s">
        <v>1538</v>
      </c>
      <c r="W1090" s="1" t="s">
        <v>13</v>
      </c>
      <c r="X1090" t="s">
        <v>17</v>
      </c>
      <c r="Y1090" s="1" t="s">
        <v>1630</v>
      </c>
    </row>
    <row r="1091" spans="1:25" x14ac:dyDescent="0.25">
      <c r="A1091" s="4">
        <v>1865</v>
      </c>
      <c r="B1091" s="9" t="s">
        <v>1681</v>
      </c>
      <c r="C1091" s="8" t="s">
        <v>304</v>
      </c>
      <c r="D1091" s="6" t="s">
        <v>137</v>
      </c>
      <c r="E1091" s="10">
        <v>6</v>
      </c>
      <c r="F1091">
        <v>14.761490218652799</v>
      </c>
      <c r="G1091">
        <v>6.9547894358970197</v>
      </c>
      <c r="H1091" t="s">
        <v>92</v>
      </c>
      <c r="I1091" t="s">
        <v>266</v>
      </c>
      <c r="J1091" t="s">
        <v>267</v>
      </c>
      <c r="K1091" t="s">
        <v>1452</v>
      </c>
      <c r="L1091">
        <v>294</v>
      </c>
      <c r="M1091" t="s">
        <v>1798</v>
      </c>
      <c r="N1091">
        <v>300</v>
      </c>
      <c r="O1091" t="s">
        <v>1530</v>
      </c>
      <c r="P1091" s="1" t="s">
        <v>528</v>
      </c>
      <c r="Q1091" s="25">
        <v>32.476754999999997</v>
      </c>
      <c r="R1091" s="25">
        <v>-106.797602</v>
      </c>
      <c r="S1091">
        <v>-1.7399</v>
      </c>
      <c r="T1091">
        <v>-38.448999999999998</v>
      </c>
      <c r="U1091">
        <v>1.7399</v>
      </c>
      <c r="V1091" t="s">
        <v>1538</v>
      </c>
      <c r="W1091" s="1" t="s">
        <v>13</v>
      </c>
      <c r="X1091" t="s">
        <v>17</v>
      </c>
      <c r="Y1091" s="1" t="s">
        <v>1630</v>
      </c>
    </row>
    <row r="1092" spans="1:25" x14ac:dyDescent="0.25">
      <c r="A1092" s="4">
        <v>1866</v>
      </c>
      <c r="B1092" s="9" t="s">
        <v>1682</v>
      </c>
      <c r="C1092" s="8" t="s">
        <v>304</v>
      </c>
      <c r="D1092" s="6" t="s">
        <v>434</v>
      </c>
      <c r="E1092" s="10">
        <v>6</v>
      </c>
      <c r="F1092">
        <v>47.616552107409603</v>
      </c>
      <c r="G1092">
        <v>33.436606728152398</v>
      </c>
      <c r="H1092" t="s">
        <v>92</v>
      </c>
      <c r="I1092" t="s">
        <v>266</v>
      </c>
      <c r="J1092" t="s">
        <v>267</v>
      </c>
      <c r="K1092" t="s">
        <v>1452</v>
      </c>
      <c r="L1092">
        <v>294</v>
      </c>
      <c r="M1092" t="s">
        <v>1798</v>
      </c>
      <c r="N1092">
        <v>300</v>
      </c>
      <c r="O1092" t="s">
        <v>1530</v>
      </c>
      <c r="P1092" s="1" t="s">
        <v>528</v>
      </c>
      <c r="Q1092" s="25">
        <v>32.476754999999997</v>
      </c>
      <c r="R1092" s="25">
        <v>-106.797602</v>
      </c>
      <c r="S1092">
        <v>-1.7399</v>
      </c>
      <c r="T1092">
        <v>-38.448999999999998</v>
      </c>
      <c r="U1092">
        <v>1.7399</v>
      </c>
      <c r="V1092" t="s">
        <v>1538</v>
      </c>
      <c r="W1092" s="1" t="s">
        <v>13</v>
      </c>
      <c r="X1092" t="s">
        <v>17</v>
      </c>
      <c r="Y1092" s="1" t="s">
        <v>1630</v>
      </c>
    </row>
    <row r="1093" spans="1:25" x14ac:dyDescent="0.25">
      <c r="A1093" s="4">
        <v>1867</v>
      </c>
      <c r="B1093" s="9" t="s">
        <v>1683</v>
      </c>
      <c r="C1093" s="8" t="s">
        <v>304</v>
      </c>
      <c r="D1093" s="6" t="s">
        <v>219</v>
      </c>
      <c r="E1093" s="10">
        <v>6</v>
      </c>
      <c r="F1093">
        <v>9.3040107888413797</v>
      </c>
      <c r="G1093">
        <v>3.4363161732669099</v>
      </c>
      <c r="H1093" t="s">
        <v>92</v>
      </c>
      <c r="I1093" t="s">
        <v>266</v>
      </c>
      <c r="J1093" t="s">
        <v>267</v>
      </c>
      <c r="K1093" t="s">
        <v>1452</v>
      </c>
      <c r="L1093">
        <v>294</v>
      </c>
      <c r="M1093" t="s">
        <v>1798</v>
      </c>
      <c r="N1093">
        <v>300</v>
      </c>
      <c r="O1093" t="s">
        <v>1530</v>
      </c>
      <c r="P1093" s="1" t="s">
        <v>528</v>
      </c>
      <c r="Q1093" s="25">
        <v>32.476754999999997</v>
      </c>
      <c r="R1093" s="25">
        <v>-106.797602</v>
      </c>
      <c r="S1093">
        <v>-1.7399</v>
      </c>
      <c r="T1093">
        <v>-38.448999999999998</v>
      </c>
      <c r="U1093">
        <v>1.7399</v>
      </c>
      <c r="V1093" t="s">
        <v>1538</v>
      </c>
      <c r="W1093" s="1" t="s">
        <v>13</v>
      </c>
      <c r="X1093" t="s">
        <v>17</v>
      </c>
      <c r="Y1093" s="1" t="s">
        <v>1630</v>
      </c>
    </row>
    <row r="1094" spans="1:25" x14ac:dyDescent="0.25">
      <c r="A1094" s="4">
        <v>1868</v>
      </c>
      <c r="B1094" s="9" t="s">
        <v>1684</v>
      </c>
      <c r="C1094" s="8" t="s">
        <v>304</v>
      </c>
      <c r="D1094" s="6" t="s">
        <v>137</v>
      </c>
      <c r="E1094" s="10">
        <v>6</v>
      </c>
      <c r="F1094">
        <v>10.752018840153999</v>
      </c>
      <c r="G1094">
        <v>5.6656062734792698</v>
      </c>
      <c r="H1094" t="s">
        <v>92</v>
      </c>
      <c r="I1094" t="s">
        <v>266</v>
      </c>
      <c r="J1094" t="s">
        <v>267</v>
      </c>
      <c r="K1094" t="s">
        <v>1452</v>
      </c>
      <c r="L1094">
        <v>294</v>
      </c>
      <c r="M1094" t="s">
        <v>1798</v>
      </c>
      <c r="N1094">
        <v>300</v>
      </c>
      <c r="O1094" t="s">
        <v>1530</v>
      </c>
      <c r="P1094" s="1" t="s">
        <v>528</v>
      </c>
      <c r="Q1094" s="25">
        <v>32.476754999999997</v>
      </c>
      <c r="R1094" s="25">
        <v>-106.797602</v>
      </c>
      <c r="S1094">
        <v>-1.7399</v>
      </c>
      <c r="T1094">
        <v>-38.448999999999998</v>
      </c>
      <c r="U1094">
        <v>1.7399</v>
      </c>
      <c r="V1094" t="s">
        <v>1538</v>
      </c>
      <c r="W1094" s="1" t="s">
        <v>13</v>
      </c>
      <c r="X1094" t="s">
        <v>17</v>
      </c>
      <c r="Y1094" s="1" t="s">
        <v>1630</v>
      </c>
    </row>
    <row r="1095" spans="1:25" x14ac:dyDescent="0.25">
      <c r="A1095" s="4">
        <v>1869</v>
      </c>
      <c r="B1095" s="9" t="s">
        <v>1685</v>
      </c>
      <c r="C1095" s="8" t="s">
        <v>304</v>
      </c>
      <c r="D1095" s="6" t="s">
        <v>137</v>
      </c>
      <c r="E1095" s="10">
        <v>6</v>
      </c>
      <c r="F1095">
        <v>12.8593427853199</v>
      </c>
      <c r="G1095">
        <v>6.8440780371440404</v>
      </c>
      <c r="H1095" t="s">
        <v>92</v>
      </c>
      <c r="I1095" t="s">
        <v>266</v>
      </c>
      <c r="J1095" t="s">
        <v>267</v>
      </c>
      <c r="K1095" t="s">
        <v>1452</v>
      </c>
      <c r="L1095">
        <v>294</v>
      </c>
      <c r="M1095" t="s">
        <v>1798</v>
      </c>
      <c r="N1095">
        <v>300</v>
      </c>
      <c r="O1095" t="s">
        <v>1530</v>
      </c>
      <c r="P1095" s="1" t="s">
        <v>528</v>
      </c>
      <c r="Q1095" s="25">
        <v>32.476754999999997</v>
      </c>
      <c r="R1095" s="25">
        <v>-106.797602</v>
      </c>
      <c r="S1095">
        <v>-1.7399</v>
      </c>
      <c r="T1095">
        <v>-38.448999999999998</v>
      </c>
      <c r="U1095">
        <v>1.7399</v>
      </c>
      <c r="V1095" t="s">
        <v>1538</v>
      </c>
      <c r="W1095" s="1" t="s">
        <v>13</v>
      </c>
      <c r="X1095" t="s">
        <v>17</v>
      </c>
      <c r="Y1095" s="1" t="s">
        <v>1630</v>
      </c>
    </row>
    <row r="1096" spans="1:25" x14ac:dyDescent="0.25">
      <c r="A1096" s="4">
        <v>1870</v>
      </c>
      <c r="B1096" s="9" t="s">
        <v>1686</v>
      </c>
      <c r="C1096" s="8" t="s">
        <v>304</v>
      </c>
      <c r="D1096" s="6" t="s">
        <v>137</v>
      </c>
      <c r="E1096" s="10">
        <v>6</v>
      </c>
      <c r="F1096">
        <v>12.760105868811101</v>
      </c>
      <c r="G1096">
        <v>7.2933861881183599</v>
      </c>
      <c r="H1096" t="s">
        <v>92</v>
      </c>
      <c r="I1096" t="s">
        <v>266</v>
      </c>
      <c r="J1096" t="s">
        <v>267</v>
      </c>
      <c r="K1096" t="s">
        <v>1452</v>
      </c>
      <c r="L1096">
        <v>294</v>
      </c>
      <c r="M1096" t="s">
        <v>1798</v>
      </c>
      <c r="N1096">
        <v>300</v>
      </c>
      <c r="O1096" t="s">
        <v>1530</v>
      </c>
      <c r="P1096" s="1" t="s">
        <v>528</v>
      </c>
      <c r="Q1096" s="25">
        <v>32.476754999999997</v>
      </c>
      <c r="R1096" s="25">
        <v>-106.797602</v>
      </c>
      <c r="S1096">
        <v>-1.7399</v>
      </c>
      <c r="T1096">
        <v>-38.448999999999998</v>
      </c>
      <c r="U1096">
        <v>1.7399</v>
      </c>
      <c r="V1096" t="s">
        <v>1538</v>
      </c>
      <c r="W1096" s="1" t="s">
        <v>13</v>
      </c>
      <c r="X1096" t="s">
        <v>17</v>
      </c>
      <c r="Y1096" s="1" t="s">
        <v>1630</v>
      </c>
    </row>
    <row r="1097" spans="1:25" x14ac:dyDescent="0.25">
      <c r="A1097" s="4">
        <v>1871</v>
      </c>
      <c r="B1097" s="9" t="s">
        <v>1687</v>
      </c>
      <c r="C1097" s="8" t="s">
        <v>304</v>
      </c>
      <c r="D1097" s="6" t="s">
        <v>137</v>
      </c>
      <c r="E1097" s="10">
        <v>6</v>
      </c>
      <c r="F1097">
        <v>13.8216484448168</v>
      </c>
      <c r="G1097">
        <v>4.9464080481087302</v>
      </c>
      <c r="H1097" t="s">
        <v>92</v>
      </c>
      <c r="I1097" t="s">
        <v>266</v>
      </c>
      <c r="J1097" t="s">
        <v>267</v>
      </c>
      <c r="K1097" t="s">
        <v>1452</v>
      </c>
      <c r="L1097">
        <v>294</v>
      </c>
      <c r="M1097" t="s">
        <v>1798</v>
      </c>
      <c r="N1097">
        <v>300</v>
      </c>
      <c r="O1097" t="s">
        <v>1530</v>
      </c>
      <c r="P1097" s="1" t="s">
        <v>528</v>
      </c>
      <c r="Q1097" s="25">
        <v>32.476754999999997</v>
      </c>
      <c r="R1097" s="25">
        <v>-106.797602</v>
      </c>
      <c r="S1097">
        <v>-1.7399</v>
      </c>
      <c r="T1097">
        <v>-38.448999999999998</v>
      </c>
      <c r="U1097">
        <v>1.7399</v>
      </c>
      <c r="V1097" t="s">
        <v>1538</v>
      </c>
      <c r="W1097" s="1" t="s">
        <v>13</v>
      </c>
      <c r="X1097" t="s">
        <v>17</v>
      </c>
      <c r="Y1097" s="1" t="s">
        <v>1630</v>
      </c>
    </row>
    <row r="1098" spans="1:25" x14ac:dyDescent="0.25">
      <c r="A1098" s="4">
        <v>1872</v>
      </c>
      <c r="B1098" s="9" t="s">
        <v>1688</v>
      </c>
      <c r="C1098" s="8" t="s">
        <v>304</v>
      </c>
      <c r="D1098" s="6" t="s">
        <v>534</v>
      </c>
      <c r="E1098" s="10">
        <v>6</v>
      </c>
      <c r="F1098">
        <v>9.0838103205626997</v>
      </c>
      <c r="G1098">
        <v>3.9244303693154401</v>
      </c>
      <c r="H1098" t="s">
        <v>92</v>
      </c>
      <c r="I1098" t="s">
        <v>266</v>
      </c>
      <c r="J1098" t="s">
        <v>267</v>
      </c>
      <c r="K1098" t="s">
        <v>1452</v>
      </c>
      <c r="L1098">
        <v>294</v>
      </c>
      <c r="M1098" t="s">
        <v>1798</v>
      </c>
      <c r="N1098">
        <v>300</v>
      </c>
      <c r="O1098" t="s">
        <v>1530</v>
      </c>
      <c r="P1098" s="1" t="s">
        <v>528</v>
      </c>
      <c r="Q1098" s="25">
        <v>32.476754999999997</v>
      </c>
      <c r="R1098" s="25">
        <v>-106.797602</v>
      </c>
      <c r="S1098">
        <v>-1.7399</v>
      </c>
      <c r="T1098">
        <v>-38.448999999999998</v>
      </c>
      <c r="U1098">
        <v>1.7399</v>
      </c>
      <c r="V1098" t="s">
        <v>1538</v>
      </c>
      <c r="W1098" s="1" t="s">
        <v>13</v>
      </c>
      <c r="X1098" t="s">
        <v>17</v>
      </c>
      <c r="Y1098" s="1" t="s">
        <v>1630</v>
      </c>
    </row>
    <row r="1099" spans="1:25" x14ac:dyDescent="0.25">
      <c r="A1099" s="4">
        <v>1873</v>
      </c>
      <c r="B1099" s="9" t="s">
        <v>1689</v>
      </c>
      <c r="C1099" s="8" t="s">
        <v>304</v>
      </c>
      <c r="D1099" s="6" t="s">
        <v>434</v>
      </c>
      <c r="E1099" s="10">
        <v>6</v>
      </c>
      <c r="F1099">
        <v>17.065891291954699</v>
      </c>
      <c r="G1099">
        <v>8.4099682251062404</v>
      </c>
      <c r="H1099" t="s">
        <v>92</v>
      </c>
      <c r="I1099" t="s">
        <v>266</v>
      </c>
      <c r="J1099" t="s">
        <v>267</v>
      </c>
      <c r="K1099" t="s">
        <v>1452</v>
      </c>
      <c r="L1099">
        <v>294</v>
      </c>
      <c r="M1099" t="s">
        <v>1798</v>
      </c>
      <c r="N1099">
        <v>300</v>
      </c>
      <c r="O1099" t="s">
        <v>1530</v>
      </c>
      <c r="P1099" s="1" t="s">
        <v>528</v>
      </c>
      <c r="Q1099" s="25">
        <v>32.476754999999997</v>
      </c>
      <c r="R1099" s="25">
        <v>-106.797602</v>
      </c>
      <c r="S1099">
        <v>-1.7399</v>
      </c>
      <c r="T1099">
        <v>-38.448999999999998</v>
      </c>
      <c r="U1099">
        <v>1.7399</v>
      </c>
      <c r="V1099" t="s">
        <v>1538</v>
      </c>
      <c r="W1099" s="1" t="s">
        <v>13</v>
      </c>
      <c r="X1099" t="s">
        <v>17</v>
      </c>
      <c r="Y1099" s="1" t="s">
        <v>1630</v>
      </c>
    </row>
    <row r="1100" spans="1:25" x14ac:dyDescent="0.25">
      <c r="A1100" s="4">
        <v>1874</v>
      </c>
      <c r="B1100" s="9" t="s">
        <v>1690</v>
      </c>
      <c r="C1100" s="8" t="s">
        <v>304</v>
      </c>
      <c r="D1100" s="6" t="s">
        <v>434</v>
      </c>
      <c r="E1100" s="10">
        <v>6</v>
      </c>
      <c r="F1100">
        <v>11.8955429287426</v>
      </c>
      <c r="G1100">
        <v>5.04549451118897</v>
      </c>
      <c r="H1100" t="s">
        <v>92</v>
      </c>
      <c r="I1100" t="s">
        <v>266</v>
      </c>
      <c r="J1100" t="s">
        <v>267</v>
      </c>
      <c r="K1100" t="s">
        <v>1452</v>
      </c>
      <c r="L1100">
        <v>294</v>
      </c>
      <c r="M1100" t="s">
        <v>1798</v>
      </c>
      <c r="N1100">
        <v>300</v>
      </c>
      <c r="O1100" t="s">
        <v>1530</v>
      </c>
      <c r="P1100" s="1" t="s">
        <v>528</v>
      </c>
      <c r="Q1100" s="25">
        <v>32.476754999999997</v>
      </c>
      <c r="R1100" s="25">
        <v>-106.797602</v>
      </c>
      <c r="S1100">
        <v>-1.7399</v>
      </c>
      <c r="T1100">
        <v>-38.448999999999998</v>
      </c>
      <c r="U1100">
        <v>1.7399</v>
      </c>
      <c r="V1100" t="s">
        <v>1538</v>
      </c>
      <c r="W1100" s="1" t="s">
        <v>13</v>
      </c>
      <c r="X1100" t="s">
        <v>17</v>
      </c>
      <c r="Y1100" s="1" t="s">
        <v>1630</v>
      </c>
    </row>
    <row r="1101" spans="1:25" x14ac:dyDescent="0.25">
      <c r="A1101" s="4">
        <v>1875</v>
      </c>
      <c r="B1101" s="9" t="s">
        <v>1691</v>
      </c>
      <c r="C1101" s="8" t="s">
        <v>304</v>
      </c>
      <c r="D1101" s="6" t="s">
        <v>534</v>
      </c>
      <c r="E1101" s="10">
        <v>6</v>
      </c>
      <c r="F1101">
        <v>15.923592365001999</v>
      </c>
      <c r="G1101">
        <v>5.6229075524682797</v>
      </c>
      <c r="H1101" t="s">
        <v>92</v>
      </c>
      <c r="I1101" t="s">
        <v>266</v>
      </c>
      <c r="J1101" t="s">
        <v>267</v>
      </c>
      <c r="K1101" t="s">
        <v>1452</v>
      </c>
      <c r="L1101">
        <v>294</v>
      </c>
      <c r="M1101" t="s">
        <v>1798</v>
      </c>
      <c r="N1101">
        <v>300</v>
      </c>
      <c r="O1101" t="s">
        <v>1530</v>
      </c>
      <c r="P1101" s="1" t="s">
        <v>528</v>
      </c>
      <c r="Q1101" s="25">
        <v>32.476754999999997</v>
      </c>
      <c r="R1101" s="25">
        <v>-106.797602</v>
      </c>
      <c r="S1101">
        <v>-1.7399</v>
      </c>
      <c r="T1101">
        <v>-38.448999999999998</v>
      </c>
      <c r="U1101">
        <v>1.7399</v>
      </c>
      <c r="V1101" t="s">
        <v>1538</v>
      </c>
      <c r="W1101" s="1" t="s">
        <v>13</v>
      </c>
      <c r="X1101" t="s">
        <v>17</v>
      </c>
      <c r="Y1101" s="1" t="s">
        <v>1630</v>
      </c>
    </row>
    <row r="1102" spans="1:25" x14ac:dyDescent="0.25">
      <c r="A1102" s="4">
        <v>1876</v>
      </c>
      <c r="B1102" s="9" t="s">
        <v>1692</v>
      </c>
      <c r="C1102" s="8" t="s">
        <v>304</v>
      </c>
      <c r="D1102" s="6" t="s">
        <v>534</v>
      </c>
      <c r="E1102" s="10">
        <v>6</v>
      </c>
      <c r="F1102">
        <v>13.411063322165001</v>
      </c>
      <c r="G1102">
        <v>3.6874946774193198</v>
      </c>
      <c r="H1102" t="s">
        <v>92</v>
      </c>
      <c r="I1102" t="s">
        <v>266</v>
      </c>
      <c r="J1102" t="s">
        <v>267</v>
      </c>
      <c r="K1102" t="s">
        <v>1452</v>
      </c>
      <c r="L1102">
        <v>294</v>
      </c>
      <c r="M1102" t="s">
        <v>1798</v>
      </c>
      <c r="N1102">
        <v>300</v>
      </c>
      <c r="O1102" t="s">
        <v>1530</v>
      </c>
      <c r="P1102" s="1" t="s">
        <v>528</v>
      </c>
      <c r="Q1102" s="25">
        <v>32.476754999999997</v>
      </c>
      <c r="R1102" s="25">
        <v>-106.797602</v>
      </c>
      <c r="S1102">
        <v>-1.7399</v>
      </c>
      <c r="T1102">
        <v>-38.448999999999998</v>
      </c>
      <c r="U1102">
        <v>1.7399</v>
      </c>
      <c r="V1102" t="s">
        <v>1538</v>
      </c>
      <c r="W1102" s="1" t="s">
        <v>13</v>
      </c>
      <c r="X1102" t="s">
        <v>17</v>
      </c>
      <c r="Y1102" s="1" t="s">
        <v>1630</v>
      </c>
    </row>
    <row r="1103" spans="1:25" x14ac:dyDescent="0.25">
      <c r="A1103" s="4">
        <v>1878</v>
      </c>
      <c r="B1103" s="9" t="s">
        <v>535</v>
      </c>
      <c r="C1103" s="8" t="s">
        <v>304</v>
      </c>
      <c r="D1103" s="6" t="s">
        <v>534</v>
      </c>
      <c r="E1103" s="10">
        <v>6</v>
      </c>
      <c r="F1103">
        <v>8.3500913413838305</v>
      </c>
      <c r="G1103">
        <v>2.7283579609489599</v>
      </c>
      <c r="H1103" t="s">
        <v>92</v>
      </c>
      <c r="I1103" t="s">
        <v>266</v>
      </c>
      <c r="J1103" t="s">
        <v>267</v>
      </c>
      <c r="K1103" t="s">
        <v>1452</v>
      </c>
      <c r="L1103">
        <v>294</v>
      </c>
      <c r="M1103" t="s">
        <v>1798</v>
      </c>
      <c r="N1103">
        <v>300</v>
      </c>
      <c r="O1103" t="s">
        <v>1530</v>
      </c>
      <c r="P1103" s="1" t="s">
        <v>528</v>
      </c>
      <c r="Q1103" s="25">
        <v>32.476754999999997</v>
      </c>
      <c r="R1103" s="25">
        <v>-106.797602</v>
      </c>
      <c r="S1103">
        <v>-1.7399</v>
      </c>
      <c r="T1103">
        <v>-38.448999999999998</v>
      </c>
      <c r="U1103">
        <v>1.7399</v>
      </c>
      <c r="V1103" t="s">
        <v>1538</v>
      </c>
      <c r="W1103" s="1" t="s">
        <v>13</v>
      </c>
      <c r="X1103" t="s">
        <v>17</v>
      </c>
      <c r="Y1103" s="1" t="s">
        <v>1630</v>
      </c>
    </row>
    <row r="1104" spans="1:25" x14ac:dyDescent="0.25">
      <c r="A1104" s="4">
        <v>1879</v>
      </c>
      <c r="B1104" s="9" t="s">
        <v>1693</v>
      </c>
      <c r="C1104" s="8" t="s">
        <v>304</v>
      </c>
      <c r="D1104" s="6" t="s">
        <v>534</v>
      </c>
      <c r="E1104" s="10">
        <v>6</v>
      </c>
      <c r="F1104">
        <v>9.3772800628417592</v>
      </c>
      <c r="G1104">
        <v>1.49559175759825</v>
      </c>
      <c r="H1104" t="s">
        <v>92</v>
      </c>
      <c r="I1104" t="s">
        <v>266</v>
      </c>
      <c r="J1104" t="s">
        <v>267</v>
      </c>
      <c r="K1104" t="s">
        <v>1452</v>
      </c>
      <c r="L1104">
        <v>294</v>
      </c>
      <c r="M1104" t="s">
        <v>1798</v>
      </c>
      <c r="N1104">
        <v>300</v>
      </c>
      <c r="O1104" t="s">
        <v>1530</v>
      </c>
      <c r="P1104" s="1" t="s">
        <v>528</v>
      </c>
      <c r="Q1104" s="25">
        <v>32.476754999999997</v>
      </c>
      <c r="R1104" s="25">
        <v>-106.797602</v>
      </c>
      <c r="S1104">
        <v>-1.7399</v>
      </c>
      <c r="T1104">
        <v>-38.448999999999998</v>
      </c>
      <c r="U1104">
        <v>1.7399</v>
      </c>
      <c r="V1104" t="s">
        <v>1538</v>
      </c>
      <c r="W1104" s="1" t="s">
        <v>13</v>
      </c>
      <c r="X1104" t="s">
        <v>17</v>
      </c>
      <c r="Y1104" s="1" t="s">
        <v>1630</v>
      </c>
    </row>
    <row r="1105" spans="1:25" x14ac:dyDescent="0.25">
      <c r="A1105" s="4">
        <v>1880</v>
      </c>
      <c r="B1105" s="9" t="s">
        <v>545</v>
      </c>
      <c r="C1105" s="8" t="s">
        <v>304</v>
      </c>
      <c r="D1105" s="6" t="s">
        <v>534</v>
      </c>
      <c r="E1105" s="10">
        <v>6</v>
      </c>
      <c r="F1105">
        <v>6.8855420062117103</v>
      </c>
      <c r="G1105">
        <v>2.37368502457339</v>
      </c>
      <c r="H1105" t="s">
        <v>92</v>
      </c>
      <c r="I1105" t="s">
        <v>266</v>
      </c>
      <c r="J1105" t="s">
        <v>267</v>
      </c>
      <c r="K1105" t="s">
        <v>1452</v>
      </c>
      <c r="L1105">
        <v>294</v>
      </c>
      <c r="M1105" t="s">
        <v>1798</v>
      </c>
      <c r="N1105">
        <v>300</v>
      </c>
      <c r="O1105" t="s">
        <v>1530</v>
      </c>
      <c r="P1105" s="1" t="s">
        <v>528</v>
      </c>
      <c r="Q1105" s="25">
        <v>32.476754999999997</v>
      </c>
      <c r="R1105" s="25">
        <v>-106.797602</v>
      </c>
      <c r="S1105">
        <v>-1.7399</v>
      </c>
      <c r="T1105">
        <v>-38.448999999999998</v>
      </c>
      <c r="U1105">
        <v>1.7399</v>
      </c>
      <c r="V1105" t="s">
        <v>1538</v>
      </c>
      <c r="W1105" s="1" t="s">
        <v>13</v>
      </c>
      <c r="X1105" t="s">
        <v>17</v>
      </c>
      <c r="Y1105" s="1" t="s">
        <v>1630</v>
      </c>
    </row>
    <row r="1106" spans="1:25" x14ac:dyDescent="0.25">
      <c r="A1106" s="4">
        <v>1881</v>
      </c>
      <c r="B1106" s="9" t="s">
        <v>1694</v>
      </c>
      <c r="C1106" s="8" t="s">
        <v>304</v>
      </c>
      <c r="D1106" s="6" t="s">
        <v>434</v>
      </c>
      <c r="E1106" s="10">
        <v>6</v>
      </c>
      <c r="F1106">
        <v>10.4710821387061</v>
      </c>
      <c r="G1106">
        <v>5.73928806917512</v>
      </c>
      <c r="H1106" t="s">
        <v>92</v>
      </c>
      <c r="I1106" t="s">
        <v>266</v>
      </c>
      <c r="J1106" t="s">
        <v>267</v>
      </c>
      <c r="K1106" t="s">
        <v>1452</v>
      </c>
      <c r="L1106">
        <v>294</v>
      </c>
      <c r="M1106" t="s">
        <v>1798</v>
      </c>
      <c r="N1106">
        <v>300</v>
      </c>
      <c r="O1106" t="s">
        <v>1530</v>
      </c>
      <c r="P1106" s="1" t="s">
        <v>528</v>
      </c>
      <c r="Q1106" s="25">
        <v>32.476754999999997</v>
      </c>
      <c r="R1106" s="25">
        <v>-106.797602</v>
      </c>
      <c r="S1106">
        <v>-1.7399</v>
      </c>
      <c r="T1106">
        <v>-38.448999999999998</v>
      </c>
      <c r="U1106">
        <v>1.7399</v>
      </c>
      <c r="V1106" t="s">
        <v>1538</v>
      </c>
      <c r="W1106" s="1" t="s">
        <v>13</v>
      </c>
      <c r="X1106" t="s">
        <v>17</v>
      </c>
      <c r="Y1106" s="1" t="s">
        <v>1630</v>
      </c>
    </row>
    <row r="1107" spans="1:25" x14ac:dyDescent="0.25">
      <c r="A1107" s="4">
        <v>1882</v>
      </c>
      <c r="B1107" s="9" t="s">
        <v>1695</v>
      </c>
      <c r="C1107" s="8" t="s">
        <v>304</v>
      </c>
      <c r="D1107" s="6" t="s">
        <v>137</v>
      </c>
      <c r="E1107" s="10">
        <v>6</v>
      </c>
      <c r="F1107">
        <v>8.6374251264976696</v>
      </c>
      <c r="G1107">
        <v>4.6487753481077103</v>
      </c>
      <c r="H1107" t="s">
        <v>92</v>
      </c>
      <c r="I1107" t="s">
        <v>266</v>
      </c>
      <c r="J1107" t="s">
        <v>267</v>
      </c>
      <c r="K1107" t="s">
        <v>1452</v>
      </c>
      <c r="L1107">
        <v>294</v>
      </c>
      <c r="M1107" t="s">
        <v>1798</v>
      </c>
      <c r="N1107">
        <v>300</v>
      </c>
      <c r="O1107" t="s">
        <v>1530</v>
      </c>
      <c r="P1107" s="1" t="s">
        <v>528</v>
      </c>
      <c r="Q1107" s="25">
        <v>32.476754999999997</v>
      </c>
      <c r="R1107" s="25">
        <v>-106.797602</v>
      </c>
      <c r="S1107">
        <v>-1.7399</v>
      </c>
      <c r="T1107">
        <v>-38.448999999999998</v>
      </c>
      <c r="U1107">
        <v>1.7399</v>
      </c>
      <c r="V1107" t="s">
        <v>1538</v>
      </c>
      <c r="W1107" s="1" t="s">
        <v>13</v>
      </c>
      <c r="X1107" t="s">
        <v>17</v>
      </c>
      <c r="Y1107" s="1" t="s">
        <v>1630</v>
      </c>
    </row>
    <row r="1108" spans="1:25" x14ac:dyDescent="0.25">
      <c r="A1108" s="4">
        <v>1883</v>
      </c>
      <c r="B1108" s="9" t="s">
        <v>1696</v>
      </c>
      <c r="C1108" s="8" t="s">
        <v>304</v>
      </c>
      <c r="D1108" s="6" t="s">
        <v>434</v>
      </c>
      <c r="E1108" s="10">
        <v>6</v>
      </c>
      <c r="F1108">
        <v>10.455822473347601</v>
      </c>
      <c r="G1108">
        <v>5.7019979174892201</v>
      </c>
      <c r="H1108" t="s">
        <v>92</v>
      </c>
      <c r="I1108" t="s">
        <v>266</v>
      </c>
      <c r="J1108" t="s">
        <v>267</v>
      </c>
      <c r="K1108" t="s">
        <v>1452</v>
      </c>
      <c r="L1108">
        <v>294</v>
      </c>
      <c r="M1108" t="s">
        <v>1798</v>
      </c>
      <c r="N1108">
        <v>300</v>
      </c>
      <c r="O1108" t="s">
        <v>1530</v>
      </c>
      <c r="P1108" s="1" t="s">
        <v>528</v>
      </c>
      <c r="Q1108" s="25">
        <v>32.476754999999997</v>
      </c>
      <c r="R1108" s="25">
        <v>-106.797602</v>
      </c>
      <c r="S1108">
        <v>-1.7399</v>
      </c>
      <c r="T1108">
        <v>-38.448999999999998</v>
      </c>
      <c r="U1108">
        <v>1.7399</v>
      </c>
      <c r="V1108" t="s">
        <v>1538</v>
      </c>
      <c r="W1108" s="1" t="s">
        <v>13</v>
      </c>
      <c r="X1108" t="s">
        <v>17</v>
      </c>
      <c r="Y1108" s="1" t="s">
        <v>1630</v>
      </c>
    </row>
    <row r="1109" spans="1:25" x14ac:dyDescent="0.25">
      <c r="A1109" s="4">
        <v>1884</v>
      </c>
      <c r="B1109" s="9" t="s">
        <v>1697</v>
      </c>
      <c r="C1109" s="8" t="s">
        <v>304</v>
      </c>
      <c r="D1109" s="6" t="s">
        <v>137</v>
      </c>
      <c r="E1109" s="10">
        <v>6</v>
      </c>
      <c r="F1109">
        <v>11.7098650195015</v>
      </c>
      <c r="G1109">
        <v>4.0988813502266002</v>
      </c>
      <c r="H1109" t="s">
        <v>92</v>
      </c>
      <c r="I1109" t="s">
        <v>266</v>
      </c>
      <c r="J1109" t="s">
        <v>267</v>
      </c>
      <c r="K1109" t="s">
        <v>1452</v>
      </c>
      <c r="L1109">
        <v>294</v>
      </c>
      <c r="M1109" t="s">
        <v>1798</v>
      </c>
      <c r="N1109">
        <v>300</v>
      </c>
      <c r="O1109" t="s">
        <v>1530</v>
      </c>
      <c r="P1109" s="1" t="s">
        <v>528</v>
      </c>
      <c r="Q1109" s="25">
        <v>32.476754999999997</v>
      </c>
      <c r="R1109" s="25">
        <v>-106.797602</v>
      </c>
      <c r="S1109">
        <v>-1.7399</v>
      </c>
      <c r="T1109">
        <v>-38.448999999999998</v>
      </c>
      <c r="U1109">
        <v>1.7399</v>
      </c>
      <c r="V1109" t="s">
        <v>1538</v>
      </c>
      <c r="W1109" s="1" t="s">
        <v>13</v>
      </c>
      <c r="X1109" t="s">
        <v>17</v>
      </c>
      <c r="Y1109" s="1" t="s">
        <v>1630</v>
      </c>
    </row>
    <row r="1110" spans="1:25" x14ac:dyDescent="0.25">
      <c r="A1110" s="4">
        <v>1885</v>
      </c>
      <c r="B1110" s="9" t="s">
        <v>1698</v>
      </c>
      <c r="C1110" s="8" t="s">
        <v>304</v>
      </c>
      <c r="D1110" s="6" t="s">
        <v>137</v>
      </c>
      <c r="E1110" s="10">
        <v>6</v>
      </c>
      <c r="F1110">
        <v>13.735837448054401</v>
      </c>
      <c r="G1110">
        <v>6.5061110143029204</v>
      </c>
      <c r="H1110" t="s">
        <v>92</v>
      </c>
      <c r="I1110" t="s">
        <v>266</v>
      </c>
      <c r="J1110" t="s">
        <v>267</v>
      </c>
      <c r="K1110" t="s">
        <v>1452</v>
      </c>
      <c r="L1110">
        <v>294</v>
      </c>
      <c r="M1110" t="s">
        <v>1798</v>
      </c>
      <c r="N1110">
        <v>300</v>
      </c>
      <c r="O1110" t="s">
        <v>1530</v>
      </c>
      <c r="P1110" s="1" t="s">
        <v>528</v>
      </c>
      <c r="Q1110" s="25">
        <v>32.476754999999997</v>
      </c>
      <c r="R1110" s="25">
        <v>-106.797602</v>
      </c>
      <c r="S1110">
        <v>-1.7399</v>
      </c>
      <c r="T1110">
        <v>-38.448999999999998</v>
      </c>
      <c r="U1110">
        <v>1.7399</v>
      </c>
      <c r="V1110" t="s">
        <v>1538</v>
      </c>
      <c r="W1110" s="1" t="s">
        <v>13</v>
      </c>
      <c r="X1110" t="s">
        <v>17</v>
      </c>
      <c r="Y1110" s="1" t="s">
        <v>1630</v>
      </c>
    </row>
    <row r="1111" spans="1:25" x14ac:dyDescent="0.25">
      <c r="A1111" s="4">
        <v>1886</v>
      </c>
      <c r="B1111" s="9" t="s">
        <v>1699</v>
      </c>
      <c r="C1111" s="8" t="s">
        <v>304</v>
      </c>
      <c r="D1111" s="6" t="s">
        <v>137</v>
      </c>
      <c r="E1111" s="10">
        <v>6</v>
      </c>
      <c r="F1111">
        <v>9.8744375729361096</v>
      </c>
      <c r="G1111">
        <v>5.3347974639614799</v>
      </c>
      <c r="H1111" t="s">
        <v>92</v>
      </c>
      <c r="I1111" t="s">
        <v>266</v>
      </c>
      <c r="J1111" t="s">
        <v>267</v>
      </c>
      <c r="K1111" t="s">
        <v>1452</v>
      </c>
      <c r="L1111">
        <v>294</v>
      </c>
      <c r="M1111" t="s">
        <v>1798</v>
      </c>
      <c r="N1111">
        <v>300</v>
      </c>
      <c r="O1111" t="s">
        <v>1530</v>
      </c>
      <c r="P1111" s="1" t="s">
        <v>528</v>
      </c>
      <c r="Q1111" s="25">
        <v>32.476754999999997</v>
      </c>
      <c r="R1111" s="25">
        <v>-106.797602</v>
      </c>
      <c r="S1111">
        <v>-1.7399</v>
      </c>
      <c r="T1111">
        <v>-38.448999999999998</v>
      </c>
      <c r="U1111">
        <v>1.7399</v>
      </c>
      <c r="V1111" t="s">
        <v>1538</v>
      </c>
      <c r="W1111" s="1" t="s">
        <v>13</v>
      </c>
      <c r="X1111" t="s">
        <v>17</v>
      </c>
      <c r="Y1111" s="1" t="s">
        <v>1630</v>
      </c>
    </row>
    <row r="1112" spans="1:25" x14ac:dyDescent="0.25">
      <c r="A1112" s="4">
        <v>1887</v>
      </c>
      <c r="B1112" s="9" t="s">
        <v>1700</v>
      </c>
      <c r="C1112" s="8" t="s">
        <v>304</v>
      </c>
      <c r="D1112" s="6" t="s">
        <v>137</v>
      </c>
      <c r="E1112" s="10">
        <v>6</v>
      </c>
      <c r="F1112">
        <v>12.9440032638555</v>
      </c>
      <c r="G1112">
        <v>4.1603224458720396</v>
      </c>
      <c r="H1112" t="s">
        <v>92</v>
      </c>
      <c r="I1112" t="s">
        <v>266</v>
      </c>
      <c r="J1112" t="s">
        <v>267</v>
      </c>
      <c r="K1112" t="s">
        <v>1452</v>
      </c>
      <c r="L1112">
        <v>294</v>
      </c>
      <c r="M1112" t="s">
        <v>1798</v>
      </c>
      <c r="N1112">
        <v>300</v>
      </c>
      <c r="O1112" t="s">
        <v>1530</v>
      </c>
      <c r="P1112" s="1" t="s">
        <v>528</v>
      </c>
      <c r="Q1112" s="25">
        <v>32.476754999999997</v>
      </c>
      <c r="R1112" s="25">
        <v>-106.797602</v>
      </c>
      <c r="S1112">
        <v>-1.7399</v>
      </c>
      <c r="T1112">
        <v>-38.448999999999998</v>
      </c>
      <c r="U1112">
        <v>1.7399</v>
      </c>
      <c r="V1112" t="s">
        <v>1538</v>
      </c>
      <c r="W1112" s="1" t="s">
        <v>13</v>
      </c>
      <c r="X1112" t="s">
        <v>17</v>
      </c>
      <c r="Y1112" s="1" t="s">
        <v>1630</v>
      </c>
    </row>
    <row r="1113" spans="1:25" x14ac:dyDescent="0.25">
      <c r="A1113" s="4">
        <v>1888</v>
      </c>
      <c r="B1113" s="9" t="s">
        <v>1701</v>
      </c>
      <c r="C1113" s="8" t="s">
        <v>304</v>
      </c>
      <c r="D1113" s="6" t="s">
        <v>534</v>
      </c>
      <c r="E1113" s="10">
        <v>6</v>
      </c>
      <c r="F1113">
        <v>31.861201066758401</v>
      </c>
      <c r="G1113">
        <v>21.948132389287601</v>
      </c>
      <c r="H1113" t="s">
        <v>92</v>
      </c>
      <c r="I1113" t="s">
        <v>266</v>
      </c>
      <c r="J1113" t="s">
        <v>267</v>
      </c>
      <c r="K1113" t="s">
        <v>1452</v>
      </c>
      <c r="L1113">
        <v>294</v>
      </c>
      <c r="M1113" t="s">
        <v>1798</v>
      </c>
      <c r="N1113">
        <v>300</v>
      </c>
      <c r="O1113" t="s">
        <v>1530</v>
      </c>
      <c r="P1113" s="1" t="s">
        <v>528</v>
      </c>
      <c r="Q1113" s="25">
        <v>32.476754999999997</v>
      </c>
      <c r="R1113" s="25">
        <v>-106.797602</v>
      </c>
      <c r="S1113">
        <v>-1.7399</v>
      </c>
      <c r="T1113">
        <v>-38.448999999999998</v>
      </c>
      <c r="U1113">
        <v>1.7399</v>
      </c>
      <c r="V1113" t="s">
        <v>1538</v>
      </c>
      <c r="W1113" s="1" t="s">
        <v>13</v>
      </c>
      <c r="X1113" t="s">
        <v>17</v>
      </c>
      <c r="Y1113" s="1" t="s">
        <v>1630</v>
      </c>
    </row>
    <row r="1114" spans="1:25" x14ac:dyDescent="0.25">
      <c r="A1114" s="4">
        <v>1889</v>
      </c>
      <c r="B1114" s="9" t="s">
        <v>1702</v>
      </c>
      <c r="C1114" s="8" t="s">
        <v>304</v>
      </c>
      <c r="D1114" s="6" t="s">
        <v>137</v>
      </c>
      <c r="E1114" s="10">
        <v>6</v>
      </c>
      <c r="F1114">
        <v>13.964185434009901</v>
      </c>
      <c r="G1114">
        <v>6.7374661298385901</v>
      </c>
      <c r="H1114" t="s">
        <v>92</v>
      </c>
      <c r="I1114" t="s">
        <v>266</v>
      </c>
      <c r="J1114" t="s">
        <v>267</v>
      </c>
      <c r="K1114" t="s">
        <v>1452</v>
      </c>
      <c r="L1114">
        <v>294</v>
      </c>
      <c r="M1114" t="s">
        <v>1798</v>
      </c>
      <c r="N1114">
        <v>300</v>
      </c>
      <c r="O1114" t="s">
        <v>1530</v>
      </c>
      <c r="P1114" s="1" t="s">
        <v>528</v>
      </c>
      <c r="Q1114" s="25">
        <v>32.476754999999997</v>
      </c>
      <c r="R1114" s="25">
        <v>-106.797602</v>
      </c>
      <c r="S1114">
        <v>-1.7399</v>
      </c>
      <c r="T1114">
        <v>-38.448999999999998</v>
      </c>
      <c r="U1114">
        <v>1.7399</v>
      </c>
      <c r="V1114" t="s">
        <v>1538</v>
      </c>
      <c r="W1114" s="1" t="s">
        <v>13</v>
      </c>
      <c r="X1114" t="s">
        <v>17</v>
      </c>
      <c r="Y1114" s="1" t="s">
        <v>1630</v>
      </c>
    </row>
    <row r="1115" spans="1:25" x14ac:dyDescent="0.25">
      <c r="A1115" s="4">
        <v>1890</v>
      </c>
      <c r="B1115" s="9" t="s">
        <v>1703</v>
      </c>
      <c r="C1115" s="8" t="s">
        <v>304</v>
      </c>
      <c r="D1115" s="6" t="s">
        <v>130</v>
      </c>
      <c r="E1115" s="10">
        <v>6</v>
      </c>
      <c r="F1115">
        <v>18.988157751779902</v>
      </c>
      <c r="G1115">
        <v>8.7742021219209008</v>
      </c>
      <c r="H1115" t="s">
        <v>92</v>
      </c>
      <c r="I1115" t="s">
        <v>266</v>
      </c>
      <c r="J1115" t="s">
        <v>267</v>
      </c>
      <c r="K1115" t="s">
        <v>1452</v>
      </c>
      <c r="L1115">
        <v>294</v>
      </c>
      <c r="M1115" t="s">
        <v>1798</v>
      </c>
      <c r="N1115">
        <v>300</v>
      </c>
      <c r="O1115" t="s">
        <v>1530</v>
      </c>
      <c r="P1115" s="1" t="s">
        <v>528</v>
      </c>
      <c r="Q1115" s="25">
        <v>32.476754999999997</v>
      </c>
      <c r="R1115" s="25">
        <v>-106.797602</v>
      </c>
      <c r="S1115">
        <v>-1.7399</v>
      </c>
      <c r="T1115">
        <v>-38.448999999999998</v>
      </c>
      <c r="U1115">
        <v>1.7399</v>
      </c>
      <c r="V1115" t="s">
        <v>1538</v>
      </c>
      <c r="W1115" s="1" t="s">
        <v>13</v>
      </c>
      <c r="X1115" t="s">
        <v>17</v>
      </c>
      <c r="Y1115" s="1" t="s">
        <v>1630</v>
      </c>
    </row>
    <row r="1116" spans="1:25" x14ac:dyDescent="0.25">
      <c r="A1116" s="4">
        <v>1891</v>
      </c>
      <c r="B1116" s="9" t="s">
        <v>1704</v>
      </c>
      <c r="C1116" s="8" t="s">
        <v>304</v>
      </c>
      <c r="D1116" s="6" t="s">
        <v>137</v>
      </c>
      <c r="E1116" s="10">
        <v>6</v>
      </c>
      <c r="F1116">
        <v>11.1210357144661</v>
      </c>
      <c r="G1116">
        <v>6.6084698919172604</v>
      </c>
      <c r="H1116" t="s">
        <v>92</v>
      </c>
      <c r="I1116" t="s">
        <v>266</v>
      </c>
      <c r="J1116" t="s">
        <v>267</v>
      </c>
      <c r="K1116" t="s">
        <v>1452</v>
      </c>
      <c r="L1116">
        <v>294</v>
      </c>
      <c r="M1116" t="s">
        <v>1798</v>
      </c>
      <c r="N1116">
        <v>300</v>
      </c>
      <c r="O1116" t="s">
        <v>1530</v>
      </c>
      <c r="P1116" s="1" t="s">
        <v>528</v>
      </c>
      <c r="Q1116" s="25">
        <v>32.476754999999997</v>
      </c>
      <c r="R1116" s="25">
        <v>-106.797602</v>
      </c>
      <c r="S1116">
        <v>-1.7399</v>
      </c>
      <c r="T1116">
        <v>-38.448999999999998</v>
      </c>
      <c r="U1116">
        <v>1.7399</v>
      </c>
      <c r="V1116" t="s">
        <v>1538</v>
      </c>
      <c r="W1116" s="1" t="s">
        <v>13</v>
      </c>
      <c r="X1116" t="s">
        <v>17</v>
      </c>
      <c r="Y1116" s="1" t="s">
        <v>1630</v>
      </c>
    </row>
    <row r="1117" spans="1:25" x14ac:dyDescent="0.25">
      <c r="A1117" s="4">
        <v>1892</v>
      </c>
      <c r="B1117" s="9" t="s">
        <v>1704</v>
      </c>
      <c r="C1117" s="8" t="s">
        <v>304</v>
      </c>
      <c r="D1117" s="6" t="s">
        <v>137</v>
      </c>
      <c r="E1117" s="10">
        <v>6</v>
      </c>
      <c r="F1117">
        <v>17.5159724820228</v>
      </c>
      <c r="G1117">
        <v>7.8339506443015203</v>
      </c>
      <c r="H1117" t="s">
        <v>92</v>
      </c>
      <c r="I1117" t="s">
        <v>266</v>
      </c>
      <c r="J1117" t="s">
        <v>267</v>
      </c>
      <c r="K1117" t="s">
        <v>1452</v>
      </c>
      <c r="L1117">
        <v>294</v>
      </c>
      <c r="M1117" t="s">
        <v>1798</v>
      </c>
      <c r="N1117">
        <v>300</v>
      </c>
      <c r="O1117" t="s">
        <v>1530</v>
      </c>
      <c r="P1117" s="1" t="s">
        <v>528</v>
      </c>
      <c r="Q1117" s="25">
        <v>32.476754999999997</v>
      </c>
      <c r="R1117" s="25">
        <v>-106.797602</v>
      </c>
      <c r="S1117">
        <v>-1.7399</v>
      </c>
      <c r="T1117">
        <v>-38.448999999999998</v>
      </c>
      <c r="U1117">
        <v>1.7399</v>
      </c>
      <c r="V1117" t="s">
        <v>1538</v>
      </c>
      <c r="W1117" s="1" t="s">
        <v>13</v>
      </c>
      <c r="X1117" t="s">
        <v>17</v>
      </c>
      <c r="Y1117" s="1" t="s">
        <v>1630</v>
      </c>
    </row>
    <row r="1118" spans="1:25" x14ac:dyDescent="0.25">
      <c r="A1118" s="4">
        <v>1893</v>
      </c>
      <c r="B1118" s="9" t="s">
        <v>1705</v>
      </c>
      <c r="C1118" s="8" t="s">
        <v>304</v>
      </c>
      <c r="D1118" s="6" t="s">
        <v>137</v>
      </c>
      <c r="E1118" s="10">
        <v>6</v>
      </c>
      <c r="F1118">
        <v>14.7572518768054</v>
      </c>
      <c r="G1118">
        <v>8.7160106930366403</v>
      </c>
      <c r="H1118" t="s">
        <v>92</v>
      </c>
      <c r="I1118" t="s">
        <v>266</v>
      </c>
      <c r="J1118" t="s">
        <v>267</v>
      </c>
      <c r="K1118" t="s">
        <v>1452</v>
      </c>
      <c r="L1118">
        <v>294</v>
      </c>
      <c r="M1118" t="s">
        <v>1798</v>
      </c>
      <c r="N1118">
        <v>300</v>
      </c>
      <c r="O1118" t="s">
        <v>1530</v>
      </c>
      <c r="P1118" s="1" t="s">
        <v>528</v>
      </c>
      <c r="Q1118" s="25">
        <v>32.476754999999997</v>
      </c>
      <c r="R1118" s="25">
        <v>-106.797602</v>
      </c>
      <c r="S1118">
        <v>-1.7399</v>
      </c>
      <c r="T1118">
        <v>-38.448999999999998</v>
      </c>
      <c r="U1118">
        <v>1.7399</v>
      </c>
      <c r="V1118" t="s">
        <v>1538</v>
      </c>
      <c r="W1118" s="1" t="s">
        <v>13</v>
      </c>
      <c r="X1118" t="s">
        <v>17</v>
      </c>
      <c r="Y1118" s="1" t="s">
        <v>1630</v>
      </c>
    </row>
    <row r="1119" spans="1:25" x14ac:dyDescent="0.25">
      <c r="A1119" s="4">
        <v>1894</v>
      </c>
      <c r="B1119" s="9" t="s">
        <v>1706</v>
      </c>
      <c r="C1119" s="8" t="s">
        <v>304</v>
      </c>
      <c r="D1119" s="6" t="s">
        <v>130</v>
      </c>
      <c r="E1119" s="10">
        <v>6</v>
      </c>
      <c r="F1119">
        <v>31.312166461161102</v>
      </c>
      <c r="G1119">
        <v>7.1095599360480604</v>
      </c>
      <c r="H1119" t="s">
        <v>92</v>
      </c>
      <c r="I1119" t="s">
        <v>266</v>
      </c>
      <c r="J1119" t="s">
        <v>267</v>
      </c>
      <c r="K1119" t="s">
        <v>1452</v>
      </c>
      <c r="L1119">
        <v>294</v>
      </c>
      <c r="M1119" t="s">
        <v>1798</v>
      </c>
      <c r="N1119">
        <v>300</v>
      </c>
      <c r="O1119" t="s">
        <v>1530</v>
      </c>
      <c r="P1119" s="1" t="s">
        <v>528</v>
      </c>
      <c r="Q1119" s="25">
        <v>32.476754999999997</v>
      </c>
      <c r="R1119" s="25">
        <v>-106.797602</v>
      </c>
      <c r="S1119">
        <v>-1.7399</v>
      </c>
      <c r="T1119">
        <v>-38.448999999999998</v>
      </c>
      <c r="U1119">
        <v>1.7399</v>
      </c>
      <c r="V1119" t="s">
        <v>1538</v>
      </c>
      <c r="W1119" s="1" t="s">
        <v>13</v>
      </c>
      <c r="X1119" t="s">
        <v>17</v>
      </c>
      <c r="Y1119" s="1" t="s">
        <v>1630</v>
      </c>
    </row>
    <row r="1120" spans="1:25" x14ac:dyDescent="0.25">
      <c r="A1120" s="4">
        <v>1895</v>
      </c>
      <c r="B1120" s="9" t="s">
        <v>1707</v>
      </c>
      <c r="C1120" s="8" t="s">
        <v>304</v>
      </c>
      <c r="D1120" s="6" t="s">
        <v>137</v>
      </c>
      <c r="E1120" s="10">
        <v>6</v>
      </c>
      <c r="F1120">
        <v>11.215466897367699</v>
      </c>
      <c r="G1120">
        <v>5.5851673900532504</v>
      </c>
      <c r="H1120" t="s">
        <v>92</v>
      </c>
      <c r="I1120" t="s">
        <v>266</v>
      </c>
      <c r="J1120" t="s">
        <v>267</v>
      </c>
      <c r="K1120" t="s">
        <v>1452</v>
      </c>
      <c r="L1120">
        <v>294</v>
      </c>
      <c r="M1120" t="s">
        <v>1798</v>
      </c>
      <c r="N1120">
        <v>300</v>
      </c>
      <c r="O1120" t="s">
        <v>1530</v>
      </c>
      <c r="P1120" s="1" t="s">
        <v>528</v>
      </c>
      <c r="Q1120" s="25">
        <v>32.476754999999997</v>
      </c>
      <c r="R1120" s="25">
        <v>-106.797602</v>
      </c>
      <c r="S1120">
        <v>-1.7399</v>
      </c>
      <c r="T1120">
        <v>-38.448999999999998</v>
      </c>
      <c r="U1120">
        <v>1.7399</v>
      </c>
      <c r="V1120" t="s">
        <v>1538</v>
      </c>
      <c r="W1120" s="1" t="s">
        <v>13</v>
      </c>
      <c r="X1120" t="s">
        <v>17</v>
      </c>
      <c r="Y1120" s="1" t="s">
        <v>1630</v>
      </c>
    </row>
    <row r="1121" spans="1:25" x14ac:dyDescent="0.25">
      <c r="A1121" s="4">
        <v>1896</v>
      </c>
      <c r="B1121" s="9" t="s">
        <v>1708</v>
      </c>
      <c r="C1121" s="8" t="s">
        <v>304</v>
      </c>
      <c r="D1121" s="6" t="s">
        <v>137</v>
      </c>
      <c r="E1121" s="10">
        <v>6</v>
      </c>
      <c r="F1121">
        <v>11.277979221227699</v>
      </c>
      <c r="G1121">
        <v>3.3841279301539799</v>
      </c>
      <c r="H1121" t="s">
        <v>92</v>
      </c>
      <c r="I1121" t="s">
        <v>266</v>
      </c>
      <c r="J1121" t="s">
        <v>267</v>
      </c>
      <c r="K1121" t="s">
        <v>1452</v>
      </c>
      <c r="L1121">
        <v>294</v>
      </c>
      <c r="M1121" t="s">
        <v>1798</v>
      </c>
      <c r="N1121">
        <v>300</v>
      </c>
      <c r="O1121" t="s">
        <v>1530</v>
      </c>
      <c r="P1121" s="1" t="s">
        <v>528</v>
      </c>
      <c r="Q1121" s="25">
        <v>32.476754999999997</v>
      </c>
      <c r="R1121" s="25">
        <v>-106.797602</v>
      </c>
      <c r="S1121">
        <v>-1.7399</v>
      </c>
      <c r="T1121">
        <v>-38.448999999999998</v>
      </c>
      <c r="U1121">
        <v>1.7399</v>
      </c>
      <c r="V1121" t="s">
        <v>1538</v>
      </c>
      <c r="W1121" s="1" t="s">
        <v>13</v>
      </c>
      <c r="X1121" t="s">
        <v>17</v>
      </c>
      <c r="Y1121" s="1" t="s">
        <v>1630</v>
      </c>
    </row>
    <row r="1122" spans="1:25" x14ac:dyDescent="0.25">
      <c r="A1122" s="4">
        <v>1897</v>
      </c>
      <c r="B1122" s="9" t="s">
        <v>1709</v>
      </c>
      <c r="C1122" s="8" t="s">
        <v>304</v>
      </c>
      <c r="D1122" s="6" t="s">
        <v>534</v>
      </c>
      <c r="E1122" s="10">
        <v>6</v>
      </c>
      <c r="F1122">
        <v>13.7354259907884</v>
      </c>
      <c r="G1122">
        <v>4.8277046882646504</v>
      </c>
      <c r="H1122" t="s">
        <v>92</v>
      </c>
      <c r="I1122" t="s">
        <v>266</v>
      </c>
      <c r="J1122" t="s">
        <v>267</v>
      </c>
      <c r="K1122" t="s">
        <v>1452</v>
      </c>
      <c r="L1122">
        <v>294</v>
      </c>
      <c r="M1122" t="s">
        <v>1798</v>
      </c>
      <c r="N1122">
        <v>300</v>
      </c>
      <c r="O1122" t="s">
        <v>1530</v>
      </c>
      <c r="P1122" s="1" t="s">
        <v>528</v>
      </c>
      <c r="Q1122" s="25">
        <v>32.476754999999997</v>
      </c>
      <c r="R1122" s="25">
        <v>-106.797602</v>
      </c>
      <c r="S1122">
        <v>-1.7399</v>
      </c>
      <c r="T1122">
        <v>-38.448999999999998</v>
      </c>
      <c r="U1122">
        <v>1.7399</v>
      </c>
      <c r="V1122" t="s">
        <v>1538</v>
      </c>
      <c r="W1122" s="1" t="s">
        <v>13</v>
      </c>
      <c r="X1122" t="s">
        <v>17</v>
      </c>
      <c r="Y1122" s="1" t="s">
        <v>1630</v>
      </c>
    </row>
    <row r="1123" spans="1:25" x14ac:dyDescent="0.25">
      <c r="A1123" s="4">
        <v>1898</v>
      </c>
      <c r="B1123" s="9" t="s">
        <v>1710</v>
      </c>
      <c r="C1123" s="8" t="s">
        <v>304</v>
      </c>
      <c r="D1123" s="6" t="s">
        <v>137</v>
      </c>
      <c r="E1123" s="10">
        <v>6</v>
      </c>
      <c r="F1123">
        <v>10.9253192680975</v>
      </c>
      <c r="G1123">
        <v>5.2993235627689002</v>
      </c>
      <c r="H1123" t="s">
        <v>92</v>
      </c>
      <c r="I1123" t="s">
        <v>266</v>
      </c>
      <c r="J1123" t="s">
        <v>267</v>
      </c>
      <c r="K1123" t="s">
        <v>1452</v>
      </c>
      <c r="L1123">
        <v>294</v>
      </c>
      <c r="M1123" t="s">
        <v>1798</v>
      </c>
      <c r="N1123">
        <v>300</v>
      </c>
      <c r="O1123" t="s">
        <v>1530</v>
      </c>
      <c r="P1123" s="1" t="s">
        <v>528</v>
      </c>
      <c r="Q1123" s="25">
        <v>32.476754999999997</v>
      </c>
      <c r="R1123" s="25">
        <v>-106.797602</v>
      </c>
      <c r="S1123">
        <v>-1.7399</v>
      </c>
      <c r="T1123">
        <v>-38.448999999999998</v>
      </c>
      <c r="U1123">
        <v>1.7399</v>
      </c>
      <c r="V1123" t="s">
        <v>1538</v>
      </c>
      <c r="W1123" s="1" t="s">
        <v>13</v>
      </c>
      <c r="X1123" t="s">
        <v>17</v>
      </c>
      <c r="Y1123" s="1" t="s">
        <v>1630</v>
      </c>
    </row>
    <row r="1124" spans="1:25" x14ac:dyDescent="0.25">
      <c r="A1124" s="4">
        <v>1899</v>
      </c>
      <c r="B1124" s="9" t="s">
        <v>1711</v>
      </c>
      <c r="C1124" s="8" t="s">
        <v>304</v>
      </c>
      <c r="D1124" s="6" t="s">
        <v>137</v>
      </c>
      <c r="E1124" s="10">
        <v>6</v>
      </c>
      <c r="F1124">
        <v>15.8082718177925</v>
      </c>
      <c r="G1124">
        <v>8.9012139909421997</v>
      </c>
      <c r="H1124" t="s">
        <v>92</v>
      </c>
      <c r="I1124" t="s">
        <v>266</v>
      </c>
      <c r="J1124" t="s">
        <v>267</v>
      </c>
      <c r="K1124" t="s">
        <v>1452</v>
      </c>
      <c r="L1124">
        <v>294</v>
      </c>
      <c r="M1124" t="s">
        <v>1798</v>
      </c>
      <c r="N1124">
        <v>300</v>
      </c>
      <c r="O1124" t="s">
        <v>1530</v>
      </c>
      <c r="P1124" s="1" t="s">
        <v>528</v>
      </c>
      <c r="Q1124" s="25">
        <v>32.476754999999997</v>
      </c>
      <c r="R1124" s="25">
        <v>-106.797602</v>
      </c>
      <c r="S1124">
        <v>-1.7399</v>
      </c>
      <c r="T1124">
        <v>-38.448999999999998</v>
      </c>
      <c r="U1124">
        <v>1.7399</v>
      </c>
      <c r="V1124" t="s">
        <v>1538</v>
      </c>
      <c r="W1124" s="1" t="s">
        <v>13</v>
      </c>
      <c r="X1124" t="s">
        <v>17</v>
      </c>
      <c r="Y1124" s="1" t="s">
        <v>1630</v>
      </c>
    </row>
    <row r="1125" spans="1:25" x14ac:dyDescent="0.25">
      <c r="A1125" s="4">
        <v>1900</v>
      </c>
      <c r="B1125" s="9" t="s">
        <v>1712</v>
      </c>
      <c r="C1125" s="8" t="s">
        <v>304</v>
      </c>
      <c r="D1125" s="6" t="s">
        <v>137</v>
      </c>
      <c r="E1125" s="10">
        <v>6</v>
      </c>
      <c r="F1125">
        <v>13.1179555552908</v>
      </c>
      <c r="G1125">
        <v>6.6150137985158404</v>
      </c>
      <c r="H1125" t="s">
        <v>92</v>
      </c>
      <c r="I1125" t="s">
        <v>266</v>
      </c>
      <c r="J1125" t="s">
        <v>267</v>
      </c>
      <c r="K1125" t="s">
        <v>1452</v>
      </c>
      <c r="L1125">
        <v>294</v>
      </c>
      <c r="M1125" t="s">
        <v>1798</v>
      </c>
      <c r="N1125">
        <v>300</v>
      </c>
      <c r="O1125" t="s">
        <v>1530</v>
      </c>
      <c r="P1125" s="1" t="s">
        <v>528</v>
      </c>
      <c r="Q1125" s="25">
        <v>32.476754999999997</v>
      </c>
      <c r="R1125" s="25">
        <v>-106.797602</v>
      </c>
      <c r="S1125">
        <v>-1.7399</v>
      </c>
      <c r="T1125">
        <v>-38.448999999999998</v>
      </c>
      <c r="U1125">
        <v>1.7399</v>
      </c>
      <c r="V1125" t="s">
        <v>1538</v>
      </c>
      <c r="W1125" s="1" t="s">
        <v>13</v>
      </c>
      <c r="X1125" t="s">
        <v>17</v>
      </c>
      <c r="Y1125" s="1" t="s">
        <v>1630</v>
      </c>
    </row>
    <row r="1126" spans="1:25" x14ac:dyDescent="0.25">
      <c r="A1126" s="4">
        <v>1901</v>
      </c>
      <c r="B1126" s="9" t="s">
        <v>1713</v>
      </c>
      <c r="C1126" s="8" t="s">
        <v>304</v>
      </c>
      <c r="D1126" s="6" t="s">
        <v>137</v>
      </c>
      <c r="E1126" s="10">
        <v>6</v>
      </c>
      <c r="F1126">
        <v>12.2867467066462</v>
      </c>
      <c r="G1126">
        <v>4.7957418858774297</v>
      </c>
      <c r="H1126" t="s">
        <v>92</v>
      </c>
      <c r="I1126" t="s">
        <v>266</v>
      </c>
      <c r="J1126" t="s">
        <v>267</v>
      </c>
      <c r="K1126" t="s">
        <v>1452</v>
      </c>
      <c r="L1126">
        <v>294</v>
      </c>
      <c r="M1126" t="s">
        <v>1798</v>
      </c>
      <c r="N1126">
        <v>300</v>
      </c>
      <c r="O1126" t="s">
        <v>1530</v>
      </c>
      <c r="P1126" s="1" t="s">
        <v>528</v>
      </c>
      <c r="Q1126" s="25">
        <v>32.476754999999997</v>
      </c>
      <c r="R1126" s="25">
        <v>-106.797602</v>
      </c>
      <c r="S1126">
        <v>-1.7399</v>
      </c>
      <c r="T1126">
        <v>-38.448999999999998</v>
      </c>
      <c r="U1126">
        <v>1.7399</v>
      </c>
      <c r="V1126" t="s">
        <v>1538</v>
      </c>
      <c r="W1126" s="1" t="s">
        <v>13</v>
      </c>
      <c r="X1126" t="s">
        <v>17</v>
      </c>
      <c r="Y1126" s="1" t="s">
        <v>1630</v>
      </c>
    </row>
    <row r="1127" spans="1:25" x14ac:dyDescent="0.25">
      <c r="A1127" s="4">
        <v>1902</v>
      </c>
      <c r="B1127" s="9" t="s">
        <v>1714</v>
      </c>
      <c r="C1127" s="8" t="s">
        <v>304</v>
      </c>
      <c r="D1127" s="6" t="s">
        <v>96</v>
      </c>
      <c r="E1127" s="10">
        <v>6</v>
      </c>
      <c r="F1127">
        <v>13.535691787365201</v>
      </c>
      <c r="G1127">
        <v>4.47736507465107</v>
      </c>
      <c r="H1127" t="s">
        <v>92</v>
      </c>
      <c r="I1127" t="s">
        <v>266</v>
      </c>
      <c r="J1127" t="s">
        <v>267</v>
      </c>
      <c r="K1127" t="s">
        <v>1452</v>
      </c>
      <c r="L1127">
        <v>294</v>
      </c>
      <c r="M1127" t="s">
        <v>1798</v>
      </c>
      <c r="N1127">
        <v>300</v>
      </c>
      <c r="O1127" t="s">
        <v>1530</v>
      </c>
      <c r="P1127" s="1" t="s">
        <v>528</v>
      </c>
      <c r="Q1127" s="25">
        <v>32.476754999999997</v>
      </c>
      <c r="R1127" s="25">
        <v>-106.797602</v>
      </c>
      <c r="S1127">
        <v>-1.7399</v>
      </c>
      <c r="T1127">
        <v>-38.448999999999998</v>
      </c>
      <c r="U1127">
        <v>1.7399</v>
      </c>
      <c r="V1127" t="s">
        <v>1538</v>
      </c>
      <c r="W1127" s="1" t="s">
        <v>13</v>
      </c>
      <c r="X1127" t="s">
        <v>17</v>
      </c>
      <c r="Y1127" s="1" t="s">
        <v>1630</v>
      </c>
    </row>
    <row r="1128" spans="1:25" x14ac:dyDescent="0.25">
      <c r="A1128" s="4">
        <v>1903</v>
      </c>
      <c r="B1128" s="9" t="s">
        <v>1715</v>
      </c>
      <c r="C1128" s="8" t="s">
        <v>304</v>
      </c>
      <c r="D1128" s="6" t="s">
        <v>137</v>
      </c>
      <c r="E1128" s="10">
        <v>6</v>
      </c>
      <c r="F1128">
        <v>13.838492453713</v>
      </c>
      <c r="G1128">
        <v>5.6279543144027402</v>
      </c>
      <c r="H1128" t="s">
        <v>92</v>
      </c>
      <c r="I1128" t="s">
        <v>266</v>
      </c>
      <c r="J1128" t="s">
        <v>267</v>
      </c>
      <c r="K1128" t="s">
        <v>1452</v>
      </c>
      <c r="L1128">
        <v>294</v>
      </c>
      <c r="M1128" t="s">
        <v>1798</v>
      </c>
      <c r="N1128">
        <v>300</v>
      </c>
      <c r="O1128" t="s">
        <v>1530</v>
      </c>
      <c r="P1128" s="1" t="s">
        <v>528</v>
      </c>
      <c r="Q1128" s="25">
        <v>32.476754999999997</v>
      </c>
      <c r="R1128" s="25">
        <v>-106.797602</v>
      </c>
      <c r="S1128">
        <v>-1.7399</v>
      </c>
      <c r="T1128">
        <v>-38.448999999999998</v>
      </c>
      <c r="U1128">
        <v>1.7399</v>
      </c>
      <c r="V1128" t="s">
        <v>1538</v>
      </c>
      <c r="W1128" s="1" t="s">
        <v>13</v>
      </c>
      <c r="X1128" t="s">
        <v>17</v>
      </c>
      <c r="Y1128" s="1" t="s">
        <v>1630</v>
      </c>
    </row>
    <row r="1129" spans="1:25" x14ac:dyDescent="0.25">
      <c r="A1129" s="4">
        <v>1904</v>
      </c>
      <c r="B1129" s="9" t="s">
        <v>1716</v>
      </c>
      <c r="C1129" s="8" t="s">
        <v>304</v>
      </c>
      <c r="D1129" s="6" t="s">
        <v>137</v>
      </c>
      <c r="E1129" s="10">
        <v>6</v>
      </c>
      <c r="F1129">
        <v>10.7149881984817</v>
      </c>
      <c r="G1129">
        <v>5.7473609617375301</v>
      </c>
      <c r="H1129" t="s">
        <v>92</v>
      </c>
      <c r="I1129" t="s">
        <v>266</v>
      </c>
      <c r="J1129" t="s">
        <v>267</v>
      </c>
      <c r="K1129" t="s">
        <v>1452</v>
      </c>
      <c r="L1129">
        <v>294</v>
      </c>
      <c r="M1129" t="s">
        <v>1798</v>
      </c>
      <c r="N1129">
        <v>300</v>
      </c>
      <c r="O1129" t="s">
        <v>1530</v>
      </c>
      <c r="P1129" s="1" t="s">
        <v>528</v>
      </c>
      <c r="Q1129" s="25">
        <v>32.476754999999997</v>
      </c>
      <c r="R1129" s="25">
        <v>-106.797602</v>
      </c>
      <c r="S1129">
        <v>-1.7399</v>
      </c>
      <c r="T1129">
        <v>-38.448999999999998</v>
      </c>
      <c r="U1129">
        <v>1.7399</v>
      </c>
      <c r="V1129" t="s">
        <v>1538</v>
      </c>
      <c r="W1129" s="1" t="s">
        <v>13</v>
      </c>
      <c r="X1129" t="s">
        <v>17</v>
      </c>
      <c r="Y1129" s="1" t="s">
        <v>1630</v>
      </c>
    </row>
    <row r="1130" spans="1:25" x14ac:dyDescent="0.25">
      <c r="A1130" s="4">
        <v>1906</v>
      </c>
      <c r="B1130" s="9" t="s">
        <v>1717</v>
      </c>
      <c r="C1130" s="8" t="s">
        <v>304</v>
      </c>
      <c r="D1130" s="6" t="s">
        <v>534</v>
      </c>
      <c r="E1130" s="10">
        <v>6</v>
      </c>
      <c r="F1130">
        <v>10.9063937410828</v>
      </c>
      <c r="G1130">
        <v>3.6817356642147501</v>
      </c>
      <c r="H1130" t="s">
        <v>92</v>
      </c>
      <c r="I1130" t="s">
        <v>266</v>
      </c>
      <c r="J1130" t="s">
        <v>267</v>
      </c>
      <c r="K1130" t="s">
        <v>1452</v>
      </c>
      <c r="L1130">
        <v>294</v>
      </c>
      <c r="M1130" t="s">
        <v>1798</v>
      </c>
      <c r="N1130">
        <v>300</v>
      </c>
      <c r="O1130" t="s">
        <v>1530</v>
      </c>
      <c r="P1130" s="1" t="s">
        <v>528</v>
      </c>
      <c r="Q1130" s="25">
        <v>32.476754999999997</v>
      </c>
      <c r="R1130" s="25">
        <v>-106.797602</v>
      </c>
      <c r="S1130">
        <v>-1.7399</v>
      </c>
      <c r="T1130">
        <v>-38.448999999999998</v>
      </c>
      <c r="U1130">
        <v>1.7399</v>
      </c>
      <c r="V1130" t="s">
        <v>1538</v>
      </c>
      <c r="W1130" s="1" t="s">
        <v>13</v>
      </c>
      <c r="X1130" t="s">
        <v>17</v>
      </c>
      <c r="Y1130" s="1" t="s">
        <v>1630</v>
      </c>
    </row>
    <row r="1131" spans="1:25" x14ac:dyDescent="0.25">
      <c r="A1131" s="4">
        <v>1907</v>
      </c>
      <c r="B1131" s="9" t="s">
        <v>536</v>
      </c>
      <c r="C1131" s="8" t="s">
        <v>304</v>
      </c>
      <c r="D1131" s="6" t="s">
        <v>137</v>
      </c>
      <c r="E1131" s="10">
        <v>6</v>
      </c>
      <c r="F1131">
        <v>6.53645630473636</v>
      </c>
      <c r="G1131">
        <v>3.1337451455886902</v>
      </c>
      <c r="H1131" t="s">
        <v>92</v>
      </c>
      <c r="I1131" t="s">
        <v>266</v>
      </c>
      <c r="J1131" t="s">
        <v>267</v>
      </c>
      <c r="K1131" t="s">
        <v>1452</v>
      </c>
      <c r="L1131">
        <v>294</v>
      </c>
      <c r="M1131" t="s">
        <v>1798</v>
      </c>
      <c r="N1131">
        <v>300</v>
      </c>
      <c r="O1131" t="s">
        <v>1530</v>
      </c>
      <c r="P1131" s="1" t="s">
        <v>528</v>
      </c>
      <c r="Q1131" s="25">
        <v>32.476754999999997</v>
      </c>
      <c r="R1131" s="25">
        <v>-106.797602</v>
      </c>
      <c r="S1131">
        <v>-1.7399</v>
      </c>
      <c r="T1131">
        <v>-38.448999999999998</v>
      </c>
      <c r="U1131">
        <v>1.7399</v>
      </c>
      <c r="V1131" t="s">
        <v>1538</v>
      </c>
      <c r="W1131" s="1" t="s">
        <v>13</v>
      </c>
      <c r="X1131" t="s">
        <v>17</v>
      </c>
      <c r="Y1131" s="1" t="s">
        <v>1630</v>
      </c>
    </row>
    <row r="1132" spans="1:25" s="25" customFormat="1" x14ac:dyDescent="0.25">
      <c r="A1132" s="4">
        <v>1908</v>
      </c>
      <c r="B1132" s="9" t="s">
        <v>1718</v>
      </c>
      <c r="C1132" s="8" t="s">
        <v>304</v>
      </c>
      <c r="D1132" s="6" t="s">
        <v>137</v>
      </c>
      <c r="E1132" s="10">
        <v>6</v>
      </c>
      <c r="F1132">
        <v>13.652167461964799</v>
      </c>
      <c r="G1132">
        <v>3.9794140806342302</v>
      </c>
      <c r="H1132" t="s">
        <v>92</v>
      </c>
      <c r="I1132" t="s">
        <v>266</v>
      </c>
      <c r="J1132" t="s">
        <v>267</v>
      </c>
      <c r="K1132" t="s">
        <v>1452</v>
      </c>
      <c r="L1132">
        <v>294</v>
      </c>
      <c r="M1132" t="s">
        <v>1798</v>
      </c>
      <c r="N1132">
        <v>300</v>
      </c>
      <c r="O1132" t="s">
        <v>1530</v>
      </c>
      <c r="P1132" s="1" t="s">
        <v>528</v>
      </c>
      <c r="Q1132" s="25">
        <v>32.476754999999997</v>
      </c>
      <c r="R1132" s="25">
        <v>-106.797602</v>
      </c>
      <c r="S1132">
        <v>-1.7399</v>
      </c>
      <c r="T1132">
        <v>-38.448999999999998</v>
      </c>
      <c r="U1132">
        <v>1.7399</v>
      </c>
      <c r="V1132" t="s">
        <v>1538</v>
      </c>
      <c r="W1132" s="1" t="s">
        <v>13</v>
      </c>
      <c r="X1132" t="s">
        <v>17</v>
      </c>
      <c r="Y1132" s="1" t="s">
        <v>1630</v>
      </c>
    </row>
    <row r="1133" spans="1:25" x14ac:dyDescent="0.25">
      <c r="A1133" s="4">
        <v>1909</v>
      </c>
      <c r="B1133" s="9" t="s">
        <v>1719</v>
      </c>
      <c r="C1133" s="8" t="s">
        <v>304</v>
      </c>
      <c r="D1133" s="6" t="s">
        <v>721</v>
      </c>
      <c r="E1133" s="10">
        <v>6</v>
      </c>
      <c r="F1133">
        <v>11.322213399491099</v>
      </c>
      <c r="G1133">
        <v>1.2222003858611401</v>
      </c>
      <c r="H1133" t="s">
        <v>92</v>
      </c>
      <c r="I1133" t="s">
        <v>266</v>
      </c>
      <c r="J1133" t="s">
        <v>267</v>
      </c>
      <c r="K1133" t="s">
        <v>1452</v>
      </c>
      <c r="L1133">
        <v>294</v>
      </c>
      <c r="M1133" t="s">
        <v>1798</v>
      </c>
      <c r="N1133">
        <v>300</v>
      </c>
      <c r="O1133" t="s">
        <v>1530</v>
      </c>
      <c r="P1133" s="1" t="s">
        <v>528</v>
      </c>
      <c r="Q1133" s="25">
        <v>32.476754999999997</v>
      </c>
      <c r="R1133" s="25">
        <v>-106.797602</v>
      </c>
      <c r="S1133">
        <v>-1.7399</v>
      </c>
      <c r="T1133">
        <v>-38.448999999999998</v>
      </c>
      <c r="U1133">
        <v>1.7399</v>
      </c>
      <c r="V1133" t="s">
        <v>1538</v>
      </c>
      <c r="W1133" s="1" t="s">
        <v>13</v>
      </c>
      <c r="X1133" t="s">
        <v>17</v>
      </c>
      <c r="Y1133" s="1" t="s">
        <v>1630</v>
      </c>
    </row>
    <row r="1134" spans="1:25" x14ac:dyDescent="0.25">
      <c r="A1134" s="4">
        <v>1910</v>
      </c>
      <c r="B1134" s="9" t="s">
        <v>1720</v>
      </c>
      <c r="C1134" s="8" t="s">
        <v>304</v>
      </c>
      <c r="D1134" s="6" t="s">
        <v>137</v>
      </c>
      <c r="E1134" s="10">
        <v>6</v>
      </c>
      <c r="F1134">
        <v>11.123850404234</v>
      </c>
      <c r="G1134">
        <v>6.1787407893482298</v>
      </c>
      <c r="H1134" t="s">
        <v>92</v>
      </c>
      <c r="I1134" t="s">
        <v>266</v>
      </c>
      <c r="J1134" t="s">
        <v>267</v>
      </c>
      <c r="K1134" t="s">
        <v>1452</v>
      </c>
      <c r="L1134">
        <v>294</v>
      </c>
      <c r="M1134" t="s">
        <v>1798</v>
      </c>
      <c r="N1134">
        <v>300</v>
      </c>
      <c r="O1134" t="s">
        <v>1530</v>
      </c>
      <c r="P1134" s="1" t="s">
        <v>528</v>
      </c>
      <c r="Q1134" s="25">
        <v>32.476754999999997</v>
      </c>
      <c r="R1134" s="25">
        <v>-106.797602</v>
      </c>
      <c r="S1134">
        <v>-1.7399</v>
      </c>
      <c r="T1134">
        <v>-38.448999999999998</v>
      </c>
      <c r="U1134">
        <v>1.7399</v>
      </c>
      <c r="V1134" t="s">
        <v>1538</v>
      </c>
      <c r="W1134" s="1" t="s">
        <v>13</v>
      </c>
      <c r="X1134" t="s">
        <v>17</v>
      </c>
      <c r="Y1134" s="1" t="s">
        <v>1630</v>
      </c>
    </row>
    <row r="1135" spans="1:25" x14ac:dyDescent="0.25">
      <c r="A1135" s="4">
        <v>1911</v>
      </c>
      <c r="B1135" s="9" t="s">
        <v>1662</v>
      </c>
      <c r="C1135" s="8" t="s">
        <v>304</v>
      </c>
      <c r="D1135" s="6" t="s">
        <v>137</v>
      </c>
      <c r="E1135" s="10">
        <v>6</v>
      </c>
      <c r="F1135">
        <v>10.5088033021012</v>
      </c>
      <c r="G1135">
        <v>4.9206906151859702</v>
      </c>
      <c r="H1135" t="s">
        <v>92</v>
      </c>
      <c r="I1135" t="s">
        <v>266</v>
      </c>
      <c r="J1135" t="s">
        <v>267</v>
      </c>
      <c r="K1135" t="s">
        <v>1452</v>
      </c>
      <c r="L1135">
        <v>294</v>
      </c>
      <c r="M1135" t="s">
        <v>1798</v>
      </c>
      <c r="N1135">
        <v>300</v>
      </c>
      <c r="O1135" t="s">
        <v>1530</v>
      </c>
      <c r="P1135" s="1" t="s">
        <v>528</v>
      </c>
      <c r="Q1135" s="25">
        <v>32.476754999999997</v>
      </c>
      <c r="R1135" s="25">
        <v>-106.797602</v>
      </c>
      <c r="S1135">
        <v>-1.7399</v>
      </c>
      <c r="T1135">
        <v>-38.448999999999998</v>
      </c>
      <c r="U1135">
        <v>1.7399</v>
      </c>
      <c r="V1135" t="s">
        <v>1538</v>
      </c>
      <c r="W1135" s="1" t="s">
        <v>13</v>
      </c>
      <c r="X1135" t="s">
        <v>17</v>
      </c>
      <c r="Y1135" s="1" t="s">
        <v>1630</v>
      </c>
    </row>
    <row r="1136" spans="1:25" x14ac:dyDescent="0.25">
      <c r="A1136" s="4">
        <v>1912</v>
      </c>
      <c r="B1136" s="9" t="s">
        <v>1721</v>
      </c>
      <c r="C1136" s="8" t="s">
        <v>304</v>
      </c>
      <c r="D1136" s="6" t="s">
        <v>137</v>
      </c>
      <c r="E1136" s="10">
        <v>6</v>
      </c>
      <c r="F1136">
        <v>13.0449618044816</v>
      </c>
      <c r="G1136">
        <v>5.3406300229861996</v>
      </c>
      <c r="H1136" t="s">
        <v>92</v>
      </c>
      <c r="I1136" t="s">
        <v>266</v>
      </c>
      <c r="J1136" t="s">
        <v>267</v>
      </c>
      <c r="K1136" t="s">
        <v>1452</v>
      </c>
      <c r="L1136">
        <v>294</v>
      </c>
      <c r="M1136" t="s">
        <v>1798</v>
      </c>
      <c r="N1136">
        <v>300</v>
      </c>
      <c r="O1136" t="s">
        <v>1530</v>
      </c>
      <c r="P1136" s="1" t="s">
        <v>528</v>
      </c>
      <c r="Q1136" s="25">
        <v>32.476754999999997</v>
      </c>
      <c r="R1136" s="25">
        <v>-106.797602</v>
      </c>
      <c r="S1136">
        <v>-1.7399</v>
      </c>
      <c r="T1136">
        <v>-38.448999999999998</v>
      </c>
      <c r="U1136">
        <v>1.7399</v>
      </c>
      <c r="V1136" t="s">
        <v>1538</v>
      </c>
      <c r="W1136" s="1" t="s">
        <v>13</v>
      </c>
      <c r="X1136" t="s">
        <v>17</v>
      </c>
      <c r="Y1136" s="1" t="s">
        <v>1630</v>
      </c>
    </row>
    <row r="1137" spans="1:25" x14ac:dyDescent="0.25">
      <c r="A1137" s="4">
        <v>1913</v>
      </c>
      <c r="B1137" s="9" t="s">
        <v>1722</v>
      </c>
      <c r="C1137" s="8" t="s">
        <v>304</v>
      </c>
      <c r="D1137" s="6" t="s">
        <v>137</v>
      </c>
      <c r="E1137" s="10">
        <v>6</v>
      </c>
      <c r="F1137">
        <v>11.6019244550188</v>
      </c>
      <c r="G1137">
        <v>5.0699339233481204</v>
      </c>
      <c r="H1137" t="s">
        <v>92</v>
      </c>
      <c r="I1137" t="s">
        <v>266</v>
      </c>
      <c r="J1137" t="s">
        <v>267</v>
      </c>
      <c r="K1137" t="s">
        <v>1452</v>
      </c>
      <c r="L1137">
        <v>294</v>
      </c>
      <c r="M1137" t="s">
        <v>1798</v>
      </c>
      <c r="N1137">
        <v>300</v>
      </c>
      <c r="O1137" t="s">
        <v>1530</v>
      </c>
      <c r="P1137" s="1" t="s">
        <v>528</v>
      </c>
      <c r="Q1137" s="25">
        <v>32.476754999999997</v>
      </c>
      <c r="R1137" s="25">
        <v>-106.797602</v>
      </c>
      <c r="S1137">
        <v>-1.7399</v>
      </c>
      <c r="T1137">
        <v>-38.448999999999998</v>
      </c>
      <c r="U1137">
        <v>1.7399</v>
      </c>
      <c r="V1137" t="s">
        <v>1538</v>
      </c>
      <c r="W1137" s="1" t="s">
        <v>13</v>
      </c>
      <c r="X1137" t="s">
        <v>17</v>
      </c>
      <c r="Y1137" s="1" t="s">
        <v>1630</v>
      </c>
    </row>
    <row r="1138" spans="1:25" x14ac:dyDescent="0.25">
      <c r="A1138" s="4">
        <v>1914</v>
      </c>
      <c r="B1138" s="9" t="s">
        <v>1723</v>
      </c>
      <c r="C1138" s="8" t="s">
        <v>304</v>
      </c>
      <c r="D1138" s="6" t="s">
        <v>137</v>
      </c>
      <c r="E1138" s="10">
        <v>6</v>
      </c>
      <c r="F1138">
        <v>12.0828562130901</v>
      </c>
      <c r="G1138">
        <v>5.8122730428126603</v>
      </c>
      <c r="H1138" t="s">
        <v>92</v>
      </c>
      <c r="I1138" t="s">
        <v>266</v>
      </c>
      <c r="J1138" t="s">
        <v>267</v>
      </c>
      <c r="K1138" t="s">
        <v>1452</v>
      </c>
      <c r="L1138">
        <v>294</v>
      </c>
      <c r="M1138" t="s">
        <v>1798</v>
      </c>
      <c r="N1138">
        <v>300</v>
      </c>
      <c r="O1138" t="s">
        <v>1530</v>
      </c>
      <c r="P1138" s="1" t="s">
        <v>528</v>
      </c>
      <c r="Q1138" s="25">
        <v>32.476754999999997</v>
      </c>
      <c r="R1138" s="25">
        <v>-106.797602</v>
      </c>
      <c r="S1138">
        <v>-1.7399</v>
      </c>
      <c r="T1138">
        <v>-38.448999999999998</v>
      </c>
      <c r="U1138">
        <v>1.7399</v>
      </c>
      <c r="V1138" t="s">
        <v>1538</v>
      </c>
      <c r="W1138" s="1" t="s">
        <v>13</v>
      </c>
      <c r="X1138" t="s">
        <v>17</v>
      </c>
      <c r="Y1138" s="1" t="s">
        <v>1630</v>
      </c>
    </row>
    <row r="1139" spans="1:25" x14ac:dyDescent="0.25">
      <c r="A1139" s="4">
        <v>1915</v>
      </c>
      <c r="B1139" s="9" t="s">
        <v>1724</v>
      </c>
      <c r="C1139" s="8" t="s">
        <v>304</v>
      </c>
      <c r="D1139" s="6" t="s">
        <v>137</v>
      </c>
      <c r="E1139" s="10">
        <v>6</v>
      </c>
      <c r="F1139">
        <v>13.9230612511017</v>
      </c>
      <c r="G1139">
        <v>5.31751269398322</v>
      </c>
      <c r="H1139" t="s">
        <v>92</v>
      </c>
      <c r="I1139" t="s">
        <v>266</v>
      </c>
      <c r="J1139" t="s">
        <v>267</v>
      </c>
      <c r="K1139" t="s">
        <v>1452</v>
      </c>
      <c r="L1139">
        <v>294</v>
      </c>
      <c r="M1139" t="s">
        <v>1798</v>
      </c>
      <c r="N1139">
        <v>300</v>
      </c>
      <c r="O1139" t="s">
        <v>1530</v>
      </c>
      <c r="P1139" s="1" t="s">
        <v>528</v>
      </c>
      <c r="Q1139" s="25">
        <v>32.476754999999997</v>
      </c>
      <c r="R1139" s="25">
        <v>-106.797602</v>
      </c>
      <c r="S1139">
        <v>-1.7399</v>
      </c>
      <c r="T1139">
        <v>-38.448999999999998</v>
      </c>
      <c r="U1139">
        <v>1.7399</v>
      </c>
      <c r="V1139" t="s">
        <v>1538</v>
      </c>
      <c r="W1139" s="1" t="s">
        <v>13</v>
      </c>
      <c r="X1139" t="s">
        <v>17</v>
      </c>
      <c r="Y1139" s="1" t="s">
        <v>1630</v>
      </c>
    </row>
    <row r="1140" spans="1:25" x14ac:dyDescent="0.25">
      <c r="A1140" s="4">
        <v>1916</v>
      </c>
      <c r="B1140" s="9" t="s">
        <v>1725</v>
      </c>
      <c r="C1140" s="8" t="s">
        <v>304</v>
      </c>
      <c r="D1140" s="6" t="s">
        <v>534</v>
      </c>
      <c r="E1140" s="10">
        <v>6</v>
      </c>
      <c r="F1140">
        <v>10.4163926823816</v>
      </c>
      <c r="G1140">
        <v>3.2815399101652201</v>
      </c>
      <c r="H1140" t="s">
        <v>92</v>
      </c>
      <c r="I1140" t="s">
        <v>266</v>
      </c>
      <c r="J1140" t="s">
        <v>267</v>
      </c>
      <c r="K1140" t="s">
        <v>1452</v>
      </c>
      <c r="L1140">
        <v>294</v>
      </c>
      <c r="M1140" t="s">
        <v>1798</v>
      </c>
      <c r="N1140">
        <v>300</v>
      </c>
      <c r="O1140" t="s">
        <v>1530</v>
      </c>
      <c r="P1140" s="1" t="s">
        <v>528</v>
      </c>
      <c r="Q1140" s="25">
        <v>32.476754999999997</v>
      </c>
      <c r="R1140" s="25">
        <v>-106.797602</v>
      </c>
      <c r="S1140">
        <v>-1.7399</v>
      </c>
      <c r="T1140">
        <v>-38.448999999999998</v>
      </c>
      <c r="U1140">
        <v>1.7399</v>
      </c>
      <c r="V1140" t="s">
        <v>1538</v>
      </c>
      <c r="W1140" s="1" t="s">
        <v>13</v>
      </c>
      <c r="X1140" t="s">
        <v>17</v>
      </c>
      <c r="Y1140" s="1" t="s">
        <v>1630</v>
      </c>
    </row>
    <row r="1141" spans="1:25" x14ac:dyDescent="0.25">
      <c r="A1141" s="4">
        <v>1917</v>
      </c>
      <c r="B1141" s="9" t="s">
        <v>1726</v>
      </c>
      <c r="C1141" s="8" t="s">
        <v>304</v>
      </c>
      <c r="D1141" s="6" t="s">
        <v>534</v>
      </c>
      <c r="E1141" s="10">
        <v>6</v>
      </c>
      <c r="F1141">
        <v>10.838724890393999</v>
      </c>
      <c r="G1141">
        <v>2.3574742339736301</v>
      </c>
      <c r="H1141" t="s">
        <v>92</v>
      </c>
      <c r="I1141" t="s">
        <v>266</v>
      </c>
      <c r="J1141" t="s">
        <v>267</v>
      </c>
      <c r="K1141" t="s">
        <v>1452</v>
      </c>
      <c r="L1141">
        <v>294</v>
      </c>
      <c r="M1141" t="s">
        <v>1798</v>
      </c>
      <c r="N1141">
        <v>300</v>
      </c>
      <c r="O1141" t="s">
        <v>1530</v>
      </c>
      <c r="P1141" s="1" t="s">
        <v>528</v>
      </c>
      <c r="Q1141" s="25">
        <v>32.476754999999997</v>
      </c>
      <c r="R1141" s="25">
        <v>-106.797602</v>
      </c>
      <c r="S1141">
        <v>-1.7399</v>
      </c>
      <c r="T1141">
        <v>-38.448999999999998</v>
      </c>
      <c r="U1141">
        <v>1.7399</v>
      </c>
      <c r="V1141" t="s">
        <v>1538</v>
      </c>
      <c r="W1141" s="1" t="s">
        <v>13</v>
      </c>
      <c r="X1141" t="s">
        <v>17</v>
      </c>
      <c r="Y1141" s="1" t="s">
        <v>1630</v>
      </c>
    </row>
    <row r="1142" spans="1:25" x14ac:dyDescent="0.25">
      <c r="A1142" s="4">
        <v>1918</v>
      </c>
      <c r="B1142" s="9" t="s">
        <v>1727</v>
      </c>
      <c r="C1142" s="8" t="s">
        <v>304</v>
      </c>
      <c r="D1142" s="6" t="s">
        <v>137</v>
      </c>
      <c r="E1142" s="10">
        <v>6</v>
      </c>
      <c r="F1142">
        <v>10.598898975379299</v>
      </c>
      <c r="G1142">
        <v>4.5418131503066901</v>
      </c>
      <c r="H1142" t="s">
        <v>92</v>
      </c>
      <c r="I1142" t="s">
        <v>266</v>
      </c>
      <c r="J1142" t="s">
        <v>267</v>
      </c>
      <c r="K1142" t="s">
        <v>1452</v>
      </c>
      <c r="L1142">
        <v>294</v>
      </c>
      <c r="M1142" t="s">
        <v>1798</v>
      </c>
      <c r="N1142">
        <v>300</v>
      </c>
      <c r="O1142" t="s">
        <v>1530</v>
      </c>
      <c r="P1142" s="1" t="s">
        <v>528</v>
      </c>
      <c r="Q1142" s="25">
        <v>32.476754999999997</v>
      </c>
      <c r="R1142" s="25">
        <v>-106.797602</v>
      </c>
      <c r="S1142">
        <v>-1.7399</v>
      </c>
      <c r="T1142">
        <v>-38.448999999999998</v>
      </c>
      <c r="U1142">
        <v>1.7399</v>
      </c>
      <c r="V1142" t="s">
        <v>1538</v>
      </c>
      <c r="W1142" s="1" t="s">
        <v>13</v>
      </c>
      <c r="X1142" t="s">
        <v>17</v>
      </c>
      <c r="Y1142" s="1" t="s">
        <v>1630</v>
      </c>
    </row>
    <row r="1143" spans="1:25" x14ac:dyDescent="0.25">
      <c r="A1143" s="4">
        <v>1919</v>
      </c>
      <c r="B1143" s="9" t="s">
        <v>1728</v>
      </c>
      <c r="C1143" s="8" t="s">
        <v>304</v>
      </c>
      <c r="D1143" s="6" t="s">
        <v>137</v>
      </c>
      <c r="E1143" s="10">
        <v>6</v>
      </c>
      <c r="F1143">
        <v>7.9812035315062904</v>
      </c>
      <c r="G1143">
        <v>3.8378280654027601</v>
      </c>
      <c r="H1143" t="s">
        <v>92</v>
      </c>
      <c r="I1143" t="s">
        <v>266</v>
      </c>
      <c r="J1143" t="s">
        <v>267</v>
      </c>
      <c r="K1143" t="s">
        <v>1452</v>
      </c>
      <c r="L1143">
        <v>294</v>
      </c>
      <c r="M1143" t="s">
        <v>1798</v>
      </c>
      <c r="N1143">
        <v>300</v>
      </c>
      <c r="O1143" t="s">
        <v>1530</v>
      </c>
      <c r="P1143" s="1" t="s">
        <v>528</v>
      </c>
      <c r="Q1143" s="25">
        <v>32.476754999999997</v>
      </c>
      <c r="R1143" s="25">
        <v>-106.797602</v>
      </c>
      <c r="S1143">
        <v>-1.7399</v>
      </c>
      <c r="T1143">
        <v>-38.448999999999998</v>
      </c>
      <c r="U1143">
        <v>1.7399</v>
      </c>
      <c r="V1143" t="s">
        <v>1538</v>
      </c>
      <c r="W1143" s="1" t="s">
        <v>13</v>
      </c>
      <c r="X1143" t="s">
        <v>17</v>
      </c>
      <c r="Y1143" s="1" t="s">
        <v>1630</v>
      </c>
    </row>
    <row r="1144" spans="1:25" x14ac:dyDescent="0.25">
      <c r="A1144" s="4">
        <v>1920</v>
      </c>
      <c r="B1144" s="9" t="s">
        <v>1729</v>
      </c>
      <c r="C1144" s="8" t="s">
        <v>304</v>
      </c>
      <c r="D1144" s="6" t="s">
        <v>137</v>
      </c>
      <c r="E1144" s="10">
        <v>6</v>
      </c>
      <c r="F1144">
        <v>11.2677811346589</v>
      </c>
      <c r="G1144">
        <v>6.1927484711344301</v>
      </c>
      <c r="H1144" t="s">
        <v>92</v>
      </c>
      <c r="I1144" t="s">
        <v>266</v>
      </c>
      <c r="J1144" t="s">
        <v>267</v>
      </c>
      <c r="K1144" t="s">
        <v>1452</v>
      </c>
      <c r="L1144">
        <v>294</v>
      </c>
      <c r="M1144" t="s">
        <v>1798</v>
      </c>
      <c r="N1144">
        <v>300</v>
      </c>
      <c r="O1144" t="s">
        <v>1530</v>
      </c>
      <c r="P1144" s="1" t="s">
        <v>528</v>
      </c>
      <c r="Q1144" s="25">
        <v>32.476754999999997</v>
      </c>
      <c r="R1144" s="25">
        <v>-106.797602</v>
      </c>
      <c r="S1144">
        <v>-1.7399</v>
      </c>
      <c r="T1144">
        <v>-38.448999999999998</v>
      </c>
      <c r="U1144">
        <v>1.7399</v>
      </c>
      <c r="V1144" t="s">
        <v>1538</v>
      </c>
      <c r="W1144" s="1" t="s">
        <v>13</v>
      </c>
      <c r="X1144" t="s">
        <v>17</v>
      </c>
      <c r="Y1144" s="1" t="s">
        <v>1630</v>
      </c>
    </row>
    <row r="1145" spans="1:25" x14ac:dyDescent="0.25">
      <c r="A1145" s="4">
        <v>1921</v>
      </c>
      <c r="B1145" s="9" t="s">
        <v>1730</v>
      </c>
      <c r="C1145" s="8" t="s">
        <v>304</v>
      </c>
      <c r="D1145" s="6" t="s">
        <v>534</v>
      </c>
      <c r="E1145" s="10">
        <v>6</v>
      </c>
      <c r="F1145">
        <v>13.8256280597301</v>
      </c>
      <c r="G1145">
        <v>7.5321876001098902</v>
      </c>
      <c r="H1145" t="s">
        <v>92</v>
      </c>
      <c r="I1145" t="s">
        <v>266</v>
      </c>
      <c r="J1145" t="s">
        <v>267</v>
      </c>
      <c r="K1145" t="s">
        <v>1452</v>
      </c>
      <c r="L1145">
        <v>294</v>
      </c>
      <c r="M1145" t="s">
        <v>1798</v>
      </c>
      <c r="N1145">
        <v>300</v>
      </c>
      <c r="O1145" t="s">
        <v>1530</v>
      </c>
      <c r="P1145" s="1" t="s">
        <v>528</v>
      </c>
      <c r="Q1145" s="25">
        <v>32.476754999999997</v>
      </c>
      <c r="R1145" s="25">
        <v>-106.797602</v>
      </c>
      <c r="S1145">
        <v>-1.7399</v>
      </c>
      <c r="T1145">
        <v>-38.448999999999998</v>
      </c>
      <c r="U1145">
        <v>1.7399</v>
      </c>
      <c r="V1145" t="s">
        <v>1538</v>
      </c>
      <c r="W1145" s="1" t="s">
        <v>13</v>
      </c>
      <c r="X1145" t="s">
        <v>17</v>
      </c>
      <c r="Y1145" s="1" t="s">
        <v>1630</v>
      </c>
    </row>
    <row r="1146" spans="1:25" x14ac:dyDescent="0.25">
      <c r="A1146" s="4">
        <v>1922</v>
      </c>
      <c r="B1146" s="9" t="s">
        <v>1731</v>
      </c>
      <c r="C1146" s="8" t="s">
        <v>304</v>
      </c>
      <c r="D1146" s="6" t="s">
        <v>534</v>
      </c>
      <c r="E1146" s="10">
        <v>6</v>
      </c>
      <c r="F1146">
        <v>11.2686876197105</v>
      </c>
      <c r="G1146">
        <v>5.1169403020334103</v>
      </c>
      <c r="H1146" t="s">
        <v>92</v>
      </c>
      <c r="I1146" t="s">
        <v>266</v>
      </c>
      <c r="J1146" t="s">
        <v>267</v>
      </c>
      <c r="K1146" t="s">
        <v>1452</v>
      </c>
      <c r="L1146">
        <v>294</v>
      </c>
      <c r="M1146" t="s">
        <v>1798</v>
      </c>
      <c r="N1146">
        <v>300</v>
      </c>
      <c r="O1146" t="s">
        <v>1530</v>
      </c>
      <c r="P1146" s="1" t="s">
        <v>528</v>
      </c>
      <c r="Q1146" s="25">
        <v>32.476754999999997</v>
      </c>
      <c r="R1146" s="25">
        <v>-106.797602</v>
      </c>
      <c r="S1146">
        <v>-1.7399</v>
      </c>
      <c r="T1146">
        <v>-38.448999999999998</v>
      </c>
      <c r="U1146">
        <v>1.7399</v>
      </c>
      <c r="V1146" t="s">
        <v>1538</v>
      </c>
      <c r="W1146" s="1" t="s">
        <v>13</v>
      </c>
      <c r="X1146" t="s">
        <v>17</v>
      </c>
      <c r="Y1146" s="1" t="s">
        <v>1630</v>
      </c>
    </row>
    <row r="1147" spans="1:25" x14ac:dyDescent="0.25">
      <c r="A1147" s="4">
        <v>1923</v>
      </c>
      <c r="B1147" s="9" t="s">
        <v>1732</v>
      </c>
      <c r="C1147" s="8" t="s">
        <v>304</v>
      </c>
      <c r="D1147" s="6" t="s">
        <v>137</v>
      </c>
      <c r="E1147" s="10">
        <v>6</v>
      </c>
      <c r="F1147">
        <v>13.7767684469262</v>
      </c>
      <c r="G1147">
        <v>6.71312805140448</v>
      </c>
      <c r="H1147" t="s">
        <v>92</v>
      </c>
      <c r="I1147" t="s">
        <v>266</v>
      </c>
      <c r="J1147" t="s">
        <v>267</v>
      </c>
      <c r="K1147" t="s">
        <v>1452</v>
      </c>
      <c r="L1147">
        <v>294</v>
      </c>
      <c r="M1147" t="s">
        <v>1798</v>
      </c>
      <c r="N1147">
        <v>300</v>
      </c>
      <c r="O1147" t="s">
        <v>1530</v>
      </c>
      <c r="P1147" s="1" t="s">
        <v>528</v>
      </c>
      <c r="Q1147" s="25">
        <v>32.476754999999997</v>
      </c>
      <c r="R1147" s="25">
        <v>-106.797602</v>
      </c>
      <c r="S1147">
        <v>-1.7399</v>
      </c>
      <c r="T1147">
        <v>-38.448999999999998</v>
      </c>
      <c r="U1147">
        <v>1.7399</v>
      </c>
      <c r="V1147" t="s">
        <v>1538</v>
      </c>
      <c r="W1147" s="1" t="s">
        <v>13</v>
      </c>
      <c r="X1147" t="s">
        <v>17</v>
      </c>
      <c r="Y1147" s="1" t="s">
        <v>1630</v>
      </c>
    </row>
    <row r="1148" spans="1:25" x14ac:dyDescent="0.25">
      <c r="A1148" s="4">
        <v>1924</v>
      </c>
      <c r="B1148" s="9" t="s">
        <v>1733</v>
      </c>
      <c r="C1148" s="8" t="s">
        <v>304</v>
      </c>
      <c r="D1148" s="6" t="s">
        <v>137</v>
      </c>
      <c r="E1148" s="10">
        <v>6</v>
      </c>
      <c r="F1148">
        <v>10.3703370238457</v>
      </c>
      <c r="G1148">
        <v>4.9355198383711398</v>
      </c>
      <c r="H1148" t="s">
        <v>92</v>
      </c>
      <c r="I1148" t="s">
        <v>266</v>
      </c>
      <c r="J1148" t="s">
        <v>267</v>
      </c>
      <c r="K1148" t="s">
        <v>1452</v>
      </c>
      <c r="L1148">
        <v>294</v>
      </c>
      <c r="M1148" t="s">
        <v>1798</v>
      </c>
      <c r="N1148">
        <v>300</v>
      </c>
      <c r="O1148" t="s">
        <v>1530</v>
      </c>
      <c r="P1148" s="1" t="s">
        <v>528</v>
      </c>
      <c r="Q1148" s="25">
        <v>32.476754999999997</v>
      </c>
      <c r="R1148" s="25">
        <v>-106.797602</v>
      </c>
      <c r="S1148">
        <v>-1.7399</v>
      </c>
      <c r="T1148">
        <v>-38.448999999999998</v>
      </c>
      <c r="U1148">
        <v>1.7399</v>
      </c>
      <c r="V1148" t="s">
        <v>1538</v>
      </c>
      <c r="W1148" s="1" t="s">
        <v>13</v>
      </c>
      <c r="X1148" t="s">
        <v>17</v>
      </c>
      <c r="Y1148" s="1" t="s">
        <v>1630</v>
      </c>
    </row>
    <row r="1149" spans="1:25" x14ac:dyDescent="0.25">
      <c r="A1149" s="4">
        <v>1925</v>
      </c>
      <c r="B1149" s="9" t="s">
        <v>1734</v>
      </c>
      <c r="C1149" s="8" t="s">
        <v>304</v>
      </c>
      <c r="D1149" s="6" t="s">
        <v>137</v>
      </c>
      <c r="E1149" s="10">
        <v>6</v>
      </c>
      <c r="F1149">
        <v>12.552567887651101</v>
      </c>
      <c r="G1149">
        <v>3.4851239586465601</v>
      </c>
      <c r="H1149" t="s">
        <v>92</v>
      </c>
      <c r="I1149" t="s">
        <v>266</v>
      </c>
      <c r="J1149" t="s">
        <v>267</v>
      </c>
      <c r="K1149" t="s">
        <v>1452</v>
      </c>
      <c r="L1149">
        <v>294</v>
      </c>
      <c r="M1149" t="s">
        <v>1798</v>
      </c>
      <c r="N1149">
        <v>300</v>
      </c>
      <c r="O1149" t="s">
        <v>1530</v>
      </c>
      <c r="P1149" s="1" t="s">
        <v>528</v>
      </c>
      <c r="Q1149" s="25">
        <v>32.476754999999997</v>
      </c>
      <c r="R1149" s="25">
        <v>-106.797602</v>
      </c>
      <c r="S1149">
        <v>-1.7399</v>
      </c>
      <c r="T1149">
        <v>-38.448999999999998</v>
      </c>
      <c r="U1149">
        <v>1.7399</v>
      </c>
      <c r="V1149" t="s">
        <v>1538</v>
      </c>
      <c r="W1149" s="1" t="s">
        <v>13</v>
      </c>
      <c r="X1149" t="s">
        <v>17</v>
      </c>
      <c r="Y1149" s="1" t="s">
        <v>1630</v>
      </c>
    </row>
    <row r="1150" spans="1:25" x14ac:dyDescent="0.25">
      <c r="A1150" s="4">
        <v>1926</v>
      </c>
      <c r="B1150" s="9" t="s">
        <v>1735</v>
      </c>
      <c r="C1150" s="8" t="s">
        <v>304</v>
      </c>
      <c r="D1150" s="6" t="s">
        <v>534</v>
      </c>
      <c r="E1150" s="10">
        <v>6</v>
      </c>
      <c r="F1150">
        <v>16.531925908961199</v>
      </c>
      <c r="G1150">
        <v>5.5448610991606104</v>
      </c>
      <c r="H1150" t="s">
        <v>92</v>
      </c>
      <c r="I1150" t="s">
        <v>266</v>
      </c>
      <c r="J1150" t="s">
        <v>267</v>
      </c>
      <c r="K1150" t="s">
        <v>1432</v>
      </c>
      <c r="L1150">
        <v>287</v>
      </c>
      <c r="M1150" t="s">
        <v>1453</v>
      </c>
      <c r="N1150">
        <v>280</v>
      </c>
      <c r="O1150" s="1" t="s">
        <v>1440</v>
      </c>
      <c r="P1150" s="1" t="s">
        <v>525</v>
      </c>
      <c r="Q1150" s="25">
        <v>34.126840000000001</v>
      </c>
      <c r="R1150" s="25">
        <v>-106.794161</v>
      </c>
      <c r="S1150">
        <v>5.6429</v>
      </c>
      <c r="T1150">
        <v>-33.965800000000002</v>
      </c>
      <c r="U1150">
        <v>5.6429</v>
      </c>
      <c r="V1150" s="25" t="s">
        <v>1536</v>
      </c>
      <c r="W1150" t="s">
        <v>14</v>
      </c>
      <c r="X1150" t="s">
        <v>17</v>
      </c>
      <c r="Y1150" s="1" t="s">
        <v>1630</v>
      </c>
    </row>
    <row r="1151" spans="1:25" x14ac:dyDescent="0.25">
      <c r="A1151" s="4">
        <v>1927</v>
      </c>
      <c r="B1151" s="9" t="s">
        <v>1736</v>
      </c>
      <c r="C1151" s="8" t="s">
        <v>304</v>
      </c>
      <c r="D1151" s="6" t="s">
        <v>534</v>
      </c>
      <c r="E1151" s="10">
        <v>6</v>
      </c>
      <c r="F1151">
        <v>7.5613853503482202</v>
      </c>
      <c r="G1151">
        <v>3.0251054026316</v>
      </c>
      <c r="H1151" t="s">
        <v>92</v>
      </c>
      <c r="I1151" t="s">
        <v>266</v>
      </c>
      <c r="J1151" t="s">
        <v>267</v>
      </c>
      <c r="K1151" t="s">
        <v>1432</v>
      </c>
      <c r="L1151">
        <v>287</v>
      </c>
      <c r="M1151" t="s">
        <v>1453</v>
      </c>
      <c r="N1151">
        <v>280</v>
      </c>
      <c r="O1151" s="1" t="s">
        <v>1440</v>
      </c>
      <c r="P1151" s="1" t="s">
        <v>525</v>
      </c>
      <c r="Q1151" s="25">
        <v>34.126840000000001</v>
      </c>
      <c r="R1151" s="25">
        <v>-106.794161</v>
      </c>
      <c r="S1151">
        <v>5.6429</v>
      </c>
      <c r="T1151">
        <v>-33.965800000000002</v>
      </c>
      <c r="U1151">
        <v>5.6429</v>
      </c>
      <c r="V1151" s="25" t="s">
        <v>1536</v>
      </c>
      <c r="W1151" t="s">
        <v>14</v>
      </c>
      <c r="X1151" t="s">
        <v>17</v>
      </c>
      <c r="Y1151" s="1" t="s">
        <v>1630</v>
      </c>
    </row>
    <row r="1152" spans="1:25" x14ac:dyDescent="0.25">
      <c r="A1152" s="4">
        <v>1928</v>
      </c>
      <c r="B1152" s="9" t="s">
        <v>616</v>
      </c>
      <c r="C1152" s="8" t="s">
        <v>304</v>
      </c>
      <c r="D1152" s="6" t="s">
        <v>534</v>
      </c>
      <c r="E1152" s="10">
        <v>6</v>
      </c>
      <c r="F1152">
        <v>29.568074527596501</v>
      </c>
      <c r="G1152">
        <v>8.1956275177874591</v>
      </c>
      <c r="H1152" t="s">
        <v>92</v>
      </c>
      <c r="I1152" t="s">
        <v>266</v>
      </c>
      <c r="J1152" t="s">
        <v>267</v>
      </c>
      <c r="K1152" t="s">
        <v>1432</v>
      </c>
      <c r="L1152">
        <v>287</v>
      </c>
      <c r="M1152" t="s">
        <v>1453</v>
      </c>
      <c r="N1152">
        <v>280</v>
      </c>
      <c r="O1152" s="1" t="s">
        <v>1440</v>
      </c>
      <c r="P1152" s="1" t="s">
        <v>525</v>
      </c>
      <c r="Q1152" s="25">
        <v>34.126840000000001</v>
      </c>
      <c r="R1152" s="25">
        <v>-106.794161</v>
      </c>
      <c r="S1152">
        <v>5.6429</v>
      </c>
      <c r="T1152">
        <v>-33.965800000000002</v>
      </c>
      <c r="U1152">
        <v>5.6429</v>
      </c>
      <c r="V1152" s="25" t="s">
        <v>1536</v>
      </c>
      <c r="W1152" t="s">
        <v>14</v>
      </c>
      <c r="X1152" t="s">
        <v>17</v>
      </c>
      <c r="Y1152" s="1" t="s">
        <v>1630</v>
      </c>
    </row>
    <row r="1153" spans="1:25" x14ac:dyDescent="0.25">
      <c r="A1153" s="4">
        <v>1929</v>
      </c>
      <c r="B1153" s="9" t="s">
        <v>628</v>
      </c>
      <c r="C1153" s="8" t="s">
        <v>304</v>
      </c>
      <c r="D1153" s="6" t="s">
        <v>434</v>
      </c>
      <c r="E1153" s="10">
        <v>6</v>
      </c>
      <c r="F1153">
        <v>20.556915641912699</v>
      </c>
      <c r="G1153">
        <v>4.1183077068702101</v>
      </c>
      <c r="H1153" t="s">
        <v>92</v>
      </c>
      <c r="I1153" t="s">
        <v>266</v>
      </c>
      <c r="J1153" t="s">
        <v>267</v>
      </c>
      <c r="K1153" t="s">
        <v>1432</v>
      </c>
      <c r="L1153">
        <v>287</v>
      </c>
      <c r="M1153" t="s">
        <v>1453</v>
      </c>
      <c r="N1153">
        <v>280</v>
      </c>
      <c r="O1153" s="1" t="s">
        <v>1440</v>
      </c>
      <c r="P1153" s="1" t="s">
        <v>525</v>
      </c>
      <c r="Q1153" s="25">
        <v>34.126840000000001</v>
      </c>
      <c r="R1153" s="25">
        <v>-106.794161</v>
      </c>
      <c r="S1153">
        <v>5.6429</v>
      </c>
      <c r="T1153">
        <v>-33.965800000000002</v>
      </c>
      <c r="U1153">
        <v>5.6429</v>
      </c>
      <c r="V1153" s="25" t="s">
        <v>1536</v>
      </c>
      <c r="W1153" t="s">
        <v>14</v>
      </c>
      <c r="X1153" t="s">
        <v>17</v>
      </c>
      <c r="Y1153" s="1" t="s">
        <v>1630</v>
      </c>
    </row>
    <row r="1154" spans="1:25" x14ac:dyDescent="0.25">
      <c r="A1154" s="4">
        <v>1931</v>
      </c>
      <c r="B1154" s="9" t="s">
        <v>620</v>
      </c>
      <c r="C1154" s="8" t="s">
        <v>304</v>
      </c>
      <c r="D1154" s="6" t="s">
        <v>137</v>
      </c>
      <c r="E1154" s="10">
        <v>6</v>
      </c>
      <c r="F1154">
        <v>14.030577776948199</v>
      </c>
      <c r="G1154">
        <v>8.6191071564522606</v>
      </c>
      <c r="H1154" t="s">
        <v>92</v>
      </c>
      <c r="I1154" t="s">
        <v>266</v>
      </c>
      <c r="J1154" t="s">
        <v>267</v>
      </c>
      <c r="K1154" t="s">
        <v>1432</v>
      </c>
      <c r="L1154">
        <v>287</v>
      </c>
      <c r="M1154" t="s">
        <v>1453</v>
      </c>
      <c r="N1154">
        <v>280</v>
      </c>
      <c r="O1154" s="1" t="s">
        <v>1440</v>
      </c>
      <c r="P1154" s="1" t="s">
        <v>525</v>
      </c>
      <c r="Q1154" s="25">
        <v>34.126840000000001</v>
      </c>
      <c r="R1154" s="25">
        <v>-106.794161</v>
      </c>
      <c r="S1154">
        <v>5.6429</v>
      </c>
      <c r="T1154">
        <v>-33.965800000000002</v>
      </c>
      <c r="U1154">
        <v>5.6429</v>
      </c>
      <c r="V1154" s="25" t="s">
        <v>1536</v>
      </c>
      <c r="W1154" t="s">
        <v>14</v>
      </c>
      <c r="X1154" t="s">
        <v>17</v>
      </c>
      <c r="Y1154" s="1" t="s">
        <v>1630</v>
      </c>
    </row>
    <row r="1155" spans="1:25" x14ac:dyDescent="0.25">
      <c r="A1155" s="4">
        <v>1932</v>
      </c>
      <c r="B1155" s="9" t="s">
        <v>615</v>
      </c>
      <c r="C1155" s="8" t="s">
        <v>304</v>
      </c>
      <c r="D1155" s="6" t="s">
        <v>534</v>
      </c>
      <c r="E1155" s="10">
        <v>6</v>
      </c>
      <c r="F1155">
        <v>20.041049529209999</v>
      </c>
      <c r="G1155">
        <v>7.7606942996930499</v>
      </c>
      <c r="H1155" t="s">
        <v>92</v>
      </c>
      <c r="I1155" t="s">
        <v>266</v>
      </c>
      <c r="J1155" t="s">
        <v>267</v>
      </c>
      <c r="K1155" t="s">
        <v>1432</v>
      </c>
      <c r="L1155">
        <v>287</v>
      </c>
      <c r="M1155" t="s">
        <v>1453</v>
      </c>
      <c r="N1155">
        <v>280</v>
      </c>
      <c r="O1155" s="1" t="s">
        <v>1440</v>
      </c>
      <c r="P1155" s="1" t="s">
        <v>525</v>
      </c>
      <c r="Q1155" s="25">
        <v>34.126840000000001</v>
      </c>
      <c r="R1155" s="25">
        <v>-106.794161</v>
      </c>
      <c r="S1155">
        <v>5.6429</v>
      </c>
      <c r="T1155">
        <v>-33.965800000000002</v>
      </c>
      <c r="U1155">
        <v>5.6429</v>
      </c>
      <c r="V1155" s="25" t="s">
        <v>1536</v>
      </c>
      <c r="W1155" t="s">
        <v>14</v>
      </c>
      <c r="X1155" t="s">
        <v>17</v>
      </c>
      <c r="Y1155" s="1" t="s">
        <v>1630</v>
      </c>
    </row>
    <row r="1156" spans="1:25" x14ac:dyDescent="0.25">
      <c r="A1156" s="4">
        <v>1933</v>
      </c>
      <c r="B1156" s="9" t="s">
        <v>604</v>
      </c>
      <c r="C1156" s="8" t="s">
        <v>304</v>
      </c>
      <c r="D1156" s="6" t="s">
        <v>137</v>
      </c>
      <c r="E1156" s="10">
        <v>6</v>
      </c>
      <c r="F1156">
        <v>15.085398938688501</v>
      </c>
      <c r="G1156">
        <v>6.4572558482845004</v>
      </c>
      <c r="H1156" t="s">
        <v>92</v>
      </c>
      <c r="I1156" t="s">
        <v>266</v>
      </c>
      <c r="J1156" t="s">
        <v>267</v>
      </c>
      <c r="K1156" t="s">
        <v>1432</v>
      </c>
      <c r="L1156">
        <v>287</v>
      </c>
      <c r="M1156" t="s">
        <v>1453</v>
      </c>
      <c r="N1156">
        <v>280</v>
      </c>
      <c r="O1156" s="1" t="s">
        <v>1440</v>
      </c>
      <c r="P1156" s="1" t="s">
        <v>525</v>
      </c>
      <c r="Q1156" s="25">
        <v>34.126840000000001</v>
      </c>
      <c r="R1156" s="25">
        <v>-106.794161</v>
      </c>
      <c r="S1156">
        <v>5.6429</v>
      </c>
      <c r="T1156">
        <v>-33.965800000000002</v>
      </c>
      <c r="U1156">
        <v>5.6429</v>
      </c>
      <c r="V1156" s="25" t="s">
        <v>1536</v>
      </c>
      <c r="W1156" t="s">
        <v>14</v>
      </c>
      <c r="X1156" t="s">
        <v>17</v>
      </c>
      <c r="Y1156" s="1" t="s">
        <v>1630</v>
      </c>
    </row>
    <row r="1157" spans="1:25" x14ac:dyDescent="0.25">
      <c r="A1157" s="4">
        <v>1934</v>
      </c>
      <c r="B1157" s="9" t="s">
        <v>1737</v>
      </c>
      <c r="C1157" s="8" t="s">
        <v>304</v>
      </c>
      <c r="D1157" s="6" t="s">
        <v>137</v>
      </c>
      <c r="E1157" s="10">
        <v>6</v>
      </c>
      <c r="F1157">
        <v>16.0293224302923</v>
      </c>
      <c r="G1157">
        <v>8.6929108227299903</v>
      </c>
      <c r="H1157" t="s">
        <v>92</v>
      </c>
      <c r="I1157" t="s">
        <v>266</v>
      </c>
      <c r="J1157" t="s">
        <v>267</v>
      </c>
      <c r="K1157" t="s">
        <v>1432</v>
      </c>
      <c r="L1157">
        <v>287</v>
      </c>
      <c r="M1157" t="s">
        <v>1453</v>
      </c>
      <c r="N1157">
        <v>280</v>
      </c>
      <c r="O1157" s="1" t="s">
        <v>1440</v>
      </c>
      <c r="P1157" s="1" t="s">
        <v>525</v>
      </c>
      <c r="Q1157" s="25">
        <v>34.126840000000001</v>
      </c>
      <c r="R1157" s="25">
        <v>-106.794161</v>
      </c>
      <c r="S1157">
        <v>5.6429</v>
      </c>
      <c r="T1157">
        <v>-33.965800000000002</v>
      </c>
      <c r="U1157">
        <v>5.6429</v>
      </c>
      <c r="V1157" s="25" t="s">
        <v>1536</v>
      </c>
      <c r="W1157" t="s">
        <v>14</v>
      </c>
      <c r="X1157" t="s">
        <v>17</v>
      </c>
      <c r="Y1157" s="1" t="s">
        <v>1630</v>
      </c>
    </row>
    <row r="1158" spans="1:25" x14ac:dyDescent="0.25">
      <c r="A1158" s="4">
        <v>1935</v>
      </c>
      <c r="B1158" s="9" t="s">
        <v>655</v>
      </c>
      <c r="C1158" s="8" t="s">
        <v>304</v>
      </c>
      <c r="D1158" s="6" t="s">
        <v>60</v>
      </c>
      <c r="E1158" s="10">
        <v>5</v>
      </c>
      <c r="F1158">
        <v>10.493584829087</v>
      </c>
      <c r="G1158">
        <v>1.1580534208711</v>
      </c>
      <c r="H1158" t="s">
        <v>92</v>
      </c>
      <c r="I1158" t="s">
        <v>266</v>
      </c>
      <c r="J1158" t="s">
        <v>267</v>
      </c>
      <c r="K1158" t="s">
        <v>1432</v>
      </c>
      <c r="L1158">
        <v>287</v>
      </c>
      <c r="M1158" t="s">
        <v>1453</v>
      </c>
      <c r="N1158">
        <v>280</v>
      </c>
      <c r="O1158" s="1" t="s">
        <v>1440</v>
      </c>
      <c r="P1158" s="1" t="s">
        <v>525</v>
      </c>
      <c r="Q1158" s="25">
        <v>34.126840000000001</v>
      </c>
      <c r="R1158" s="25">
        <v>-106.794161</v>
      </c>
      <c r="S1158">
        <v>5.6429</v>
      </c>
      <c r="T1158">
        <v>-33.965800000000002</v>
      </c>
      <c r="U1158">
        <v>5.6429</v>
      </c>
      <c r="V1158" s="25" t="s">
        <v>1536</v>
      </c>
      <c r="W1158" t="s">
        <v>14</v>
      </c>
      <c r="X1158" t="s">
        <v>17</v>
      </c>
      <c r="Y1158" s="1" t="s">
        <v>1630</v>
      </c>
    </row>
    <row r="1159" spans="1:25" x14ac:dyDescent="0.25">
      <c r="A1159" s="4">
        <v>1936</v>
      </c>
      <c r="B1159" s="9" t="s">
        <v>660</v>
      </c>
      <c r="C1159" s="8" t="s">
        <v>304</v>
      </c>
      <c r="D1159" s="6" t="s">
        <v>28</v>
      </c>
      <c r="E1159" s="10">
        <v>6</v>
      </c>
      <c r="F1159">
        <v>7.5432173018187196</v>
      </c>
      <c r="G1159">
        <v>3.7142831459052399</v>
      </c>
      <c r="H1159" t="s">
        <v>92</v>
      </c>
      <c r="I1159" t="s">
        <v>266</v>
      </c>
      <c r="J1159" t="s">
        <v>267</v>
      </c>
      <c r="K1159" t="s">
        <v>1432</v>
      </c>
      <c r="L1159">
        <v>287</v>
      </c>
      <c r="M1159" t="s">
        <v>1453</v>
      </c>
      <c r="N1159">
        <v>280</v>
      </c>
      <c r="O1159" s="1" t="s">
        <v>1440</v>
      </c>
      <c r="P1159" s="1" t="s">
        <v>525</v>
      </c>
      <c r="Q1159" s="25">
        <v>34.126840000000001</v>
      </c>
      <c r="R1159" s="25">
        <v>-106.794161</v>
      </c>
      <c r="S1159">
        <v>5.6429</v>
      </c>
      <c r="T1159">
        <v>-33.965800000000002</v>
      </c>
      <c r="U1159">
        <v>5.6429</v>
      </c>
      <c r="V1159" s="25" t="s">
        <v>1536</v>
      </c>
      <c r="W1159" t="s">
        <v>14</v>
      </c>
      <c r="X1159" t="s">
        <v>17</v>
      </c>
      <c r="Y1159" s="1" t="s">
        <v>1630</v>
      </c>
    </row>
    <row r="1160" spans="1:25" x14ac:dyDescent="0.25">
      <c r="A1160" s="4">
        <v>1937</v>
      </c>
      <c r="B1160" s="9" t="s">
        <v>1738</v>
      </c>
      <c r="C1160" s="8" t="s">
        <v>304</v>
      </c>
      <c r="D1160" s="6" t="s">
        <v>60</v>
      </c>
      <c r="E1160" s="10">
        <v>5</v>
      </c>
      <c r="F1160">
        <v>7.6379472751776296</v>
      </c>
      <c r="G1160">
        <v>1.4742243646700399</v>
      </c>
      <c r="H1160" t="s">
        <v>92</v>
      </c>
      <c r="I1160" t="s">
        <v>266</v>
      </c>
      <c r="J1160" t="s">
        <v>267</v>
      </c>
      <c r="K1160" t="s">
        <v>1432</v>
      </c>
      <c r="L1160">
        <v>287</v>
      </c>
      <c r="M1160" t="s">
        <v>1453</v>
      </c>
      <c r="N1160">
        <v>280</v>
      </c>
      <c r="O1160" s="1" t="s">
        <v>1440</v>
      </c>
      <c r="P1160" s="1" t="s">
        <v>525</v>
      </c>
      <c r="Q1160" s="25">
        <v>34.126840000000001</v>
      </c>
      <c r="R1160" s="25">
        <v>-106.794161</v>
      </c>
      <c r="S1160">
        <v>5.6429</v>
      </c>
      <c r="T1160">
        <v>-33.965800000000002</v>
      </c>
      <c r="U1160">
        <v>5.6429</v>
      </c>
      <c r="V1160" s="25" t="s">
        <v>1536</v>
      </c>
      <c r="W1160" t="s">
        <v>14</v>
      </c>
      <c r="X1160" t="s">
        <v>17</v>
      </c>
      <c r="Y1160" s="1" t="s">
        <v>1630</v>
      </c>
    </row>
    <row r="1161" spans="1:25" x14ac:dyDescent="0.25">
      <c r="A1161" s="4">
        <v>1938</v>
      </c>
      <c r="B1161" s="9" t="s">
        <v>1739</v>
      </c>
      <c r="C1161" s="8" t="s">
        <v>304</v>
      </c>
      <c r="D1161" s="6" t="s">
        <v>60</v>
      </c>
      <c r="E1161" s="10">
        <v>5</v>
      </c>
      <c r="F1161">
        <v>6.8306465680253803</v>
      </c>
      <c r="G1161">
        <v>1.32143565165234</v>
      </c>
      <c r="H1161" t="s">
        <v>92</v>
      </c>
      <c r="I1161" t="s">
        <v>266</v>
      </c>
      <c r="J1161" t="s">
        <v>267</v>
      </c>
      <c r="K1161" t="s">
        <v>1432</v>
      </c>
      <c r="L1161">
        <v>287</v>
      </c>
      <c r="M1161" t="s">
        <v>1453</v>
      </c>
      <c r="N1161">
        <v>280</v>
      </c>
      <c r="O1161" s="1" t="s">
        <v>1440</v>
      </c>
      <c r="P1161" s="1" t="s">
        <v>525</v>
      </c>
      <c r="Q1161" s="25">
        <v>34.126840000000001</v>
      </c>
      <c r="R1161" s="25">
        <v>-106.794161</v>
      </c>
      <c r="S1161">
        <v>5.6429</v>
      </c>
      <c r="T1161">
        <v>-33.965800000000002</v>
      </c>
      <c r="U1161">
        <v>5.6429</v>
      </c>
      <c r="V1161" s="25" t="s">
        <v>1536</v>
      </c>
      <c r="W1161" t="s">
        <v>14</v>
      </c>
      <c r="X1161" t="s">
        <v>17</v>
      </c>
      <c r="Y1161" s="1" t="s">
        <v>1630</v>
      </c>
    </row>
    <row r="1162" spans="1:25" x14ac:dyDescent="0.25">
      <c r="A1162" s="4">
        <v>1939</v>
      </c>
      <c r="B1162" s="9" t="s">
        <v>661</v>
      </c>
      <c r="C1162" s="8" t="s">
        <v>304</v>
      </c>
      <c r="D1162" s="6" t="s">
        <v>64</v>
      </c>
      <c r="E1162" s="10">
        <v>8</v>
      </c>
      <c r="F1162">
        <v>8.40822339155166</v>
      </c>
      <c r="G1162">
        <v>1.1753013420985701</v>
      </c>
      <c r="H1162" t="s">
        <v>92</v>
      </c>
      <c r="I1162" t="s">
        <v>266</v>
      </c>
      <c r="J1162" t="s">
        <v>267</v>
      </c>
      <c r="K1162" t="s">
        <v>1432</v>
      </c>
      <c r="L1162">
        <v>287</v>
      </c>
      <c r="M1162" t="s">
        <v>1453</v>
      </c>
      <c r="N1162">
        <v>280</v>
      </c>
      <c r="O1162" s="1" t="s">
        <v>1440</v>
      </c>
      <c r="P1162" s="1" t="s">
        <v>525</v>
      </c>
      <c r="Q1162" s="25">
        <v>34.126840000000001</v>
      </c>
      <c r="R1162" s="25">
        <v>-106.794161</v>
      </c>
      <c r="S1162">
        <v>5.6429</v>
      </c>
      <c r="T1162">
        <v>-33.965800000000002</v>
      </c>
      <c r="U1162">
        <v>5.6429</v>
      </c>
      <c r="V1162" s="25" t="s">
        <v>1536</v>
      </c>
      <c r="W1162" t="s">
        <v>14</v>
      </c>
      <c r="X1162" t="s">
        <v>17</v>
      </c>
      <c r="Y1162" s="1" t="s">
        <v>1630</v>
      </c>
    </row>
    <row r="1163" spans="1:25" x14ac:dyDescent="0.25">
      <c r="A1163" s="4">
        <v>1940</v>
      </c>
      <c r="B1163" s="9" t="s">
        <v>656</v>
      </c>
      <c r="C1163" s="8" t="s">
        <v>304</v>
      </c>
      <c r="D1163" s="6" t="s">
        <v>60</v>
      </c>
      <c r="E1163" s="10">
        <v>5</v>
      </c>
      <c r="F1163">
        <v>7.9200808216632801</v>
      </c>
      <c r="G1163">
        <v>2.1602635758468098</v>
      </c>
      <c r="H1163" t="s">
        <v>92</v>
      </c>
      <c r="I1163" t="s">
        <v>266</v>
      </c>
      <c r="J1163" t="s">
        <v>267</v>
      </c>
      <c r="K1163" t="s">
        <v>1432</v>
      </c>
      <c r="L1163">
        <v>287</v>
      </c>
      <c r="M1163" t="s">
        <v>1453</v>
      </c>
      <c r="N1163">
        <v>280</v>
      </c>
      <c r="O1163" s="1" t="s">
        <v>1440</v>
      </c>
      <c r="P1163" s="1" t="s">
        <v>525</v>
      </c>
      <c r="Q1163" s="25">
        <v>34.126840000000001</v>
      </c>
      <c r="R1163" s="25">
        <v>-106.794161</v>
      </c>
      <c r="S1163">
        <v>5.6429</v>
      </c>
      <c r="T1163">
        <v>-33.965800000000002</v>
      </c>
      <c r="U1163">
        <v>5.6429</v>
      </c>
      <c r="V1163" s="25" t="s">
        <v>1536</v>
      </c>
      <c r="W1163" t="s">
        <v>14</v>
      </c>
      <c r="X1163" t="s">
        <v>17</v>
      </c>
      <c r="Y1163" s="1" t="s">
        <v>1630</v>
      </c>
    </row>
    <row r="1164" spans="1:25" x14ac:dyDescent="0.25">
      <c r="A1164" s="4">
        <v>1941</v>
      </c>
      <c r="B1164" s="9" t="s">
        <v>1740</v>
      </c>
      <c r="C1164" s="8" t="s">
        <v>304</v>
      </c>
      <c r="D1164" s="6" t="s">
        <v>28</v>
      </c>
      <c r="E1164" s="10">
        <v>6</v>
      </c>
      <c r="F1164">
        <v>7.8815758625115198</v>
      </c>
      <c r="G1164">
        <v>2.0795946438776101</v>
      </c>
      <c r="H1164" t="s">
        <v>92</v>
      </c>
      <c r="I1164" t="s">
        <v>266</v>
      </c>
      <c r="J1164" t="s">
        <v>267</v>
      </c>
      <c r="K1164" t="s">
        <v>1432</v>
      </c>
      <c r="L1164">
        <v>287</v>
      </c>
      <c r="M1164" t="s">
        <v>1453</v>
      </c>
      <c r="N1164">
        <v>280</v>
      </c>
      <c r="O1164" s="1" t="s">
        <v>1440</v>
      </c>
      <c r="P1164" s="1" t="s">
        <v>525</v>
      </c>
      <c r="Q1164" s="25">
        <v>34.126840000000001</v>
      </c>
      <c r="R1164" s="25">
        <v>-106.794161</v>
      </c>
      <c r="S1164">
        <v>5.6429</v>
      </c>
      <c r="T1164">
        <v>-33.965800000000002</v>
      </c>
      <c r="U1164">
        <v>5.6429</v>
      </c>
      <c r="V1164" s="25" t="s">
        <v>1536</v>
      </c>
      <c r="W1164" t="s">
        <v>14</v>
      </c>
      <c r="X1164" t="s">
        <v>17</v>
      </c>
      <c r="Y1164" s="1" t="s">
        <v>1630</v>
      </c>
    </row>
    <row r="1165" spans="1:25" x14ac:dyDescent="0.25">
      <c r="A1165" s="4">
        <v>1942</v>
      </c>
      <c r="B1165" s="9" t="s">
        <v>1741</v>
      </c>
      <c r="C1165" s="8" t="s">
        <v>304</v>
      </c>
      <c r="D1165" s="6" t="s">
        <v>64</v>
      </c>
      <c r="E1165" s="10">
        <v>8</v>
      </c>
      <c r="F1165">
        <v>9.6664711213027701</v>
      </c>
      <c r="G1165">
        <v>1.7689192608215201</v>
      </c>
      <c r="H1165" t="s">
        <v>92</v>
      </c>
      <c r="I1165" t="s">
        <v>266</v>
      </c>
      <c r="J1165" t="s">
        <v>267</v>
      </c>
      <c r="K1165" t="s">
        <v>1432</v>
      </c>
      <c r="L1165">
        <v>287</v>
      </c>
      <c r="M1165" t="s">
        <v>1453</v>
      </c>
      <c r="N1165">
        <v>280</v>
      </c>
      <c r="O1165" s="1" t="s">
        <v>1440</v>
      </c>
      <c r="P1165" s="1" t="s">
        <v>525</v>
      </c>
      <c r="Q1165" s="25">
        <v>34.126840000000001</v>
      </c>
      <c r="R1165" s="25">
        <v>-106.794161</v>
      </c>
      <c r="S1165">
        <v>5.6429</v>
      </c>
      <c r="T1165">
        <v>-33.965800000000002</v>
      </c>
      <c r="U1165">
        <v>5.6429</v>
      </c>
      <c r="V1165" s="25" t="s">
        <v>1536</v>
      </c>
      <c r="W1165" t="s">
        <v>14</v>
      </c>
      <c r="X1165" t="s">
        <v>17</v>
      </c>
      <c r="Y1165" s="1" t="s">
        <v>1630</v>
      </c>
    </row>
    <row r="1166" spans="1:25" x14ac:dyDescent="0.25">
      <c r="A1166" s="4">
        <v>1943</v>
      </c>
      <c r="B1166" s="9" t="s">
        <v>1742</v>
      </c>
      <c r="C1166" s="8" t="s">
        <v>304</v>
      </c>
      <c r="D1166" s="6" t="s">
        <v>28</v>
      </c>
      <c r="E1166" s="10">
        <v>6</v>
      </c>
      <c r="F1166">
        <v>9.2833976785185506</v>
      </c>
      <c r="G1166">
        <v>3.5260819978196101</v>
      </c>
      <c r="H1166" t="s">
        <v>92</v>
      </c>
      <c r="I1166" t="s">
        <v>266</v>
      </c>
      <c r="J1166" t="s">
        <v>267</v>
      </c>
      <c r="K1166" t="s">
        <v>1432</v>
      </c>
      <c r="L1166">
        <v>287</v>
      </c>
      <c r="M1166" t="s">
        <v>1453</v>
      </c>
      <c r="N1166">
        <v>280</v>
      </c>
      <c r="O1166" s="1" t="s">
        <v>1440</v>
      </c>
      <c r="P1166" s="1" t="s">
        <v>525</v>
      </c>
      <c r="Q1166" s="25">
        <v>34.126840000000001</v>
      </c>
      <c r="R1166" s="25">
        <v>-106.794161</v>
      </c>
      <c r="S1166">
        <v>5.6429</v>
      </c>
      <c r="T1166">
        <v>-33.965800000000002</v>
      </c>
      <c r="U1166">
        <v>5.6429</v>
      </c>
      <c r="V1166" s="25" t="s">
        <v>1536</v>
      </c>
      <c r="W1166" t="s">
        <v>14</v>
      </c>
      <c r="X1166" t="s">
        <v>17</v>
      </c>
      <c r="Y1166" s="1" t="s">
        <v>1630</v>
      </c>
    </row>
    <row r="1167" spans="1:25" x14ac:dyDescent="0.25">
      <c r="A1167" s="4">
        <v>1944</v>
      </c>
      <c r="B1167" s="9" t="s">
        <v>1742</v>
      </c>
      <c r="C1167" s="8" t="s">
        <v>304</v>
      </c>
      <c r="D1167" s="6" t="s">
        <v>60</v>
      </c>
      <c r="E1167" s="10">
        <v>5</v>
      </c>
      <c r="F1167">
        <v>8.7843279173835906</v>
      </c>
      <c r="G1167">
        <v>0.92267716847907399</v>
      </c>
      <c r="H1167" t="s">
        <v>92</v>
      </c>
      <c r="I1167" t="s">
        <v>266</v>
      </c>
      <c r="J1167" t="s">
        <v>267</v>
      </c>
      <c r="K1167" t="s">
        <v>1432</v>
      </c>
      <c r="L1167">
        <v>287</v>
      </c>
      <c r="M1167" t="s">
        <v>1453</v>
      </c>
      <c r="N1167">
        <v>280</v>
      </c>
      <c r="O1167" s="1" t="s">
        <v>1440</v>
      </c>
      <c r="P1167" s="1" t="s">
        <v>525</v>
      </c>
      <c r="Q1167" s="25">
        <v>34.126840000000001</v>
      </c>
      <c r="R1167" s="25">
        <v>-106.794161</v>
      </c>
      <c r="S1167">
        <v>5.6429</v>
      </c>
      <c r="T1167">
        <v>-33.965800000000002</v>
      </c>
      <c r="U1167">
        <v>5.6429</v>
      </c>
      <c r="V1167" s="25" t="s">
        <v>1536</v>
      </c>
      <c r="W1167" t="s">
        <v>14</v>
      </c>
      <c r="X1167" t="s">
        <v>17</v>
      </c>
      <c r="Y1167" s="1" t="s">
        <v>1630</v>
      </c>
    </row>
    <row r="1168" spans="1:25" x14ac:dyDescent="0.25">
      <c r="A1168" s="4">
        <v>1945</v>
      </c>
      <c r="B1168" s="9" t="s">
        <v>1743</v>
      </c>
      <c r="C1168" s="8" t="s">
        <v>304</v>
      </c>
      <c r="D1168" s="6" t="s">
        <v>59</v>
      </c>
      <c r="E1168" s="10">
        <v>5</v>
      </c>
      <c r="F1168">
        <v>19.363202408729599</v>
      </c>
      <c r="G1168">
        <v>12.731126642406901</v>
      </c>
      <c r="H1168" t="s">
        <v>92</v>
      </c>
      <c r="I1168" t="s">
        <v>266</v>
      </c>
      <c r="J1168" t="s">
        <v>267</v>
      </c>
      <c r="K1168" t="s">
        <v>1452</v>
      </c>
      <c r="L1168">
        <v>294</v>
      </c>
      <c r="M1168" t="s">
        <v>1798</v>
      </c>
      <c r="N1168">
        <v>300</v>
      </c>
      <c r="O1168" t="s">
        <v>1439</v>
      </c>
      <c r="P1168" s="1" t="s">
        <v>651</v>
      </c>
      <c r="Q1168" s="25">
        <v>32.099584999999998</v>
      </c>
      <c r="R1168" s="25">
        <v>-106.76058</v>
      </c>
      <c r="S1168">
        <v>-2.0552000000000001</v>
      </c>
      <c r="T1168">
        <v>-38.658499999999997</v>
      </c>
      <c r="U1168">
        <v>2.0552000000000001</v>
      </c>
      <c r="V1168" t="s">
        <v>1538</v>
      </c>
      <c r="W1168" t="s">
        <v>14</v>
      </c>
      <c r="X1168" t="s">
        <v>17</v>
      </c>
      <c r="Y1168" s="1" t="s">
        <v>1630</v>
      </c>
    </row>
    <row r="1169" spans="1:25" x14ac:dyDescent="0.25">
      <c r="A1169" s="4">
        <v>1946</v>
      </c>
      <c r="B1169" s="9" t="s">
        <v>1744</v>
      </c>
      <c r="C1169" s="8" t="s">
        <v>304</v>
      </c>
      <c r="D1169" s="6" t="s">
        <v>534</v>
      </c>
      <c r="E1169" s="10">
        <v>6</v>
      </c>
      <c r="F1169">
        <v>9.7310418580945104</v>
      </c>
      <c r="G1169">
        <v>3.9890776977629101</v>
      </c>
      <c r="H1169" t="s">
        <v>92</v>
      </c>
      <c r="I1169" t="s">
        <v>266</v>
      </c>
      <c r="J1169" t="s">
        <v>267</v>
      </c>
      <c r="K1169" t="s">
        <v>1452</v>
      </c>
      <c r="L1169">
        <v>294</v>
      </c>
      <c r="M1169" t="s">
        <v>1798</v>
      </c>
      <c r="N1169">
        <v>300</v>
      </c>
      <c r="O1169" t="s">
        <v>1439</v>
      </c>
      <c r="P1169" s="1" t="s">
        <v>651</v>
      </c>
      <c r="Q1169" s="25">
        <v>32.099584999999998</v>
      </c>
      <c r="R1169" s="25">
        <v>-106.76058</v>
      </c>
      <c r="S1169">
        <v>-2.0552000000000001</v>
      </c>
      <c r="T1169">
        <v>-38.658499999999997</v>
      </c>
      <c r="U1169">
        <v>2.0552000000000001</v>
      </c>
      <c r="V1169" t="s">
        <v>1538</v>
      </c>
      <c r="W1169" t="s">
        <v>14</v>
      </c>
      <c r="X1169" t="s">
        <v>17</v>
      </c>
      <c r="Y1169" s="1" t="s">
        <v>1630</v>
      </c>
    </row>
    <row r="1170" spans="1:25" x14ac:dyDescent="0.25">
      <c r="A1170" s="4">
        <v>1947</v>
      </c>
      <c r="B1170" s="9" t="s">
        <v>1240</v>
      </c>
      <c r="C1170" s="8" t="s">
        <v>304</v>
      </c>
      <c r="D1170" s="6" t="s">
        <v>434</v>
      </c>
      <c r="E1170" s="10">
        <v>6</v>
      </c>
      <c r="F1170">
        <v>8.8858601386714398</v>
      </c>
      <c r="G1170">
        <v>3.2583433301232998</v>
      </c>
      <c r="H1170" t="s">
        <v>92</v>
      </c>
      <c r="I1170" t="s">
        <v>266</v>
      </c>
      <c r="J1170" t="s">
        <v>267</v>
      </c>
      <c r="K1170" t="s">
        <v>1452</v>
      </c>
      <c r="L1170">
        <v>294</v>
      </c>
      <c r="M1170" t="s">
        <v>1798</v>
      </c>
      <c r="N1170">
        <v>300</v>
      </c>
      <c r="O1170" t="s">
        <v>1439</v>
      </c>
      <c r="P1170" s="1" t="s">
        <v>651</v>
      </c>
      <c r="Q1170" s="25">
        <v>32.099584999999998</v>
      </c>
      <c r="R1170" s="25">
        <v>-106.76058</v>
      </c>
      <c r="S1170">
        <v>-2.0552000000000001</v>
      </c>
      <c r="T1170">
        <v>-38.658499999999997</v>
      </c>
      <c r="U1170">
        <v>2.0552000000000001</v>
      </c>
      <c r="V1170" t="s">
        <v>1538</v>
      </c>
      <c r="W1170" t="s">
        <v>14</v>
      </c>
      <c r="X1170" t="s">
        <v>17</v>
      </c>
      <c r="Y1170" s="1" t="s">
        <v>1630</v>
      </c>
    </row>
    <row r="1171" spans="1:25" x14ac:dyDescent="0.25">
      <c r="A1171" s="4">
        <v>1948</v>
      </c>
      <c r="B1171" s="9" t="s">
        <v>1745</v>
      </c>
      <c r="C1171" s="8" t="s">
        <v>304</v>
      </c>
      <c r="D1171" s="6" t="s">
        <v>534</v>
      </c>
      <c r="E1171" s="10">
        <v>6</v>
      </c>
      <c r="F1171">
        <v>9.1240719323199801</v>
      </c>
      <c r="G1171">
        <v>4.1351958953560901</v>
      </c>
      <c r="H1171" t="s">
        <v>92</v>
      </c>
      <c r="I1171" t="s">
        <v>266</v>
      </c>
      <c r="J1171" t="s">
        <v>267</v>
      </c>
      <c r="K1171" t="s">
        <v>1452</v>
      </c>
      <c r="L1171">
        <v>294</v>
      </c>
      <c r="M1171" t="s">
        <v>1798</v>
      </c>
      <c r="N1171">
        <v>300</v>
      </c>
      <c r="O1171" t="s">
        <v>1439</v>
      </c>
      <c r="P1171" s="1" t="s">
        <v>651</v>
      </c>
      <c r="Q1171" s="25">
        <v>32.099584999999998</v>
      </c>
      <c r="R1171" s="25">
        <v>-106.76058</v>
      </c>
      <c r="S1171">
        <v>-2.0552000000000001</v>
      </c>
      <c r="T1171">
        <v>-38.658499999999997</v>
      </c>
      <c r="U1171">
        <v>2.0552000000000001</v>
      </c>
      <c r="V1171" t="s">
        <v>1538</v>
      </c>
      <c r="W1171" t="s">
        <v>14</v>
      </c>
      <c r="X1171" t="s">
        <v>17</v>
      </c>
      <c r="Y1171" s="1" t="s">
        <v>1630</v>
      </c>
    </row>
    <row r="1172" spans="1:25" x14ac:dyDescent="0.25">
      <c r="A1172" s="4">
        <v>1949</v>
      </c>
      <c r="B1172" s="9" t="s">
        <v>1746</v>
      </c>
      <c r="C1172" s="8" t="s">
        <v>304</v>
      </c>
      <c r="D1172" s="6" t="s">
        <v>534</v>
      </c>
      <c r="E1172" s="10">
        <v>6</v>
      </c>
      <c r="F1172">
        <v>8.4708415496757805</v>
      </c>
      <c r="G1172">
        <v>4.3921239190759502</v>
      </c>
      <c r="H1172" t="s">
        <v>92</v>
      </c>
      <c r="I1172" t="s">
        <v>266</v>
      </c>
      <c r="J1172" t="s">
        <v>267</v>
      </c>
      <c r="K1172" t="s">
        <v>1452</v>
      </c>
      <c r="L1172">
        <v>294</v>
      </c>
      <c r="M1172" t="s">
        <v>1798</v>
      </c>
      <c r="N1172">
        <v>300</v>
      </c>
      <c r="O1172" t="s">
        <v>1439</v>
      </c>
      <c r="P1172" s="1" t="s">
        <v>651</v>
      </c>
      <c r="Q1172" s="25">
        <v>32.099584999999998</v>
      </c>
      <c r="R1172" s="25">
        <v>-106.76058</v>
      </c>
      <c r="S1172">
        <v>-2.0552000000000001</v>
      </c>
      <c r="T1172">
        <v>-38.658499999999997</v>
      </c>
      <c r="U1172">
        <v>2.0552000000000001</v>
      </c>
      <c r="V1172" t="s">
        <v>1538</v>
      </c>
      <c r="W1172" t="s">
        <v>14</v>
      </c>
      <c r="X1172" t="s">
        <v>17</v>
      </c>
      <c r="Y1172" s="1" t="s">
        <v>1630</v>
      </c>
    </row>
    <row r="1173" spans="1:25" x14ac:dyDescent="0.25">
      <c r="A1173" s="4">
        <v>1950</v>
      </c>
      <c r="B1173" s="9" t="s">
        <v>1747</v>
      </c>
      <c r="C1173" s="8" t="s">
        <v>304</v>
      </c>
      <c r="D1173" s="6" t="s">
        <v>28</v>
      </c>
      <c r="E1173" s="10">
        <v>6</v>
      </c>
      <c r="F1173">
        <v>4.7099284502032397</v>
      </c>
      <c r="G1173">
        <v>1.7411564155283901</v>
      </c>
      <c r="H1173" t="s">
        <v>92</v>
      </c>
      <c r="I1173" t="s">
        <v>266</v>
      </c>
      <c r="J1173" t="s">
        <v>267</v>
      </c>
      <c r="K1173" t="s">
        <v>1434</v>
      </c>
      <c r="L1173">
        <v>278</v>
      </c>
      <c r="M1173" t="s">
        <v>1453</v>
      </c>
      <c r="N1173">
        <v>280</v>
      </c>
      <c r="O1173" t="s">
        <v>1440</v>
      </c>
      <c r="P1173" s="1" t="s">
        <v>572</v>
      </c>
      <c r="Q1173" s="25">
        <v>33.788252</v>
      </c>
      <c r="R1173" s="25">
        <v>-99.185900000000004</v>
      </c>
      <c r="S1173">
        <v>1.9882</v>
      </c>
      <c r="T1173">
        <v>-28.799399999999999</v>
      </c>
      <c r="U1173">
        <v>1.9882</v>
      </c>
      <c r="V1173" t="s">
        <v>1538</v>
      </c>
      <c r="W1173" t="s">
        <v>13</v>
      </c>
      <c r="X1173" t="s">
        <v>17</v>
      </c>
      <c r="Y1173" s="1" t="s">
        <v>1630</v>
      </c>
    </row>
    <row r="1174" spans="1:25" x14ac:dyDescent="0.25">
      <c r="A1174" s="4">
        <v>1951</v>
      </c>
      <c r="B1174" s="9" t="s">
        <v>568</v>
      </c>
      <c r="C1174" s="8" t="s">
        <v>304</v>
      </c>
      <c r="D1174" s="6" t="s">
        <v>28</v>
      </c>
      <c r="E1174" s="10">
        <v>6</v>
      </c>
      <c r="F1174">
        <v>9.7479097740204494</v>
      </c>
      <c r="G1174">
        <v>4.1149826672618701</v>
      </c>
      <c r="H1174" t="s">
        <v>92</v>
      </c>
      <c r="I1174" t="s">
        <v>266</v>
      </c>
      <c r="J1174" t="s">
        <v>267</v>
      </c>
      <c r="K1174" t="s">
        <v>1434</v>
      </c>
      <c r="L1174">
        <v>278</v>
      </c>
      <c r="M1174" t="s">
        <v>1453</v>
      </c>
      <c r="N1174">
        <v>280</v>
      </c>
      <c r="O1174" t="s">
        <v>1440</v>
      </c>
      <c r="P1174" s="1" t="s">
        <v>572</v>
      </c>
      <c r="Q1174" s="25">
        <v>33.788252</v>
      </c>
      <c r="R1174" s="25">
        <v>-99.185900000000004</v>
      </c>
      <c r="S1174">
        <v>1.9882</v>
      </c>
      <c r="T1174">
        <v>-28.799399999999999</v>
      </c>
      <c r="U1174">
        <v>1.9882</v>
      </c>
      <c r="V1174" t="s">
        <v>1538</v>
      </c>
      <c r="W1174" t="s">
        <v>13</v>
      </c>
      <c r="X1174" t="s">
        <v>17</v>
      </c>
      <c r="Y1174" s="1" t="s">
        <v>1630</v>
      </c>
    </row>
    <row r="1175" spans="1:25" x14ac:dyDescent="0.25">
      <c r="A1175" s="4">
        <v>1952</v>
      </c>
      <c r="B1175" s="9" t="s">
        <v>1748</v>
      </c>
      <c r="C1175" s="8" t="s">
        <v>1095</v>
      </c>
      <c r="D1175" s="6" t="s">
        <v>59</v>
      </c>
      <c r="E1175" s="10">
        <v>5</v>
      </c>
      <c r="F1175">
        <v>2.35112010287579</v>
      </c>
      <c r="G1175">
        <v>1.39475848360022</v>
      </c>
      <c r="H1175" t="s">
        <v>398</v>
      </c>
      <c r="I1175" t="s">
        <v>24</v>
      </c>
      <c r="J1175" t="s">
        <v>185</v>
      </c>
      <c r="K1175" t="s">
        <v>186</v>
      </c>
      <c r="L1175">
        <v>311</v>
      </c>
      <c r="M1175" t="s">
        <v>1799</v>
      </c>
      <c r="N1175">
        <v>320</v>
      </c>
      <c r="O1175" s="1" t="s">
        <v>431</v>
      </c>
      <c r="P1175" s="1" t="s">
        <v>429</v>
      </c>
      <c r="Q1175" s="25">
        <v>49.763750000000002</v>
      </c>
      <c r="R1175" s="25">
        <v>13.306709</v>
      </c>
      <c r="S1175">
        <v>-2.1156999999999999</v>
      </c>
      <c r="T1175">
        <v>18.6007</v>
      </c>
      <c r="U1175">
        <v>2.1156999999999999</v>
      </c>
      <c r="V1175" t="s">
        <v>1538</v>
      </c>
      <c r="W1175" t="s">
        <v>15</v>
      </c>
      <c r="X1175" t="s">
        <v>17</v>
      </c>
      <c r="Y1175" s="1" t="s">
        <v>430</v>
      </c>
    </row>
    <row r="1176" spans="1:25" x14ac:dyDescent="0.25">
      <c r="A1176" s="4">
        <v>1953</v>
      </c>
      <c r="B1176" s="9" t="s">
        <v>1748</v>
      </c>
      <c r="C1176" s="8" t="s">
        <v>1095</v>
      </c>
      <c r="D1176" s="6" t="s">
        <v>434</v>
      </c>
      <c r="E1176" s="10">
        <v>6</v>
      </c>
      <c r="F1176">
        <v>9.1263243953443194</v>
      </c>
      <c r="G1176">
        <v>3.99868341504401</v>
      </c>
      <c r="H1176" t="s">
        <v>398</v>
      </c>
      <c r="I1176" t="s">
        <v>24</v>
      </c>
      <c r="J1176" t="s">
        <v>185</v>
      </c>
      <c r="K1176" t="s">
        <v>186</v>
      </c>
      <c r="L1176">
        <v>311</v>
      </c>
      <c r="M1176" t="s">
        <v>1799</v>
      </c>
      <c r="N1176">
        <v>320</v>
      </c>
      <c r="O1176" s="1" t="s">
        <v>431</v>
      </c>
      <c r="P1176" s="1" t="s">
        <v>429</v>
      </c>
      <c r="Q1176" s="25">
        <v>49.763750000000002</v>
      </c>
      <c r="R1176" s="25">
        <v>13.306709</v>
      </c>
      <c r="S1176">
        <v>-2.1156999999999999</v>
      </c>
      <c r="T1176">
        <v>18.6007</v>
      </c>
      <c r="U1176">
        <v>2.1156999999999999</v>
      </c>
      <c r="V1176" t="s">
        <v>1538</v>
      </c>
      <c r="W1176" t="s">
        <v>15</v>
      </c>
      <c r="X1176" t="s">
        <v>17</v>
      </c>
      <c r="Y1176" s="1" t="s">
        <v>430</v>
      </c>
    </row>
    <row r="1177" spans="1:25" x14ac:dyDescent="0.25">
      <c r="A1177" s="4">
        <v>1954</v>
      </c>
      <c r="B1177" s="9" t="s">
        <v>1751</v>
      </c>
      <c r="C1177" s="8" t="s">
        <v>1095</v>
      </c>
      <c r="D1177" s="6" t="s">
        <v>28</v>
      </c>
      <c r="E1177" s="10">
        <v>6</v>
      </c>
      <c r="F1177">
        <v>6.7167913942739599</v>
      </c>
      <c r="G1177">
        <v>3.7516234236275401</v>
      </c>
      <c r="H1177" t="s">
        <v>398</v>
      </c>
      <c r="I1177" t="s">
        <v>24</v>
      </c>
      <c r="J1177" t="s">
        <v>185</v>
      </c>
      <c r="K1177" t="s">
        <v>186</v>
      </c>
      <c r="L1177">
        <v>311</v>
      </c>
      <c r="M1177" t="s">
        <v>1799</v>
      </c>
      <c r="N1177">
        <v>320</v>
      </c>
      <c r="O1177" s="1" t="s">
        <v>431</v>
      </c>
      <c r="P1177" s="1" t="s">
        <v>429</v>
      </c>
      <c r="Q1177" s="25">
        <v>49.763750000000002</v>
      </c>
      <c r="R1177" s="25">
        <v>13.306709</v>
      </c>
      <c r="S1177">
        <v>-2.1156999999999999</v>
      </c>
      <c r="T1177">
        <v>18.6007</v>
      </c>
      <c r="U1177">
        <v>2.1156999999999999</v>
      </c>
      <c r="V1177" t="s">
        <v>1538</v>
      </c>
      <c r="W1177" t="s">
        <v>15</v>
      </c>
      <c r="X1177" t="s">
        <v>17</v>
      </c>
      <c r="Y1177" s="1" t="s">
        <v>430</v>
      </c>
    </row>
  </sheetData>
  <autoFilter ref="A1:Y1177" xr:uid="{00000000-0009-0000-0000-000001000000}">
    <sortState xmlns:xlrd2="http://schemas.microsoft.com/office/spreadsheetml/2017/richdata2" ref="A2:Y1177">
      <sortCondition ref="A1:A1177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K89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4" sqref="A24"/>
    </sheetView>
  </sheetViews>
  <sheetFormatPr defaultRowHeight="15" x14ac:dyDescent="0.25"/>
  <cols>
    <col min="1" max="1" width="28.7109375" style="2" bestFit="1" customWidth="1"/>
    <col min="2" max="2" width="14.7109375" bestFit="1" customWidth="1"/>
    <col min="3" max="3" width="7.5703125" bestFit="1" customWidth="1"/>
    <col min="4" max="4" width="11.7109375" bestFit="1" customWidth="1"/>
    <col min="5" max="5" width="13.28515625" bestFit="1" customWidth="1"/>
    <col min="6" max="6" width="11.7109375" bestFit="1" customWidth="1"/>
    <col min="7" max="8" width="11.42578125" bestFit="1" customWidth="1"/>
    <col min="9" max="9" width="15" bestFit="1" customWidth="1"/>
    <col min="10" max="10" width="14" bestFit="1" customWidth="1"/>
    <col min="11" max="11" width="10.7109375" bestFit="1" customWidth="1"/>
    <col min="12" max="12" width="10.5703125" bestFit="1" customWidth="1"/>
    <col min="13" max="13" width="13.7109375" bestFit="1" customWidth="1"/>
    <col min="14" max="14" width="10.7109375" bestFit="1" customWidth="1"/>
    <col min="15" max="15" width="11.140625" bestFit="1" customWidth="1"/>
    <col min="16" max="16" width="12.42578125" bestFit="1" customWidth="1"/>
    <col min="17" max="17" width="11.5703125" bestFit="1" customWidth="1"/>
    <col min="18" max="18" width="10.140625" bestFit="1" customWidth="1"/>
    <col min="19" max="19" width="14.5703125" bestFit="1" customWidth="1"/>
    <col min="20" max="20" width="8.5703125" bestFit="1" customWidth="1"/>
    <col min="21" max="21" width="13.5703125" bestFit="1" customWidth="1"/>
    <col min="22" max="22" width="13.140625" bestFit="1" customWidth="1"/>
    <col min="23" max="23" width="9.85546875" bestFit="1" customWidth="1"/>
    <col min="24" max="24" width="16.42578125" bestFit="1" customWidth="1"/>
    <col min="25" max="25" width="15.28515625" bestFit="1" customWidth="1"/>
    <col min="26" max="26" width="14.5703125" bestFit="1" customWidth="1"/>
    <col min="27" max="27" width="11.5703125" bestFit="1" customWidth="1"/>
    <col min="28" max="28" width="13.85546875" bestFit="1" customWidth="1"/>
    <col min="29" max="29" width="15" bestFit="1" customWidth="1"/>
    <col min="30" max="30" width="13.140625" bestFit="1" customWidth="1"/>
    <col min="31" max="31" width="11.5703125" bestFit="1" customWidth="1"/>
    <col min="32" max="32" width="12.5703125" bestFit="1" customWidth="1"/>
    <col min="33" max="33" width="13.85546875" bestFit="1" customWidth="1"/>
    <col min="34" max="34" width="7" bestFit="1" customWidth="1"/>
    <col min="35" max="35" width="11" bestFit="1" customWidth="1"/>
    <col min="36" max="36" width="12.140625" bestFit="1" customWidth="1"/>
    <col min="37" max="37" width="8.7109375" bestFit="1" customWidth="1"/>
    <col min="38" max="38" width="14.7109375" bestFit="1" customWidth="1"/>
    <col min="39" max="39" width="19.42578125" bestFit="1" customWidth="1"/>
    <col min="40" max="40" width="14" bestFit="1" customWidth="1"/>
    <col min="41" max="41" width="16.42578125" bestFit="1" customWidth="1"/>
    <col min="42" max="42" width="13.28515625" bestFit="1" customWidth="1"/>
    <col min="43" max="43" width="17" bestFit="1" customWidth="1"/>
    <col min="44" max="44" width="14" bestFit="1" customWidth="1"/>
    <col min="45" max="45" width="8" bestFit="1" customWidth="1"/>
    <col min="46" max="46" width="11.5703125" bestFit="1" customWidth="1"/>
    <col min="47" max="47" width="8.140625" bestFit="1" customWidth="1"/>
    <col min="48" max="48" width="11.5703125" bestFit="1" customWidth="1"/>
    <col min="49" max="49" width="14" bestFit="1" customWidth="1"/>
    <col min="50" max="50" width="15.42578125" bestFit="1" customWidth="1"/>
    <col min="51" max="51" width="12" bestFit="1" customWidth="1"/>
    <col min="52" max="52" width="12.42578125" bestFit="1" customWidth="1"/>
    <col min="53" max="53" width="7.5703125" bestFit="1" customWidth="1"/>
    <col min="54" max="54" width="13.85546875" bestFit="1" customWidth="1"/>
    <col min="55" max="55" width="11.140625" bestFit="1" customWidth="1"/>
    <col min="56" max="56" width="8" bestFit="1" customWidth="1"/>
    <col min="57" max="57" width="17.5703125" bestFit="1" customWidth="1"/>
    <col min="58" max="58" width="15.7109375" bestFit="1" customWidth="1"/>
    <col min="59" max="59" width="14.28515625" bestFit="1" customWidth="1"/>
    <col min="60" max="60" width="14.42578125" bestFit="1" customWidth="1"/>
    <col min="61" max="61" width="18.140625" bestFit="1" customWidth="1"/>
    <col min="62" max="62" width="18.42578125" bestFit="1" customWidth="1"/>
    <col min="63" max="63" width="8.7109375" bestFit="1" customWidth="1"/>
    <col min="64" max="64" width="14.42578125" bestFit="1" customWidth="1"/>
    <col min="65" max="65" width="14.5703125" bestFit="1" customWidth="1"/>
    <col min="66" max="66" width="13.28515625" bestFit="1" customWidth="1"/>
    <col min="67" max="67" width="14.140625" bestFit="1" customWidth="1"/>
    <col min="68" max="68" width="13.28515625" bestFit="1" customWidth="1"/>
    <col min="69" max="70" width="12.5703125" bestFit="1" customWidth="1"/>
    <col min="71" max="71" width="12.42578125" bestFit="1" customWidth="1"/>
    <col min="72" max="72" width="18.28515625" bestFit="1" customWidth="1"/>
    <col min="73" max="73" width="11.28515625" bestFit="1" customWidth="1"/>
    <col min="74" max="74" width="9.42578125" bestFit="1" customWidth="1"/>
    <col min="75" max="75" width="9.85546875" bestFit="1" customWidth="1"/>
    <col min="76" max="76" width="9.5703125" bestFit="1" customWidth="1"/>
    <col min="77" max="77" width="11.7109375" bestFit="1" customWidth="1"/>
    <col min="78" max="78" width="14.28515625" bestFit="1" customWidth="1"/>
    <col min="79" max="79" width="14.5703125" bestFit="1" customWidth="1"/>
    <col min="80" max="80" width="10.42578125" bestFit="1" customWidth="1"/>
    <col min="81" max="81" width="13.42578125" bestFit="1" customWidth="1"/>
    <col min="82" max="82" width="14.28515625" bestFit="1" customWidth="1"/>
    <col min="83" max="83" width="8.28515625" bestFit="1" customWidth="1"/>
    <col min="84" max="84" width="16.140625" bestFit="1" customWidth="1"/>
    <col min="85" max="85" width="11.42578125" bestFit="1" customWidth="1"/>
    <col min="86" max="86" width="13.7109375" bestFit="1" customWidth="1"/>
    <col min="87" max="87" width="7.5703125" bestFit="1" customWidth="1"/>
    <col min="88" max="88" width="8.85546875" bestFit="1" customWidth="1"/>
    <col min="89" max="89" width="13.140625" bestFit="1" customWidth="1"/>
    <col min="90" max="90" width="12.85546875" bestFit="1" customWidth="1"/>
    <col min="91" max="91" width="8.85546875" bestFit="1" customWidth="1"/>
    <col min="92" max="92" width="9.140625" bestFit="1" customWidth="1"/>
    <col min="93" max="93" width="11.28515625" bestFit="1" customWidth="1"/>
    <col min="94" max="94" width="11.85546875" bestFit="1" customWidth="1"/>
    <col min="95" max="95" width="16.85546875" bestFit="1" customWidth="1"/>
    <col min="96" max="96" width="7" bestFit="1" customWidth="1"/>
    <col min="97" max="97" width="6.5703125" bestFit="1" customWidth="1"/>
    <col min="98" max="98" width="12.85546875" bestFit="1" customWidth="1"/>
    <col min="99" max="99" width="10.42578125" bestFit="1" customWidth="1"/>
    <col min="100" max="100" width="7.42578125" bestFit="1" customWidth="1"/>
    <col min="101" max="101" width="9.5703125" bestFit="1" customWidth="1"/>
    <col min="102" max="102" width="11.42578125" bestFit="1" customWidth="1"/>
    <col min="103" max="103" width="14.140625" bestFit="1" customWidth="1"/>
    <col min="104" max="104" width="15.42578125" bestFit="1" customWidth="1"/>
    <col min="105" max="106" width="11.42578125" bestFit="1" customWidth="1"/>
    <col min="107" max="107" width="10.140625" bestFit="1" customWidth="1"/>
  </cols>
  <sheetData>
    <row r="1" spans="1:193" s="12" customFormat="1" x14ac:dyDescent="0.25">
      <c r="A1" s="12" t="s">
        <v>8</v>
      </c>
      <c r="B1" s="30" t="s">
        <v>1578</v>
      </c>
      <c r="C1" s="31" t="s">
        <v>1140</v>
      </c>
      <c r="D1" s="30" t="s">
        <v>208</v>
      </c>
      <c r="E1" s="30" t="s">
        <v>1579</v>
      </c>
      <c r="F1" s="30" t="s">
        <v>1580</v>
      </c>
      <c r="G1" s="30" t="s">
        <v>1581</v>
      </c>
      <c r="H1" s="30" t="s">
        <v>1582</v>
      </c>
      <c r="I1" s="30" t="s">
        <v>1325</v>
      </c>
      <c r="J1" s="30" t="s">
        <v>1193</v>
      </c>
      <c r="K1" s="30" t="s">
        <v>104</v>
      </c>
      <c r="L1" s="30" t="s">
        <v>1583</v>
      </c>
      <c r="M1" s="30" t="s">
        <v>1093</v>
      </c>
      <c r="N1" s="30" t="s">
        <v>1227</v>
      </c>
      <c r="O1" s="30" t="s">
        <v>1584</v>
      </c>
      <c r="P1" s="30" t="s">
        <v>1058</v>
      </c>
      <c r="Q1" s="30" t="s">
        <v>406</v>
      </c>
      <c r="R1" s="30" t="s">
        <v>435</v>
      </c>
      <c r="S1" s="30" t="s">
        <v>156</v>
      </c>
      <c r="T1" s="30" t="s">
        <v>60</v>
      </c>
      <c r="U1" s="30" t="s">
        <v>1624</v>
      </c>
      <c r="V1" s="30" t="s">
        <v>1585</v>
      </c>
      <c r="W1" s="30" t="s">
        <v>643</v>
      </c>
      <c r="X1" s="30" t="s">
        <v>219</v>
      </c>
      <c r="Y1" s="30" t="s">
        <v>279</v>
      </c>
      <c r="Z1" s="30" t="s">
        <v>1056</v>
      </c>
      <c r="AA1" s="30" t="s">
        <v>28</v>
      </c>
      <c r="AB1" s="30" t="s">
        <v>1586</v>
      </c>
      <c r="AC1" s="30" t="s">
        <v>59</v>
      </c>
      <c r="AD1" s="30" t="s">
        <v>558</v>
      </c>
      <c r="AE1" s="30" t="s">
        <v>1587</v>
      </c>
      <c r="AF1" s="30" t="s">
        <v>233</v>
      </c>
      <c r="AG1" s="30" t="s">
        <v>161</v>
      </c>
      <c r="AH1" s="30" t="s">
        <v>639</v>
      </c>
      <c r="AI1" s="30" t="s">
        <v>1588</v>
      </c>
      <c r="AJ1" s="30" t="s">
        <v>1589</v>
      </c>
      <c r="AK1" s="30" t="s">
        <v>1094</v>
      </c>
      <c r="AL1" s="30" t="s">
        <v>162</v>
      </c>
      <c r="AM1" s="30" t="s">
        <v>1591</v>
      </c>
      <c r="AN1" s="30" t="s">
        <v>1590</v>
      </c>
      <c r="AO1" s="30" t="s">
        <v>1592</v>
      </c>
      <c r="AP1" s="30" t="s">
        <v>220</v>
      </c>
      <c r="AQ1" s="30" t="s">
        <v>1327</v>
      </c>
      <c r="AR1" s="30" t="s">
        <v>44</v>
      </c>
      <c r="AS1" s="30" t="s">
        <v>1046</v>
      </c>
      <c r="AT1" s="30" t="s">
        <v>1106</v>
      </c>
      <c r="AU1" s="30" t="s">
        <v>241</v>
      </c>
      <c r="AV1" s="30" t="s">
        <v>1109</v>
      </c>
      <c r="AW1" s="30" t="s">
        <v>130</v>
      </c>
      <c r="AX1" s="30" t="s">
        <v>1625</v>
      </c>
      <c r="AY1" s="30" t="s">
        <v>1593</v>
      </c>
      <c r="AZ1" s="30" t="s">
        <v>534</v>
      </c>
      <c r="BA1" s="30" t="s">
        <v>1594</v>
      </c>
      <c r="BB1" s="30" t="s">
        <v>1595</v>
      </c>
      <c r="BC1" s="30" t="s">
        <v>67</v>
      </c>
      <c r="BD1" s="30" t="s">
        <v>1596</v>
      </c>
      <c r="BE1" s="30" t="s">
        <v>850</v>
      </c>
      <c r="BF1" s="30" t="s">
        <v>319</v>
      </c>
      <c r="BG1" s="30" t="s">
        <v>1272</v>
      </c>
      <c r="BH1" s="30" t="s">
        <v>1597</v>
      </c>
      <c r="BI1" s="30" t="s">
        <v>1598</v>
      </c>
      <c r="BJ1" s="30" t="s">
        <v>1291</v>
      </c>
      <c r="BK1" s="30" t="s">
        <v>1599</v>
      </c>
      <c r="BL1" s="30" t="s">
        <v>721</v>
      </c>
      <c r="BM1" s="30" t="s">
        <v>1600</v>
      </c>
      <c r="BN1" s="30" t="s">
        <v>1601</v>
      </c>
      <c r="BO1" s="30" t="s">
        <v>72</v>
      </c>
      <c r="BP1" s="30" t="s">
        <v>807</v>
      </c>
      <c r="BQ1" s="30" t="s">
        <v>308</v>
      </c>
      <c r="BR1" s="30" t="s">
        <v>96</v>
      </c>
      <c r="BS1" s="30" t="s">
        <v>1127</v>
      </c>
      <c r="BT1" s="30" t="s">
        <v>1602</v>
      </c>
      <c r="BU1" s="30" t="s">
        <v>209</v>
      </c>
      <c r="BV1" s="30" t="s">
        <v>1603</v>
      </c>
      <c r="BW1" s="30" t="s">
        <v>36</v>
      </c>
      <c r="BX1" s="30" t="s">
        <v>1604</v>
      </c>
      <c r="BY1" s="30" t="s">
        <v>157</v>
      </c>
      <c r="BZ1" s="30" t="s">
        <v>1605</v>
      </c>
      <c r="CA1" s="30" t="s">
        <v>1606</v>
      </c>
      <c r="CB1" s="30" t="s">
        <v>289</v>
      </c>
      <c r="CC1" s="30" t="s">
        <v>1607</v>
      </c>
      <c r="CD1" s="30" t="s">
        <v>1608</v>
      </c>
      <c r="CE1" s="30" t="s">
        <v>1609</v>
      </c>
      <c r="CF1" s="30" t="s">
        <v>1610</v>
      </c>
      <c r="CG1" s="30" t="s">
        <v>64</v>
      </c>
      <c r="CH1" s="30" t="s">
        <v>1626</v>
      </c>
      <c r="CI1" s="30" t="s">
        <v>1627</v>
      </c>
      <c r="CJ1" s="30" t="s">
        <v>640</v>
      </c>
      <c r="CK1" s="30" t="s">
        <v>337</v>
      </c>
      <c r="CL1" s="30" t="s">
        <v>1611</v>
      </c>
      <c r="CM1" s="30" t="s">
        <v>196</v>
      </c>
      <c r="CN1" s="30" t="s">
        <v>1612</v>
      </c>
      <c r="CO1" s="30" t="s">
        <v>1613</v>
      </c>
      <c r="CP1" s="30" t="s">
        <v>1615</v>
      </c>
      <c r="CQ1" s="30" t="s">
        <v>1614</v>
      </c>
      <c r="CR1" s="30" t="s">
        <v>134</v>
      </c>
      <c r="CS1" s="30" t="s">
        <v>137</v>
      </c>
      <c r="CT1" s="30" t="s">
        <v>1616</v>
      </c>
      <c r="CU1" s="30" t="s">
        <v>1617</v>
      </c>
      <c r="CV1" s="30" t="s">
        <v>688</v>
      </c>
      <c r="CW1" s="30" t="s">
        <v>1618</v>
      </c>
      <c r="CX1" s="30" t="s">
        <v>1522</v>
      </c>
      <c r="CY1" s="30" t="s">
        <v>403</v>
      </c>
      <c r="CZ1" s="30" t="s">
        <v>295</v>
      </c>
      <c r="DA1" s="30" t="s">
        <v>1619</v>
      </c>
      <c r="DB1" s="30" t="s">
        <v>1620</v>
      </c>
      <c r="DC1" s="30" t="s">
        <v>73</v>
      </c>
    </row>
    <row r="2" spans="1:193" s="28" customFormat="1" x14ac:dyDescent="0.25">
      <c r="A2" s="29" t="s">
        <v>1539</v>
      </c>
      <c r="B2" s="25">
        <v>0</v>
      </c>
      <c r="C2" s="25">
        <v>0</v>
      </c>
      <c r="D2" s="25">
        <v>1</v>
      </c>
      <c r="E2" s="25">
        <v>0</v>
      </c>
      <c r="F2" s="25">
        <v>1</v>
      </c>
      <c r="G2" s="25">
        <v>0</v>
      </c>
      <c r="H2" s="25">
        <v>0</v>
      </c>
      <c r="I2" s="25">
        <v>0</v>
      </c>
      <c r="J2" s="25">
        <v>0</v>
      </c>
      <c r="K2" s="25">
        <v>0</v>
      </c>
      <c r="L2" s="25">
        <v>1</v>
      </c>
      <c r="M2" s="25">
        <v>0</v>
      </c>
      <c r="N2" s="25">
        <v>0</v>
      </c>
      <c r="O2" s="25">
        <v>1</v>
      </c>
      <c r="P2" s="25">
        <v>1</v>
      </c>
      <c r="Q2" s="25">
        <v>1</v>
      </c>
      <c r="R2" s="25">
        <v>1</v>
      </c>
      <c r="S2" s="25">
        <v>1</v>
      </c>
      <c r="T2" s="25">
        <v>1</v>
      </c>
      <c r="U2" s="25">
        <v>1</v>
      </c>
      <c r="V2" s="25">
        <v>0</v>
      </c>
      <c r="W2" s="25">
        <v>0</v>
      </c>
      <c r="X2" s="25">
        <v>0</v>
      </c>
      <c r="Y2" s="25">
        <v>1</v>
      </c>
      <c r="Z2" s="25">
        <v>1</v>
      </c>
      <c r="AA2" s="25">
        <v>1</v>
      </c>
      <c r="AB2" s="25">
        <v>1</v>
      </c>
      <c r="AC2" s="25">
        <v>1</v>
      </c>
      <c r="AD2" s="25">
        <v>0</v>
      </c>
      <c r="AE2" s="25">
        <v>0</v>
      </c>
      <c r="AF2" s="25">
        <v>1</v>
      </c>
      <c r="AG2" s="25">
        <v>1</v>
      </c>
      <c r="AH2" s="25">
        <v>1</v>
      </c>
      <c r="AI2" s="25">
        <v>1</v>
      </c>
      <c r="AJ2" s="25">
        <v>1</v>
      </c>
      <c r="AK2" s="25">
        <v>0</v>
      </c>
      <c r="AL2" s="25">
        <v>0</v>
      </c>
      <c r="AM2" s="25">
        <v>1</v>
      </c>
      <c r="AN2" s="25">
        <v>1</v>
      </c>
      <c r="AO2" s="25">
        <v>0</v>
      </c>
      <c r="AP2" s="25">
        <v>0</v>
      </c>
      <c r="AQ2" s="25">
        <v>0</v>
      </c>
      <c r="AR2" s="25">
        <v>0</v>
      </c>
      <c r="AS2" s="25">
        <v>1</v>
      </c>
      <c r="AT2" s="25">
        <v>0</v>
      </c>
      <c r="AU2" s="25">
        <v>1</v>
      </c>
      <c r="AV2" s="25">
        <v>0</v>
      </c>
      <c r="AW2" s="25">
        <v>1</v>
      </c>
      <c r="AX2" s="25">
        <v>0</v>
      </c>
      <c r="AY2" s="25">
        <v>1</v>
      </c>
      <c r="AZ2" s="25">
        <v>0</v>
      </c>
      <c r="BA2" s="25">
        <v>1</v>
      </c>
      <c r="BB2" s="25">
        <v>0</v>
      </c>
      <c r="BC2" s="25">
        <v>1</v>
      </c>
      <c r="BD2" s="25">
        <v>1</v>
      </c>
      <c r="BE2" s="25">
        <v>1</v>
      </c>
      <c r="BF2" s="25">
        <v>1</v>
      </c>
      <c r="BG2" s="25">
        <v>0</v>
      </c>
      <c r="BH2" s="25">
        <v>1</v>
      </c>
      <c r="BI2" s="25">
        <v>1</v>
      </c>
      <c r="BJ2" s="25">
        <v>0</v>
      </c>
      <c r="BK2" s="25">
        <v>1</v>
      </c>
      <c r="BL2" s="25">
        <v>1</v>
      </c>
      <c r="BM2" s="25">
        <v>0</v>
      </c>
      <c r="BN2" s="25">
        <v>1</v>
      </c>
      <c r="BO2" s="25">
        <v>1</v>
      </c>
      <c r="BP2" s="25">
        <v>1</v>
      </c>
      <c r="BQ2" s="25">
        <v>0</v>
      </c>
      <c r="BR2" s="25">
        <v>0</v>
      </c>
      <c r="BS2" s="25">
        <v>0</v>
      </c>
      <c r="BT2" s="25">
        <v>0</v>
      </c>
      <c r="BU2" s="25">
        <v>0</v>
      </c>
      <c r="BV2" s="25">
        <v>1</v>
      </c>
      <c r="BW2" s="25">
        <v>1</v>
      </c>
      <c r="BX2" s="25">
        <v>0</v>
      </c>
      <c r="BY2" s="25">
        <v>1</v>
      </c>
      <c r="BZ2" s="25">
        <v>1</v>
      </c>
      <c r="CA2" s="25">
        <v>1</v>
      </c>
      <c r="CB2" s="25">
        <v>0</v>
      </c>
      <c r="CC2" s="25">
        <v>1</v>
      </c>
      <c r="CD2" s="25">
        <v>1</v>
      </c>
      <c r="CE2" s="25">
        <v>0</v>
      </c>
      <c r="CF2" s="25">
        <v>0</v>
      </c>
      <c r="CG2" s="25">
        <v>1</v>
      </c>
      <c r="CH2" s="25">
        <v>0</v>
      </c>
      <c r="CI2" s="25">
        <v>1</v>
      </c>
      <c r="CJ2" s="25">
        <v>0</v>
      </c>
      <c r="CK2" s="25">
        <v>0</v>
      </c>
      <c r="CL2" s="25">
        <v>1</v>
      </c>
      <c r="CM2" s="25">
        <v>0</v>
      </c>
      <c r="CN2" s="25">
        <v>1</v>
      </c>
      <c r="CO2" s="25">
        <v>0</v>
      </c>
      <c r="CP2" s="25">
        <v>0</v>
      </c>
      <c r="CQ2" s="25">
        <v>0</v>
      </c>
      <c r="CR2" s="25">
        <v>0</v>
      </c>
      <c r="CS2" s="25">
        <v>0</v>
      </c>
      <c r="CT2" s="25">
        <v>0</v>
      </c>
      <c r="CU2" s="25">
        <v>1</v>
      </c>
      <c r="CV2" s="25">
        <v>0</v>
      </c>
      <c r="CW2" s="25">
        <v>0</v>
      </c>
      <c r="CX2" s="25">
        <v>0</v>
      </c>
      <c r="CY2" s="25">
        <v>1</v>
      </c>
      <c r="CZ2" s="25">
        <v>1</v>
      </c>
      <c r="DA2" s="25">
        <v>0</v>
      </c>
      <c r="DB2" s="25">
        <v>1</v>
      </c>
      <c r="DC2" s="25">
        <v>1</v>
      </c>
    </row>
    <row r="3" spans="1:193" s="28" customFormat="1" x14ac:dyDescent="0.25">
      <c r="A3" s="32" t="s">
        <v>1537</v>
      </c>
      <c r="B3" s="25">
        <v>1</v>
      </c>
      <c r="C3" s="25">
        <v>0</v>
      </c>
      <c r="D3" s="25">
        <v>0</v>
      </c>
      <c r="E3" s="25">
        <v>1</v>
      </c>
      <c r="F3" s="25">
        <v>1</v>
      </c>
      <c r="G3" s="25">
        <v>0</v>
      </c>
      <c r="H3" s="25">
        <v>1</v>
      </c>
      <c r="I3" s="25">
        <v>0</v>
      </c>
      <c r="J3" s="25">
        <v>0</v>
      </c>
      <c r="K3" s="25">
        <v>1</v>
      </c>
      <c r="L3" s="25">
        <v>1</v>
      </c>
      <c r="M3" s="25">
        <v>0</v>
      </c>
      <c r="N3" s="25">
        <v>0</v>
      </c>
      <c r="O3" s="25">
        <v>1</v>
      </c>
      <c r="P3" s="25">
        <v>0</v>
      </c>
      <c r="Q3" s="25">
        <v>1</v>
      </c>
      <c r="R3" s="25">
        <v>1</v>
      </c>
      <c r="S3" s="25">
        <v>1</v>
      </c>
      <c r="T3" s="25">
        <v>1</v>
      </c>
      <c r="U3" s="25">
        <v>0</v>
      </c>
      <c r="V3" s="25">
        <v>0</v>
      </c>
      <c r="W3" s="25">
        <v>0</v>
      </c>
      <c r="X3" s="25">
        <v>1</v>
      </c>
      <c r="Y3" s="25">
        <v>1</v>
      </c>
      <c r="Z3" s="25">
        <v>0</v>
      </c>
      <c r="AA3" s="25">
        <v>1</v>
      </c>
      <c r="AB3" s="25">
        <v>1</v>
      </c>
      <c r="AC3" s="25">
        <v>1</v>
      </c>
      <c r="AD3" s="25">
        <v>0</v>
      </c>
      <c r="AE3" s="25">
        <v>1</v>
      </c>
      <c r="AF3" s="25">
        <v>0</v>
      </c>
      <c r="AG3" s="25">
        <v>1</v>
      </c>
      <c r="AH3" s="25">
        <v>1</v>
      </c>
      <c r="AI3" s="25">
        <v>0</v>
      </c>
      <c r="AJ3" s="25">
        <v>1</v>
      </c>
      <c r="AK3" s="25">
        <v>0</v>
      </c>
      <c r="AL3" s="25">
        <v>1</v>
      </c>
      <c r="AM3" s="25">
        <v>1</v>
      </c>
      <c r="AN3" s="25">
        <v>1</v>
      </c>
      <c r="AO3" s="25">
        <v>0</v>
      </c>
      <c r="AP3" s="25">
        <v>1</v>
      </c>
      <c r="AQ3" s="25">
        <v>1</v>
      </c>
      <c r="AR3" s="25">
        <v>0</v>
      </c>
      <c r="AS3" s="25">
        <v>1</v>
      </c>
      <c r="AT3" s="25">
        <v>0</v>
      </c>
      <c r="AU3" s="25">
        <v>0</v>
      </c>
      <c r="AV3" s="25">
        <v>0</v>
      </c>
      <c r="AW3" s="25">
        <v>1</v>
      </c>
      <c r="AX3" s="25">
        <v>1</v>
      </c>
      <c r="AY3" s="25">
        <v>0</v>
      </c>
      <c r="AZ3" s="25">
        <v>0</v>
      </c>
      <c r="BA3" s="25">
        <v>1</v>
      </c>
      <c r="BB3" s="25">
        <v>0</v>
      </c>
      <c r="BC3" s="25">
        <v>1</v>
      </c>
      <c r="BD3" s="25">
        <v>1</v>
      </c>
      <c r="BE3" s="25">
        <v>0</v>
      </c>
      <c r="BF3" s="25">
        <v>0</v>
      </c>
      <c r="BG3" s="25">
        <v>0</v>
      </c>
      <c r="BH3" s="25">
        <v>0</v>
      </c>
      <c r="BI3" s="25">
        <v>1</v>
      </c>
      <c r="BJ3" s="25">
        <v>0</v>
      </c>
      <c r="BK3" s="25">
        <v>0</v>
      </c>
      <c r="BL3" s="25">
        <v>1</v>
      </c>
      <c r="BM3" s="25">
        <v>0</v>
      </c>
      <c r="BN3" s="25">
        <v>0</v>
      </c>
      <c r="BO3" s="25">
        <v>1</v>
      </c>
      <c r="BP3" s="25">
        <v>1</v>
      </c>
      <c r="BQ3" s="25">
        <v>0</v>
      </c>
      <c r="BR3" s="25">
        <v>0</v>
      </c>
      <c r="BS3" s="25">
        <v>0</v>
      </c>
      <c r="BT3" s="25">
        <v>0</v>
      </c>
      <c r="BU3" s="25">
        <v>0</v>
      </c>
      <c r="BV3" s="25">
        <v>0</v>
      </c>
      <c r="BW3" s="25">
        <v>1</v>
      </c>
      <c r="BX3" s="25">
        <v>1</v>
      </c>
      <c r="BY3" s="25">
        <v>1</v>
      </c>
      <c r="BZ3" s="25">
        <v>1</v>
      </c>
      <c r="CA3" s="25">
        <v>0</v>
      </c>
      <c r="CB3" s="25">
        <v>0</v>
      </c>
      <c r="CC3" s="25">
        <v>1</v>
      </c>
      <c r="CD3" s="25">
        <v>1</v>
      </c>
      <c r="CE3" s="25">
        <v>0</v>
      </c>
      <c r="CF3" s="25">
        <v>0</v>
      </c>
      <c r="CG3" s="25">
        <v>1</v>
      </c>
      <c r="CH3" s="25">
        <v>0</v>
      </c>
      <c r="CI3" s="25">
        <v>0</v>
      </c>
      <c r="CJ3" s="25">
        <v>0</v>
      </c>
      <c r="CK3" s="25">
        <v>0</v>
      </c>
      <c r="CL3" s="25">
        <v>0</v>
      </c>
      <c r="CM3" s="25">
        <v>1</v>
      </c>
      <c r="CN3" s="25">
        <v>1</v>
      </c>
      <c r="CO3" s="25">
        <v>0</v>
      </c>
      <c r="CP3" s="25">
        <v>0</v>
      </c>
      <c r="CQ3" s="25">
        <v>1</v>
      </c>
      <c r="CR3" s="25">
        <v>1</v>
      </c>
      <c r="CS3" s="25">
        <v>0</v>
      </c>
      <c r="CT3" s="25">
        <v>0</v>
      </c>
      <c r="CU3" s="25">
        <v>1</v>
      </c>
      <c r="CV3" s="25">
        <v>0</v>
      </c>
      <c r="CW3" s="25">
        <v>0</v>
      </c>
      <c r="CX3" s="25">
        <v>0</v>
      </c>
      <c r="CY3" s="25">
        <v>1</v>
      </c>
      <c r="CZ3" s="25">
        <v>1</v>
      </c>
      <c r="DA3" s="25">
        <v>0</v>
      </c>
      <c r="DB3" s="25">
        <v>1</v>
      </c>
      <c r="DC3" s="25">
        <v>1</v>
      </c>
    </row>
    <row r="4" spans="1:193" s="28" customFormat="1" x14ac:dyDescent="0.25">
      <c r="A4" s="29" t="s">
        <v>1536</v>
      </c>
      <c r="B4" s="25">
        <v>0</v>
      </c>
      <c r="C4" s="25">
        <v>0</v>
      </c>
      <c r="D4" s="25">
        <v>0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0</v>
      </c>
      <c r="AP4" s="25">
        <v>0</v>
      </c>
      <c r="AQ4" s="25">
        <v>0</v>
      </c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>
        <v>0</v>
      </c>
      <c r="AZ4" s="25">
        <v>1</v>
      </c>
      <c r="BA4" s="25">
        <v>1</v>
      </c>
      <c r="BB4" s="25">
        <v>0</v>
      </c>
      <c r="BC4" s="25">
        <v>0</v>
      </c>
      <c r="BD4" s="25">
        <v>0</v>
      </c>
      <c r="BE4" s="25">
        <v>0</v>
      </c>
      <c r="BF4" s="25">
        <v>0</v>
      </c>
      <c r="BG4" s="25">
        <v>0</v>
      </c>
      <c r="BH4" s="25">
        <v>0</v>
      </c>
      <c r="BI4" s="25">
        <v>1</v>
      </c>
      <c r="BJ4" s="25">
        <v>0</v>
      </c>
      <c r="BK4" s="25">
        <v>0</v>
      </c>
      <c r="BL4" s="25">
        <v>1</v>
      </c>
      <c r="BM4" s="25">
        <v>1</v>
      </c>
      <c r="BN4" s="25">
        <v>0</v>
      </c>
      <c r="BO4" s="25">
        <v>0</v>
      </c>
      <c r="BP4" s="25">
        <v>1</v>
      </c>
      <c r="BQ4" s="25">
        <v>1</v>
      </c>
      <c r="BR4" s="25">
        <v>1</v>
      </c>
      <c r="BS4" s="25">
        <v>0</v>
      </c>
      <c r="BT4" s="25">
        <v>0</v>
      </c>
      <c r="BU4" s="25">
        <v>0</v>
      </c>
      <c r="BV4" s="25">
        <v>0</v>
      </c>
      <c r="BW4" s="25">
        <v>1</v>
      </c>
      <c r="BX4" s="25">
        <v>0</v>
      </c>
      <c r="BY4" s="25">
        <v>0</v>
      </c>
      <c r="BZ4" s="25">
        <v>1</v>
      </c>
      <c r="CA4" s="25">
        <v>0</v>
      </c>
      <c r="CB4" s="25">
        <v>0</v>
      </c>
      <c r="CC4" s="25">
        <v>0</v>
      </c>
      <c r="CD4" s="25">
        <v>1</v>
      </c>
      <c r="CE4" s="25">
        <v>0</v>
      </c>
      <c r="CF4" s="25">
        <v>0</v>
      </c>
      <c r="CG4" s="25">
        <v>1</v>
      </c>
      <c r="CH4" s="25">
        <v>1</v>
      </c>
      <c r="CI4" s="25">
        <v>0</v>
      </c>
      <c r="CJ4" s="25">
        <v>0</v>
      </c>
      <c r="CK4" s="25">
        <v>0</v>
      </c>
      <c r="CL4" s="25">
        <v>0</v>
      </c>
      <c r="CM4" s="25">
        <v>0</v>
      </c>
      <c r="CN4" s="25">
        <v>1</v>
      </c>
      <c r="CO4" s="25">
        <v>0</v>
      </c>
      <c r="CP4" s="25">
        <v>0</v>
      </c>
      <c r="CQ4" s="25">
        <v>0</v>
      </c>
      <c r="CR4" s="25">
        <v>0</v>
      </c>
      <c r="CS4" s="25">
        <v>1</v>
      </c>
      <c r="CT4" s="25">
        <v>1</v>
      </c>
      <c r="CU4" s="25">
        <v>1</v>
      </c>
      <c r="CV4" s="25">
        <v>0</v>
      </c>
      <c r="CW4" s="25">
        <v>0</v>
      </c>
      <c r="CX4" s="25">
        <v>0</v>
      </c>
      <c r="CY4" s="25">
        <v>0</v>
      </c>
      <c r="CZ4" s="25">
        <v>1</v>
      </c>
      <c r="DA4" s="25">
        <v>0</v>
      </c>
      <c r="DB4" s="25">
        <v>0</v>
      </c>
      <c r="DC4" s="25">
        <v>0</v>
      </c>
    </row>
    <row r="5" spans="1:193" s="25" customFormat="1" x14ac:dyDescent="0.25">
      <c r="A5" s="29" t="s">
        <v>1538</v>
      </c>
      <c r="B5" s="25">
        <v>0</v>
      </c>
      <c r="C5" s="25">
        <v>1</v>
      </c>
      <c r="D5" s="25">
        <v>1</v>
      </c>
      <c r="E5" s="25">
        <v>1</v>
      </c>
      <c r="F5" s="25">
        <v>1</v>
      </c>
      <c r="G5" s="25">
        <v>1</v>
      </c>
      <c r="H5" s="25">
        <v>1</v>
      </c>
      <c r="I5" s="25">
        <v>1</v>
      </c>
      <c r="J5" s="25">
        <v>1</v>
      </c>
      <c r="K5" s="25">
        <v>1</v>
      </c>
      <c r="L5" s="25">
        <v>0</v>
      </c>
      <c r="M5" s="25">
        <v>1</v>
      </c>
      <c r="N5" s="25">
        <v>1</v>
      </c>
      <c r="O5" s="25">
        <v>1</v>
      </c>
      <c r="P5" s="25">
        <v>0</v>
      </c>
      <c r="Q5" s="25">
        <v>1</v>
      </c>
      <c r="R5" s="25">
        <v>0</v>
      </c>
      <c r="S5" s="25">
        <v>1</v>
      </c>
      <c r="T5" s="25">
        <v>1</v>
      </c>
      <c r="U5" s="25">
        <v>0</v>
      </c>
      <c r="V5" s="25">
        <v>1</v>
      </c>
      <c r="W5" s="25">
        <v>1</v>
      </c>
      <c r="X5" s="25">
        <v>1</v>
      </c>
      <c r="Y5" s="25">
        <v>1</v>
      </c>
      <c r="Z5" s="25">
        <v>0</v>
      </c>
      <c r="AA5" s="25">
        <v>1</v>
      </c>
      <c r="AB5" s="25">
        <v>1</v>
      </c>
      <c r="AC5" s="25">
        <v>1</v>
      </c>
      <c r="AD5" s="25">
        <v>1</v>
      </c>
      <c r="AE5" s="25">
        <v>0</v>
      </c>
      <c r="AF5" s="25">
        <v>0</v>
      </c>
      <c r="AG5" s="25">
        <v>0</v>
      </c>
      <c r="AH5" s="25">
        <v>1</v>
      </c>
      <c r="AI5" s="25">
        <v>0</v>
      </c>
      <c r="AJ5" s="25">
        <v>0</v>
      </c>
      <c r="AK5" s="25">
        <v>1</v>
      </c>
      <c r="AL5" s="25">
        <v>0</v>
      </c>
      <c r="AM5" s="25">
        <v>1</v>
      </c>
      <c r="AN5" s="25">
        <v>1</v>
      </c>
      <c r="AO5" s="25">
        <v>1</v>
      </c>
      <c r="AP5" s="25">
        <v>0</v>
      </c>
      <c r="AQ5" s="25">
        <v>0</v>
      </c>
      <c r="AR5" s="25">
        <v>1</v>
      </c>
      <c r="AS5" s="25">
        <v>0</v>
      </c>
      <c r="AT5" s="25">
        <v>1</v>
      </c>
      <c r="AU5" s="25">
        <v>0</v>
      </c>
      <c r="AV5" s="25">
        <v>1</v>
      </c>
      <c r="AW5" s="25">
        <v>1</v>
      </c>
      <c r="AX5" s="25">
        <v>1</v>
      </c>
      <c r="AY5" s="25">
        <v>0</v>
      </c>
      <c r="AZ5" s="25">
        <v>1</v>
      </c>
      <c r="BA5" s="25">
        <v>1</v>
      </c>
      <c r="BB5" s="25">
        <v>1</v>
      </c>
      <c r="BC5" s="25">
        <v>1</v>
      </c>
      <c r="BD5" s="25">
        <v>1</v>
      </c>
      <c r="BE5" s="25">
        <v>1</v>
      </c>
      <c r="BF5" s="25">
        <v>1</v>
      </c>
      <c r="BG5" s="25">
        <v>1</v>
      </c>
      <c r="BH5" s="25">
        <v>0</v>
      </c>
      <c r="BI5" s="25">
        <v>0</v>
      </c>
      <c r="BJ5" s="25">
        <v>1</v>
      </c>
      <c r="BK5" s="25">
        <v>1</v>
      </c>
      <c r="BL5" s="25">
        <v>1</v>
      </c>
      <c r="BM5" s="25">
        <v>0</v>
      </c>
      <c r="BN5" s="25">
        <v>1</v>
      </c>
      <c r="BO5" s="25">
        <v>0</v>
      </c>
      <c r="BP5" s="25">
        <v>1</v>
      </c>
      <c r="BQ5" s="25">
        <v>1</v>
      </c>
      <c r="BR5" s="25">
        <v>1</v>
      </c>
      <c r="BS5" s="25">
        <v>1</v>
      </c>
      <c r="BT5" s="25">
        <v>1</v>
      </c>
      <c r="BU5" s="25">
        <v>1</v>
      </c>
      <c r="BV5" s="25">
        <v>0</v>
      </c>
      <c r="BW5" s="25">
        <v>1</v>
      </c>
      <c r="BX5" s="25">
        <v>0</v>
      </c>
      <c r="BY5" s="25">
        <v>1</v>
      </c>
      <c r="BZ5" s="25">
        <v>1</v>
      </c>
      <c r="CA5" s="25">
        <v>1</v>
      </c>
      <c r="CB5" s="25">
        <v>1</v>
      </c>
      <c r="CC5" s="25">
        <v>0</v>
      </c>
      <c r="CD5" s="25">
        <v>1</v>
      </c>
      <c r="CE5" s="25">
        <v>1</v>
      </c>
      <c r="CF5" s="25">
        <v>1</v>
      </c>
      <c r="CG5" s="25">
        <v>1</v>
      </c>
      <c r="CH5" s="25">
        <v>0</v>
      </c>
      <c r="CI5" s="25">
        <v>0</v>
      </c>
      <c r="CJ5" s="25">
        <v>1</v>
      </c>
      <c r="CK5" s="25">
        <v>1</v>
      </c>
      <c r="CL5" s="25">
        <v>0</v>
      </c>
      <c r="CM5" s="25">
        <v>0</v>
      </c>
      <c r="CN5" s="25">
        <v>1</v>
      </c>
      <c r="CO5" s="25">
        <v>1</v>
      </c>
      <c r="CP5" s="25">
        <v>1</v>
      </c>
      <c r="CQ5" s="25">
        <v>1</v>
      </c>
      <c r="CR5" s="25">
        <v>1</v>
      </c>
      <c r="CS5" s="25">
        <v>1</v>
      </c>
      <c r="CT5" s="25">
        <v>1</v>
      </c>
      <c r="CU5" s="25">
        <v>1</v>
      </c>
      <c r="CV5" s="25">
        <v>1</v>
      </c>
      <c r="CW5" s="25">
        <v>1</v>
      </c>
      <c r="CX5" s="25">
        <v>1</v>
      </c>
      <c r="CY5" s="25">
        <v>1</v>
      </c>
      <c r="CZ5" s="25">
        <v>1</v>
      </c>
      <c r="DA5" s="25">
        <v>1</v>
      </c>
      <c r="DB5" s="25">
        <v>1</v>
      </c>
      <c r="DC5" s="25">
        <v>0</v>
      </c>
    </row>
    <row r="6" spans="1:193" s="28" customFormat="1" x14ac:dyDescent="0.25">
      <c r="A6" s="29" t="s">
        <v>14</v>
      </c>
      <c r="B6" s="25">
        <v>1</v>
      </c>
      <c r="C6" s="25">
        <v>1</v>
      </c>
      <c r="D6" s="25">
        <v>1</v>
      </c>
      <c r="E6" s="25">
        <v>1</v>
      </c>
      <c r="F6" s="25">
        <v>1</v>
      </c>
      <c r="G6" s="25">
        <v>0</v>
      </c>
      <c r="H6" s="25">
        <v>0</v>
      </c>
      <c r="I6" s="25">
        <v>1</v>
      </c>
      <c r="J6" s="25">
        <v>0</v>
      </c>
      <c r="K6" s="25">
        <v>1</v>
      </c>
      <c r="L6" s="25">
        <v>0</v>
      </c>
      <c r="M6" s="25">
        <v>0</v>
      </c>
      <c r="N6" s="25">
        <v>0</v>
      </c>
      <c r="O6" s="25">
        <v>1</v>
      </c>
      <c r="P6" s="25">
        <v>0</v>
      </c>
      <c r="Q6" s="25">
        <v>1</v>
      </c>
      <c r="R6" s="25">
        <v>0</v>
      </c>
      <c r="S6" s="25">
        <v>1</v>
      </c>
      <c r="T6" s="25">
        <v>1</v>
      </c>
      <c r="U6" s="25">
        <v>1</v>
      </c>
      <c r="V6" s="25">
        <v>0</v>
      </c>
      <c r="W6" s="25">
        <v>1</v>
      </c>
      <c r="X6" s="25">
        <v>0</v>
      </c>
      <c r="Y6" s="25">
        <v>1</v>
      </c>
      <c r="Z6" s="25">
        <v>0</v>
      </c>
      <c r="AA6" s="25">
        <v>1</v>
      </c>
      <c r="AB6" s="25">
        <v>0</v>
      </c>
      <c r="AC6" s="25">
        <v>1</v>
      </c>
      <c r="AD6" s="25">
        <v>0</v>
      </c>
      <c r="AE6" s="25">
        <v>1</v>
      </c>
      <c r="AF6" s="25">
        <v>0</v>
      </c>
      <c r="AG6" s="25">
        <v>1</v>
      </c>
      <c r="AH6" s="25">
        <v>1</v>
      </c>
      <c r="AI6" s="25">
        <v>0</v>
      </c>
      <c r="AJ6" s="25">
        <v>1</v>
      </c>
      <c r="AK6" s="25">
        <v>0</v>
      </c>
      <c r="AL6" s="25">
        <v>1</v>
      </c>
      <c r="AM6" s="25">
        <v>1</v>
      </c>
      <c r="AN6" s="25">
        <v>1</v>
      </c>
      <c r="AO6" s="25">
        <v>1</v>
      </c>
      <c r="AP6" s="25">
        <v>0</v>
      </c>
      <c r="AQ6" s="25">
        <v>1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1</v>
      </c>
      <c r="AX6" s="25">
        <v>0</v>
      </c>
      <c r="AY6" s="25">
        <v>0</v>
      </c>
      <c r="AZ6" s="25">
        <v>1</v>
      </c>
      <c r="BA6" s="25">
        <v>1</v>
      </c>
      <c r="BB6" s="25">
        <v>1</v>
      </c>
      <c r="BC6" s="25">
        <v>0</v>
      </c>
      <c r="BD6" s="25">
        <v>1</v>
      </c>
      <c r="BE6" s="25">
        <v>0</v>
      </c>
      <c r="BF6" s="25">
        <v>0</v>
      </c>
      <c r="BG6" s="25">
        <v>0</v>
      </c>
      <c r="BH6" s="25">
        <v>0</v>
      </c>
      <c r="BI6" s="25">
        <v>1</v>
      </c>
      <c r="BJ6" s="25">
        <v>0</v>
      </c>
      <c r="BK6" s="25">
        <v>0</v>
      </c>
      <c r="BL6" s="25">
        <v>1</v>
      </c>
      <c r="BM6" s="25">
        <v>1</v>
      </c>
      <c r="BN6" s="25">
        <v>0</v>
      </c>
      <c r="BO6" s="25">
        <v>0</v>
      </c>
      <c r="BP6" s="25">
        <v>1</v>
      </c>
      <c r="BQ6" s="25">
        <v>1</v>
      </c>
      <c r="BR6" s="25">
        <v>1</v>
      </c>
      <c r="BS6" s="25">
        <v>0</v>
      </c>
      <c r="BT6" s="25">
        <v>0</v>
      </c>
      <c r="BU6" s="25">
        <v>0</v>
      </c>
      <c r="BV6" s="25">
        <v>0</v>
      </c>
      <c r="BW6" s="25">
        <v>1</v>
      </c>
      <c r="BX6" s="25">
        <v>1</v>
      </c>
      <c r="BY6" s="25">
        <v>1</v>
      </c>
      <c r="BZ6" s="25">
        <v>1</v>
      </c>
      <c r="CA6" s="25">
        <v>0</v>
      </c>
      <c r="CB6" s="25">
        <v>0</v>
      </c>
      <c r="CC6" s="25">
        <v>0</v>
      </c>
      <c r="CD6" s="25">
        <v>0</v>
      </c>
      <c r="CE6" s="25">
        <v>0</v>
      </c>
      <c r="CF6" s="25">
        <v>0</v>
      </c>
      <c r="CG6" s="25">
        <v>1</v>
      </c>
      <c r="CH6" s="25">
        <v>1</v>
      </c>
      <c r="CI6" s="25">
        <v>0</v>
      </c>
      <c r="CJ6" s="25">
        <v>1</v>
      </c>
      <c r="CK6" s="25">
        <v>1</v>
      </c>
      <c r="CL6" s="25">
        <v>0</v>
      </c>
      <c r="CM6" s="25">
        <v>0</v>
      </c>
      <c r="CN6" s="25">
        <v>1</v>
      </c>
      <c r="CO6" s="25">
        <v>1</v>
      </c>
      <c r="CP6" s="25">
        <v>0</v>
      </c>
      <c r="CQ6" s="25">
        <v>1</v>
      </c>
      <c r="CR6" s="25">
        <v>1</v>
      </c>
      <c r="CS6" s="25">
        <v>1</v>
      </c>
      <c r="CT6" s="25">
        <v>1</v>
      </c>
      <c r="CU6" s="25">
        <v>1</v>
      </c>
      <c r="CV6" s="25">
        <v>1</v>
      </c>
      <c r="CW6" s="25">
        <v>0</v>
      </c>
      <c r="CX6" s="25">
        <v>0</v>
      </c>
      <c r="CY6" s="25">
        <v>1</v>
      </c>
      <c r="CZ6" s="25">
        <v>1</v>
      </c>
      <c r="DA6" s="25">
        <v>0</v>
      </c>
      <c r="DB6" s="25">
        <v>1</v>
      </c>
      <c r="DC6" s="25">
        <v>0</v>
      </c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5"/>
      <c r="EY6" s="25"/>
      <c r="EZ6" s="25"/>
      <c r="FA6" s="25"/>
      <c r="FB6" s="25"/>
      <c r="FC6" s="25"/>
      <c r="FD6" s="25"/>
      <c r="FE6" s="25"/>
      <c r="FF6" s="25"/>
      <c r="FG6" s="25"/>
      <c r="FH6" s="25"/>
      <c r="FI6" s="25"/>
      <c r="FJ6" s="25"/>
      <c r="FK6" s="25"/>
      <c r="FL6" s="25"/>
      <c r="FM6" s="25"/>
      <c r="FN6" s="25"/>
      <c r="FO6" s="25"/>
      <c r="FP6" s="25"/>
      <c r="FQ6" s="25"/>
      <c r="FR6" s="25"/>
      <c r="FS6" s="25"/>
      <c r="FT6" s="25"/>
      <c r="FU6" s="25"/>
      <c r="FV6" s="25"/>
      <c r="FW6" s="25"/>
      <c r="FX6" s="25"/>
      <c r="FY6" s="25"/>
      <c r="FZ6" s="25"/>
      <c r="GA6" s="25"/>
      <c r="GB6" s="25"/>
      <c r="GC6" s="25"/>
      <c r="GD6" s="25"/>
      <c r="GE6" s="25"/>
      <c r="GF6" s="25"/>
      <c r="GG6" s="25"/>
      <c r="GH6" s="25"/>
      <c r="GI6" s="25"/>
      <c r="GJ6" s="25"/>
      <c r="GK6" s="25"/>
    </row>
    <row r="7" spans="1:193" s="28" customFormat="1" x14ac:dyDescent="0.25">
      <c r="A7" s="29" t="s">
        <v>13</v>
      </c>
      <c r="B7" s="25">
        <v>0</v>
      </c>
      <c r="C7" s="25">
        <v>0</v>
      </c>
      <c r="D7" s="25">
        <v>1</v>
      </c>
      <c r="E7" s="25">
        <v>1</v>
      </c>
      <c r="F7" s="25">
        <v>1</v>
      </c>
      <c r="G7" s="25">
        <v>1</v>
      </c>
      <c r="H7" s="25">
        <v>1</v>
      </c>
      <c r="I7" s="25">
        <v>1</v>
      </c>
      <c r="J7" s="25">
        <v>0</v>
      </c>
      <c r="K7" s="25">
        <v>1</v>
      </c>
      <c r="L7" s="25">
        <v>1</v>
      </c>
      <c r="M7" s="25">
        <v>0</v>
      </c>
      <c r="N7" s="25">
        <v>1</v>
      </c>
      <c r="O7" s="25">
        <v>1</v>
      </c>
      <c r="P7" s="25">
        <v>1</v>
      </c>
      <c r="Q7" s="25">
        <v>1</v>
      </c>
      <c r="R7" s="25">
        <v>1</v>
      </c>
      <c r="S7" s="25">
        <v>1</v>
      </c>
      <c r="T7" s="25">
        <v>1</v>
      </c>
      <c r="U7" s="25">
        <v>0</v>
      </c>
      <c r="V7" s="25">
        <v>0</v>
      </c>
      <c r="W7" s="25">
        <v>0</v>
      </c>
      <c r="X7" s="25">
        <v>1</v>
      </c>
      <c r="Y7" s="25">
        <v>1</v>
      </c>
      <c r="Z7" s="25">
        <v>1</v>
      </c>
      <c r="AA7" s="25">
        <v>1</v>
      </c>
      <c r="AB7" s="25">
        <v>1</v>
      </c>
      <c r="AC7" s="25">
        <v>1</v>
      </c>
      <c r="AD7" s="25">
        <v>1</v>
      </c>
      <c r="AE7" s="25">
        <v>0</v>
      </c>
      <c r="AF7" s="25">
        <v>0</v>
      </c>
      <c r="AG7" s="25">
        <v>1</v>
      </c>
      <c r="AH7" s="25">
        <v>1</v>
      </c>
      <c r="AI7" s="25">
        <v>1</v>
      </c>
      <c r="AJ7" s="25">
        <v>1</v>
      </c>
      <c r="AK7" s="25">
        <v>0</v>
      </c>
      <c r="AL7" s="25">
        <v>0</v>
      </c>
      <c r="AM7" s="25">
        <v>1</v>
      </c>
      <c r="AN7" s="25">
        <v>1</v>
      </c>
      <c r="AO7" s="25">
        <v>0</v>
      </c>
      <c r="AP7" s="25">
        <v>1</v>
      </c>
      <c r="AQ7" s="25">
        <v>0</v>
      </c>
      <c r="AR7" s="25">
        <v>1</v>
      </c>
      <c r="AS7" s="25">
        <v>1</v>
      </c>
      <c r="AT7" s="25">
        <v>0</v>
      </c>
      <c r="AU7" s="25">
        <v>1</v>
      </c>
      <c r="AV7" s="25">
        <v>0</v>
      </c>
      <c r="AW7" s="25">
        <v>1</v>
      </c>
      <c r="AX7" s="25">
        <v>1</v>
      </c>
      <c r="AY7" s="25">
        <v>1</v>
      </c>
      <c r="AZ7" s="25">
        <v>1</v>
      </c>
      <c r="BA7" s="25">
        <v>1</v>
      </c>
      <c r="BB7" s="25">
        <v>0</v>
      </c>
      <c r="BC7" s="25">
        <v>1</v>
      </c>
      <c r="BD7" s="25">
        <v>1</v>
      </c>
      <c r="BE7" s="25">
        <v>1</v>
      </c>
      <c r="BF7" s="25">
        <v>1</v>
      </c>
      <c r="BG7" s="25">
        <v>0</v>
      </c>
      <c r="BH7" s="25">
        <v>1</v>
      </c>
      <c r="BI7" s="25">
        <v>1</v>
      </c>
      <c r="BJ7" s="25">
        <v>0</v>
      </c>
      <c r="BK7" s="25">
        <v>1</v>
      </c>
      <c r="BL7" s="25">
        <v>1</v>
      </c>
      <c r="BM7" s="25">
        <v>0</v>
      </c>
      <c r="BN7" s="25">
        <v>0</v>
      </c>
      <c r="BO7" s="25">
        <v>1</v>
      </c>
      <c r="BP7" s="25">
        <v>1</v>
      </c>
      <c r="BQ7" s="25">
        <v>1</v>
      </c>
      <c r="BR7" s="25">
        <v>1</v>
      </c>
      <c r="BS7" s="25">
        <v>0</v>
      </c>
      <c r="BT7" s="25">
        <v>0</v>
      </c>
      <c r="BU7" s="25">
        <v>1</v>
      </c>
      <c r="BV7" s="25">
        <v>1</v>
      </c>
      <c r="BW7" s="25">
        <v>1</v>
      </c>
      <c r="BX7" s="25">
        <v>0</v>
      </c>
      <c r="BY7" s="25">
        <v>1</v>
      </c>
      <c r="BZ7" s="25">
        <v>1</v>
      </c>
      <c r="CA7" s="25">
        <v>1</v>
      </c>
      <c r="CB7" s="25">
        <v>1</v>
      </c>
      <c r="CC7" s="25">
        <v>1</v>
      </c>
      <c r="CD7" s="25">
        <v>1</v>
      </c>
      <c r="CE7" s="25">
        <v>1</v>
      </c>
      <c r="CF7" s="25">
        <v>1</v>
      </c>
      <c r="CG7" s="25">
        <v>1</v>
      </c>
      <c r="CH7" s="25">
        <v>0</v>
      </c>
      <c r="CI7" s="25">
        <v>1</v>
      </c>
      <c r="CJ7" s="25">
        <v>0</v>
      </c>
      <c r="CK7" s="25">
        <v>1</v>
      </c>
      <c r="CL7" s="25">
        <v>1</v>
      </c>
      <c r="CM7" s="25">
        <v>1</v>
      </c>
      <c r="CN7" s="25">
        <v>1</v>
      </c>
      <c r="CO7" s="25">
        <v>1</v>
      </c>
      <c r="CP7" s="25">
        <v>1</v>
      </c>
      <c r="CQ7" s="25">
        <v>0</v>
      </c>
      <c r="CR7" s="25">
        <v>1</v>
      </c>
      <c r="CS7" s="25">
        <v>1</v>
      </c>
      <c r="CT7" s="25">
        <v>1</v>
      </c>
      <c r="CU7" s="25">
        <v>1</v>
      </c>
      <c r="CV7" s="25">
        <v>0</v>
      </c>
      <c r="CW7" s="25">
        <v>0</v>
      </c>
      <c r="CX7" s="25">
        <v>0</v>
      </c>
      <c r="CY7" s="25">
        <v>1</v>
      </c>
      <c r="CZ7" s="25">
        <v>1</v>
      </c>
      <c r="DA7" s="25">
        <v>0</v>
      </c>
      <c r="DB7" s="25">
        <v>1</v>
      </c>
      <c r="DC7" s="25">
        <v>1</v>
      </c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5"/>
      <c r="EY7" s="25"/>
      <c r="EZ7" s="25"/>
      <c r="FA7" s="25"/>
      <c r="FB7" s="25"/>
      <c r="FC7" s="25"/>
      <c r="FD7" s="25"/>
      <c r="FE7" s="25"/>
      <c r="FF7" s="25"/>
      <c r="FG7" s="25"/>
      <c r="FH7" s="25"/>
      <c r="FI7" s="25"/>
      <c r="FJ7" s="25"/>
      <c r="FK7" s="25"/>
      <c r="FL7" s="25"/>
      <c r="FM7" s="25"/>
      <c r="FN7" s="25"/>
      <c r="FO7" s="25"/>
      <c r="FP7" s="25"/>
      <c r="FQ7" s="25"/>
      <c r="FR7" s="25"/>
      <c r="FS7" s="25"/>
      <c r="FT7" s="25"/>
      <c r="FU7" s="25"/>
      <c r="FV7" s="25"/>
      <c r="FW7" s="25"/>
      <c r="FX7" s="25"/>
      <c r="FY7" s="25"/>
      <c r="FZ7" s="25"/>
      <c r="GA7" s="25"/>
      <c r="GB7" s="25"/>
      <c r="GC7" s="25"/>
      <c r="GD7" s="25"/>
      <c r="GE7" s="25"/>
      <c r="GF7" s="25"/>
      <c r="GG7" s="25"/>
      <c r="GH7" s="25"/>
      <c r="GI7" s="25"/>
      <c r="GJ7" s="25"/>
      <c r="GK7" s="25"/>
    </row>
    <row r="8" spans="1:193" s="28" customFormat="1" x14ac:dyDescent="0.25">
      <c r="A8" s="29" t="s">
        <v>15</v>
      </c>
      <c r="B8" s="25">
        <v>0</v>
      </c>
      <c r="C8" s="25">
        <v>0</v>
      </c>
      <c r="D8" s="25">
        <v>1</v>
      </c>
      <c r="E8" s="25">
        <v>1</v>
      </c>
      <c r="F8" s="25">
        <v>1</v>
      </c>
      <c r="G8" s="25">
        <v>0</v>
      </c>
      <c r="H8" s="25">
        <v>0</v>
      </c>
      <c r="I8" s="25">
        <v>1</v>
      </c>
      <c r="J8" s="25">
        <v>1</v>
      </c>
      <c r="K8" s="25">
        <v>1</v>
      </c>
      <c r="L8" s="25">
        <v>1</v>
      </c>
      <c r="M8" s="25">
        <v>1</v>
      </c>
      <c r="N8" s="25">
        <v>1</v>
      </c>
      <c r="O8" s="25">
        <v>1</v>
      </c>
      <c r="P8" s="25">
        <v>1</v>
      </c>
      <c r="Q8" s="25">
        <v>1</v>
      </c>
      <c r="R8" s="25">
        <v>1</v>
      </c>
      <c r="S8" s="25">
        <v>1</v>
      </c>
      <c r="T8" s="25">
        <v>1</v>
      </c>
      <c r="U8" s="25">
        <v>0</v>
      </c>
      <c r="V8" s="25">
        <v>1</v>
      </c>
      <c r="W8" s="25">
        <v>0</v>
      </c>
      <c r="X8" s="25">
        <v>1</v>
      </c>
      <c r="Y8" s="25">
        <v>0</v>
      </c>
      <c r="Z8" s="25">
        <v>0</v>
      </c>
      <c r="AA8" s="25">
        <v>1</v>
      </c>
      <c r="AB8" s="25">
        <v>1</v>
      </c>
      <c r="AC8" s="25">
        <v>1</v>
      </c>
      <c r="AD8" s="25">
        <v>0</v>
      </c>
      <c r="AE8" s="25">
        <v>0</v>
      </c>
      <c r="AF8" s="25">
        <v>1</v>
      </c>
      <c r="AG8" s="25">
        <v>1</v>
      </c>
      <c r="AH8" s="25">
        <v>1</v>
      </c>
      <c r="AI8" s="25">
        <v>0</v>
      </c>
      <c r="AJ8" s="25">
        <v>0</v>
      </c>
      <c r="AK8" s="25">
        <v>1</v>
      </c>
      <c r="AL8" s="25">
        <v>0</v>
      </c>
      <c r="AM8" s="25">
        <v>1</v>
      </c>
      <c r="AN8" s="25">
        <v>1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1</v>
      </c>
      <c r="AU8" s="25">
        <v>1</v>
      </c>
      <c r="AV8" s="25">
        <v>1</v>
      </c>
      <c r="AW8" s="25">
        <v>1</v>
      </c>
      <c r="AX8" s="25">
        <v>0</v>
      </c>
      <c r="AY8" s="25">
        <v>0</v>
      </c>
      <c r="AZ8" s="25">
        <v>1</v>
      </c>
      <c r="BA8" s="25">
        <v>1</v>
      </c>
      <c r="BB8" s="25">
        <v>0</v>
      </c>
      <c r="BC8" s="25">
        <v>1</v>
      </c>
      <c r="BD8" s="25">
        <v>1</v>
      </c>
      <c r="BE8" s="25">
        <v>1</v>
      </c>
      <c r="BF8" s="25">
        <v>1</v>
      </c>
      <c r="BG8" s="25">
        <v>1</v>
      </c>
      <c r="BH8" s="25">
        <v>0</v>
      </c>
      <c r="BI8" s="25">
        <v>1</v>
      </c>
      <c r="BJ8" s="25">
        <v>1</v>
      </c>
      <c r="BK8" s="25">
        <v>1</v>
      </c>
      <c r="BL8" s="25">
        <v>1</v>
      </c>
      <c r="BM8" s="25">
        <v>0</v>
      </c>
      <c r="BN8" s="25">
        <v>1</v>
      </c>
      <c r="BO8" s="25">
        <v>1</v>
      </c>
      <c r="BP8" s="25">
        <v>1</v>
      </c>
      <c r="BQ8" s="25">
        <v>1</v>
      </c>
      <c r="BR8" s="25">
        <v>1</v>
      </c>
      <c r="BS8" s="25">
        <v>1</v>
      </c>
      <c r="BT8" s="25">
        <v>1</v>
      </c>
      <c r="BU8" s="25">
        <v>0</v>
      </c>
      <c r="BV8" s="25">
        <v>0</v>
      </c>
      <c r="BW8" s="25">
        <v>1</v>
      </c>
      <c r="BX8" s="25">
        <v>0</v>
      </c>
      <c r="BY8" s="25">
        <v>1</v>
      </c>
      <c r="BZ8" s="25">
        <v>1</v>
      </c>
      <c r="CA8" s="25">
        <v>0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1</v>
      </c>
      <c r="CH8" s="25">
        <v>0</v>
      </c>
      <c r="CI8" s="25">
        <v>0</v>
      </c>
      <c r="CJ8" s="25">
        <v>0</v>
      </c>
      <c r="CK8" s="25">
        <v>0</v>
      </c>
      <c r="CL8" s="25">
        <v>0</v>
      </c>
      <c r="CM8" s="25">
        <v>1</v>
      </c>
      <c r="CN8" s="25">
        <v>0</v>
      </c>
      <c r="CO8" s="25">
        <v>0</v>
      </c>
      <c r="CP8" s="25">
        <v>0</v>
      </c>
      <c r="CQ8" s="25">
        <v>0</v>
      </c>
      <c r="CR8" s="25">
        <v>1</v>
      </c>
      <c r="CS8" s="25">
        <v>1</v>
      </c>
      <c r="CT8" s="25">
        <v>0</v>
      </c>
      <c r="CU8" s="25">
        <v>1</v>
      </c>
      <c r="CV8" s="25">
        <v>0</v>
      </c>
      <c r="CW8" s="25">
        <v>1</v>
      </c>
      <c r="CX8" s="25">
        <v>0</v>
      </c>
      <c r="CY8" s="25">
        <v>0</v>
      </c>
      <c r="CZ8" s="25">
        <v>1</v>
      </c>
      <c r="DA8" s="25">
        <v>1</v>
      </c>
      <c r="DB8" s="25">
        <v>1</v>
      </c>
      <c r="DC8" s="25">
        <v>1</v>
      </c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5"/>
      <c r="EY8" s="25"/>
      <c r="EZ8" s="25"/>
      <c r="FA8" s="25"/>
      <c r="FB8" s="25"/>
      <c r="FC8" s="25"/>
      <c r="FD8" s="25"/>
      <c r="FE8" s="25"/>
      <c r="FF8" s="25"/>
      <c r="FG8" s="25"/>
      <c r="FH8" s="25"/>
      <c r="FI8" s="25"/>
      <c r="FJ8" s="25"/>
      <c r="FK8" s="25"/>
      <c r="FL8" s="25"/>
      <c r="FM8" s="25"/>
      <c r="FN8" s="25"/>
      <c r="FO8" s="25"/>
      <c r="FP8" s="25"/>
      <c r="FQ8" s="25"/>
      <c r="FR8" s="25"/>
      <c r="FS8" s="25"/>
      <c r="FT8" s="25"/>
      <c r="FU8" s="25"/>
      <c r="FV8" s="25"/>
      <c r="FW8" s="25"/>
      <c r="FX8" s="25"/>
      <c r="FY8" s="25"/>
      <c r="FZ8" s="25"/>
      <c r="GA8" s="25"/>
      <c r="GB8" s="25"/>
      <c r="GC8" s="25"/>
      <c r="GD8" s="25"/>
      <c r="GE8" s="25"/>
      <c r="GF8" s="25"/>
      <c r="GG8" s="25"/>
      <c r="GH8" s="25"/>
      <c r="GI8" s="25"/>
      <c r="GJ8" s="25"/>
      <c r="GK8" s="25"/>
    </row>
    <row r="9" spans="1:193" s="28" customFormat="1" x14ac:dyDescent="0.25">
      <c r="A9" s="29" t="s">
        <v>17</v>
      </c>
      <c r="B9" s="25">
        <v>1</v>
      </c>
      <c r="C9" s="25">
        <v>1</v>
      </c>
      <c r="D9" s="25">
        <v>1</v>
      </c>
      <c r="E9" s="25">
        <v>1</v>
      </c>
      <c r="F9" s="25">
        <v>1</v>
      </c>
      <c r="G9" s="25">
        <v>0</v>
      </c>
      <c r="H9" s="25">
        <v>1</v>
      </c>
      <c r="I9" s="25">
        <v>1</v>
      </c>
      <c r="J9" s="25">
        <v>0</v>
      </c>
      <c r="K9" s="25">
        <v>1</v>
      </c>
      <c r="L9" s="25">
        <v>1</v>
      </c>
      <c r="M9" s="25">
        <v>1</v>
      </c>
      <c r="N9" s="25">
        <v>1</v>
      </c>
      <c r="O9" s="25">
        <v>1</v>
      </c>
      <c r="P9" s="25">
        <v>1</v>
      </c>
      <c r="Q9" s="25">
        <v>1</v>
      </c>
      <c r="R9" s="25">
        <v>1</v>
      </c>
      <c r="S9" s="25">
        <v>1</v>
      </c>
      <c r="T9" s="25">
        <v>1</v>
      </c>
      <c r="U9" s="25">
        <v>1</v>
      </c>
      <c r="V9" s="25">
        <v>1</v>
      </c>
      <c r="W9" s="25">
        <v>1</v>
      </c>
      <c r="X9" s="25">
        <v>1</v>
      </c>
      <c r="Y9" s="25">
        <v>1</v>
      </c>
      <c r="Z9" s="25">
        <v>0</v>
      </c>
      <c r="AA9" s="25">
        <v>1</v>
      </c>
      <c r="AB9" s="25">
        <v>1</v>
      </c>
      <c r="AC9" s="25">
        <v>1</v>
      </c>
      <c r="AD9" s="25">
        <v>1</v>
      </c>
      <c r="AE9" s="25">
        <v>1</v>
      </c>
      <c r="AF9" s="25">
        <v>1</v>
      </c>
      <c r="AG9" s="25">
        <v>1</v>
      </c>
      <c r="AH9" s="25">
        <v>1</v>
      </c>
      <c r="AI9" s="25">
        <v>0</v>
      </c>
      <c r="AJ9" s="25">
        <v>1</v>
      </c>
      <c r="AK9" s="25">
        <v>1</v>
      </c>
      <c r="AL9" s="25">
        <v>1</v>
      </c>
      <c r="AM9" s="25">
        <v>1</v>
      </c>
      <c r="AN9" s="25">
        <v>1</v>
      </c>
      <c r="AO9" s="25">
        <v>1</v>
      </c>
      <c r="AP9" s="25">
        <v>0</v>
      </c>
      <c r="AQ9" s="25">
        <v>1</v>
      </c>
      <c r="AR9" s="25">
        <v>0</v>
      </c>
      <c r="AS9" s="25">
        <v>1</v>
      </c>
      <c r="AT9" s="25">
        <v>1</v>
      </c>
      <c r="AU9" s="25">
        <v>1</v>
      </c>
      <c r="AV9" s="25">
        <v>1</v>
      </c>
      <c r="AW9" s="25">
        <v>1</v>
      </c>
      <c r="AX9" s="25">
        <v>0</v>
      </c>
      <c r="AY9" s="25">
        <v>0</v>
      </c>
      <c r="AZ9" s="25">
        <v>1</v>
      </c>
      <c r="BA9" s="25">
        <v>1</v>
      </c>
      <c r="BB9" s="25">
        <v>1</v>
      </c>
      <c r="BC9" s="25">
        <v>1</v>
      </c>
      <c r="BD9" s="25">
        <v>1</v>
      </c>
      <c r="BE9" s="25">
        <v>0</v>
      </c>
      <c r="BF9" s="25">
        <v>1</v>
      </c>
      <c r="BG9" s="25">
        <v>1</v>
      </c>
      <c r="BH9" s="25">
        <v>0</v>
      </c>
      <c r="BI9" s="25">
        <v>1</v>
      </c>
      <c r="BJ9" s="25">
        <v>1</v>
      </c>
      <c r="BK9" s="25">
        <v>1</v>
      </c>
      <c r="BL9" s="25">
        <v>1</v>
      </c>
      <c r="BM9" s="25">
        <v>0</v>
      </c>
      <c r="BN9" s="25">
        <v>1</v>
      </c>
      <c r="BO9" s="25">
        <v>0</v>
      </c>
      <c r="BP9" s="25">
        <v>1</v>
      </c>
      <c r="BQ9" s="25">
        <v>1</v>
      </c>
      <c r="BR9" s="25">
        <v>1</v>
      </c>
      <c r="BS9" s="25">
        <v>1</v>
      </c>
      <c r="BT9" s="25">
        <v>1</v>
      </c>
      <c r="BU9" s="25">
        <v>0</v>
      </c>
      <c r="BV9" s="25">
        <v>0</v>
      </c>
      <c r="BW9" s="25">
        <v>1</v>
      </c>
      <c r="BX9" s="25">
        <v>1</v>
      </c>
      <c r="BY9" s="25">
        <v>1</v>
      </c>
      <c r="BZ9" s="25">
        <v>1</v>
      </c>
      <c r="CA9" s="25">
        <v>0</v>
      </c>
      <c r="CB9" s="25">
        <v>1</v>
      </c>
      <c r="CC9" s="25">
        <v>0</v>
      </c>
      <c r="CD9" s="25">
        <v>0</v>
      </c>
      <c r="CE9" s="25">
        <v>0</v>
      </c>
      <c r="CF9" s="25">
        <v>1</v>
      </c>
      <c r="CG9" s="25">
        <v>1</v>
      </c>
      <c r="CH9" s="25">
        <v>0</v>
      </c>
      <c r="CI9" s="25">
        <v>0</v>
      </c>
      <c r="CJ9" s="25">
        <v>1</v>
      </c>
      <c r="CK9" s="25">
        <v>1</v>
      </c>
      <c r="CL9" s="25">
        <v>0</v>
      </c>
      <c r="CM9" s="25">
        <v>1</v>
      </c>
      <c r="CN9" s="25">
        <v>1</v>
      </c>
      <c r="CO9" s="25">
        <v>1</v>
      </c>
      <c r="CP9" s="25">
        <v>1</v>
      </c>
      <c r="CQ9" s="25">
        <v>1</v>
      </c>
      <c r="CR9" s="25">
        <v>1</v>
      </c>
      <c r="CS9" s="25">
        <v>1</v>
      </c>
      <c r="CT9" s="25">
        <v>1</v>
      </c>
      <c r="CU9" s="25">
        <v>1</v>
      </c>
      <c r="CV9" s="25">
        <v>1</v>
      </c>
      <c r="CW9" s="25">
        <v>1</v>
      </c>
      <c r="CX9" s="25">
        <v>1</v>
      </c>
      <c r="CY9" s="25">
        <v>1</v>
      </c>
      <c r="CZ9" s="25">
        <v>1</v>
      </c>
      <c r="DA9" s="25">
        <v>1</v>
      </c>
      <c r="DB9" s="25">
        <v>1</v>
      </c>
      <c r="DC9" s="25">
        <v>1</v>
      </c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5"/>
      <c r="EY9" s="25"/>
      <c r="EZ9" s="25"/>
      <c r="FA9" s="25"/>
      <c r="FB9" s="25"/>
      <c r="FC9" s="25"/>
      <c r="FD9" s="25"/>
      <c r="FE9" s="25"/>
      <c r="FF9" s="25"/>
      <c r="FG9" s="25"/>
      <c r="FH9" s="25"/>
      <c r="FI9" s="25"/>
      <c r="FJ9" s="25"/>
      <c r="FK9" s="25"/>
      <c r="FL9" s="25"/>
      <c r="FM9" s="25"/>
      <c r="FN9" s="25"/>
      <c r="FO9" s="25"/>
      <c r="FP9" s="25"/>
      <c r="FQ9" s="25"/>
      <c r="FR9" s="25"/>
      <c r="FS9" s="25"/>
      <c r="FT9" s="25"/>
      <c r="FU9" s="25"/>
      <c r="FV9" s="25"/>
      <c r="FW9" s="25"/>
      <c r="FX9" s="25"/>
      <c r="FY9" s="25"/>
      <c r="FZ9" s="25"/>
      <c r="GA9" s="25"/>
      <c r="GB9" s="25"/>
      <c r="GC9" s="25"/>
      <c r="GD9" s="25"/>
      <c r="GE9" s="25"/>
      <c r="GF9" s="25"/>
      <c r="GG9" s="25"/>
      <c r="GH9" s="25"/>
      <c r="GI9" s="25"/>
      <c r="GJ9" s="25"/>
      <c r="GK9" s="25"/>
    </row>
    <row r="10" spans="1:193" s="28" customFormat="1" x14ac:dyDescent="0.25">
      <c r="A10" s="29" t="s">
        <v>16</v>
      </c>
      <c r="B10" s="25">
        <v>0</v>
      </c>
      <c r="C10" s="25">
        <v>0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0</v>
      </c>
      <c r="J10" s="25">
        <v>0</v>
      </c>
      <c r="K10" s="25">
        <v>1</v>
      </c>
      <c r="L10" s="25">
        <v>1</v>
      </c>
      <c r="M10" s="25">
        <v>0</v>
      </c>
      <c r="N10" s="25">
        <v>1</v>
      </c>
      <c r="O10" s="25">
        <v>1</v>
      </c>
      <c r="P10" s="25">
        <v>0</v>
      </c>
      <c r="Q10" s="25">
        <v>1</v>
      </c>
      <c r="R10" s="25">
        <v>1</v>
      </c>
      <c r="S10" s="25">
        <v>0</v>
      </c>
      <c r="T10" s="25">
        <v>1</v>
      </c>
      <c r="U10" s="25">
        <v>0</v>
      </c>
      <c r="V10" s="25">
        <v>0</v>
      </c>
      <c r="W10" s="25">
        <v>0</v>
      </c>
      <c r="X10" s="25">
        <v>1</v>
      </c>
      <c r="Y10" s="25">
        <v>0</v>
      </c>
      <c r="Z10" s="25">
        <v>1</v>
      </c>
      <c r="AA10" s="25">
        <v>1</v>
      </c>
      <c r="AB10" s="25">
        <v>1</v>
      </c>
      <c r="AC10" s="25">
        <v>1</v>
      </c>
      <c r="AD10" s="25">
        <v>0</v>
      </c>
      <c r="AE10" s="25">
        <v>0</v>
      </c>
      <c r="AF10" s="25">
        <v>0</v>
      </c>
      <c r="AG10" s="25">
        <v>1</v>
      </c>
      <c r="AH10" s="25">
        <v>1</v>
      </c>
      <c r="AI10" s="25">
        <v>1</v>
      </c>
      <c r="AJ10" s="25">
        <v>1</v>
      </c>
      <c r="AK10" s="25">
        <v>0</v>
      </c>
      <c r="AL10" s="25">
        <v>0</v>
      </c>
      <c r="AM10" s="25">
        <v>1</v>
      </c>
      <c r="AN10" s="25">
        <v>1</v>
      </c>
      <c r="AO10" s="25">
        <v>0</v>
      </c>
      <c r="AP10" s="25">
        <v>1</v>
      </c>
      <c r="AQ10" s="25">
        <v>0</v>
      </c>
      <c r="AR10" s="25">
        <v>1</v>
      </c>
      <c r="AS10" s="25">
        <v>1</v>
      </c>
      <c r="AT10" s="25">
        <v>0</v>
      </c>
      <c r="AU10" s="25">
        <v>1</v>
      </c>
      <c r="AV10" s="25">
        <v>0</v>
      </c>
      <c r="AW10" s="25">
        <v>1</v>
      </c>
      <c r="AX10" s="25">
        <v>1</v>
      </c>
      <c r="AY10" s="25">
        <v>1</v>
      </c>
      <c r="AZ10" s="25">
        <v>0</v>
      </c>
      <c r="BA10" s="25">
        <v>1</v>
      </c>
      <c r="BB10" s="25">
        <v>0</v>
      </c>
      <c r="BC10" s="25">
        <v>1</v>
      </c>
      <c r="BD10" s="25">
        <v>1</v>
      </c>
      <c r="BE10" s="25">
        <v>1</v>
      </c>
      <c r="BF10" s="25">
        <v>0</v>
      </c>
      <c r="BG10" s="25">
        <v>0</v>
      </c>
      <c r="BH10" s="25">
        <v>1</v>
      </c>
      <c r="BI10" s="25">
        <v>1</v>
      </c>
      <c r="BJ10" s="25">
        <v>0</v>
      </c>
      <c r="BK10" s="25">
        <v>1</v>
      </c>
      <c r="BL10" s="25">
        <v>0</v>
      </c>
      <c r="BM10" s="25">
        <v>0</v>
      </c>
      <c r="BN10" s="25">
        <v>0</v>
      </c>
      <c r="BO10" s="25">
        <v>1</v>
      </c>
      <c r="BP10" s="25">
        <v>1</v>
      </c>
      <c r="BQ10" s="25">
        <v>0</v>
      </c>
      <c r="BR10" s="25">
        <v>0</v>
      </c>
      <c r="BS10" s="25">
        <v>0</v>
      </c>
      <c r="BT10" s="25">
        <v>0</v>
      </c>
      <c r="BU10" s="25">
        <v>1</v>
      </c>
      <c r="BV10" s="25">
        <v>1</v>
      </c>
      <c r="BW10" s="25">
        <v>1</v>
      </c>
      <c r="BX10" s="25">
        <v>0</v>
      </c>
      <c r="BY10" s="25">
        <v>1</v>
      </c>
      <c r="BZ10" s="25">
        <v>1</v>
      </c>
      <c r="CA10" s="25">
        <v>1</v>
      </c>
      <c r="CB10" s="25">
        <v>0</v>
      </c>
      <c r="CC10" s="25">
        <v>1</v>
      </c>
      <c r="CD10" s="25">
        <v>1</v>
      </c>
      <c r="CE10" s="25">
        <v>1</v>
      </c>
      <c r="CF10" s="25">
        <v>0</v>
      </c>
      <c r="CG10" s="25">
        <v>1</v>
      </c>
      <c r="CH10" s="25">
        <v>0</v>
      </c>
      <c r="CI10" s="25">
        <v>1</v>
      </c>
      <c r="CJ10" s="25">
        <v>0</v>
      </c>
      <c r="CK10" s="25">
        <v>0</v>
      </c>
      <c r="CL10" s="25">
        <v>1</v>
      </c>
      <c r="CM10" s="25">
        <v>1</v>
      </c>
      <c r="CN10" s="25">
        <v>1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1</v>
      </c>
      <c r="CV10" s="25">
        <v>0</v>
      </c>
      <c r="CW10" s="25">
        <v>0</v>
      </c>
      <c r="CX10" s="25">
        <v>0</v>
      </c>
      <c r="CY10" s="25">
        <v>1</v>
      </c>
      <c r="CZ10" s="25">
        <v>1</v>
      </c>
      <c r="DA10" s="25">
        <v>0</v>
      </c>
      <c r="DB10" s="25">
        <v>1</v>
      </c>
      <c r="DC10" s="25">
        <v>1</v>
      </c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</row>
    <row r="11" spans="1:193" s="28" customFormat="1" x14ac:dyDescent="0.25">
      <c r="A11" s="29" t="s">
        <v>18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1</v>
      </c>
      <c r="K11" s="25">
        <v>0</v>
      </c>
      <c r="L11" s="25">
        <v>0</v>
      </c>
      <c r="M11" s="25">
        <v>0</v>
      </c>
      <c r="N11" s="25">
        <v>0</v>
      </c>
      <c r="O11" s="25">
        <v>1</v>
      </c>
      <c r="P11" s="25">
        <v>0</v>
      </c>
      <c r="Q11" s="25">
        <v>1</v>
      </c>
      <c r="R11" s="25">
        <v>0</v>
      </c>
      <c r="S11" s="25">
        <v>0</v>
      </c>
      <c r="T11" s="25">
        <v>1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1</v>
      </c>
      <c r="AB11" s="25">
        <v>1</v>
      </c>
      <c r="AC11" s="25">
        <v>1</v>
      </c>
      <c r="AD11" s="25">
        <v>0</v>
      </c>
      <c r="AE11" s="25">
        <v>0</v>
      </c>
      <c r="AF11" s="25">
        <v>0</v>
      </c>
      <c r="AG11" s="25">
        <v>0</v>
      </c>
      <c r="AH11" s="25">
        <v>1</v>
      </c>
      <c r="AI11" s="25">
        <v>0</v>
      </c>
      <c r="AJ11" s="25">
        <v>0</v>
      </c>
      <c r="AK11" s="25">
        <v>0</v>
      </c>
      <c r="AL11" s="25">
        <v>0</v>
      </c>
      <c r="AM11" s="25">
        <v>1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1</v>
      </c>
      <c r="AX11" s="25">
        <v>0</v>
      </c>
      <c r="AY11" s="25">
        <v>0</v>
      </c>
      <c r="AZ11" s="25">
        <v>1</v>
      </c>
      <c r="BA11" s="25">
        <v>0</v>
      </c>
      <c r="BB11" s="25">
        <v>0</v>
      </c>
      <c r="BC11" s="25">
        <v>0</v>
      </c>
      <c r="BD11" s="25">
        <v>0</v>
      </c>
      <c r="BE11" s="25">
        <v>1</v>
      </c>
      <c r="BF11" s="25">
        <v>1</v>
      </c>
      <c r="BG11" s="25">
        <v>0</v>
      </c>
      <c r="BH11" s="25">
        <v>0</v>
      </c>
      <c r="BI11" s="25">
        <v>1</v>
      </c>
      <c r="BJ11" s="25">
        <v>0</v>
      </c>
      <c r="BK11" s="25">
        <v>0</v>
      </c>
      <c r="BL11" s="25">
        <v>1</v>
      </c>
      <c r="BM11" s="25">
        <v>1</v>
      </c>
      <c r="BN11" s="25">
        <v>0</v>
      </c>
      <c r="BO11" s="25">
        <v>0</v>
      </c>
      <c r="BP11" s="25">
        <v>1</v>
      </c>
      <c r="BQ11" s="25">
        <v>1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1</v>
      </c>
      <c r="BX11" s="25">
        <v>0</v>
      </c>
      <c r="BY11" s="25">
        <v>0</v>
      </c>
      <c r="BZ11" s="25">
        <v>0</v>
      </c>
      <c r="CA11" s="25">
        <v>0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1</v>
      </c>
      <c r="CH11" s="25">
        <v>1</v>
      </c>
      <c r="CI11" s="25">
        <v>0</v>
      </c>
      <c r="CJ11" s="25">
        <v>0</v>
      </c>
      <c r="CK11" s="25">
        <v>0</v>
      </c>
      <c r="CL11" s="25">
        <v>0</v>
      </c>
      <c r="CM11" s="25">
        <v>0</v>
      </c>
      <c r="CN11" s="25">
        <v>1</v>
      </c>
      <c r="CO11" s="25">
        <v>0</v>
      </c>
      <c r="CP11" s="25">
        <v>0</v>
      </c>
      <c r="CQ11" s="25">
        <v>0</v>
      </c>
      <c r="CR11" s="25">
        <v>0</v>
      </c>
      <c r="CS11" s="25">
        <v>1</v>
      </c>
      <c r="CT11" s="25">
        <v>0</v>
      </c>
      <c r="CU11" s="25">
        <v>1</v>
      </c>
      <c r="CV11" s="25">
        <v>0</v>
      </c>
      <c r="CW11" s="25">
        <v>0</v>
      </c>
      <c r="CX11" s="25">
        <v>0</v>
      </c>
      <c r="CY11" s="25">
        <v>0</v>
      </c>
      <c r="CZ11" s="25">
        <v>1</v>
      </c>
      <c r="DA11" s="25">
        <v>0</v>
      </c>
      <c r="DB11" s="25">
        <v>1</v>
      </c>
      <c r="DC11" s="25">
        <v>1</v>
      </c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  <c r="EZ11" s="25"/>
      <c r="FA11" s="25"/>
      <c r="FB11" s="25"/>
      <c r="FC11" s="25"/>
      <c r="FD11" s="25"/>
      <c r="FE11" s="25"/>
      <c r="FF11" s="25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5"/>
      <c r="GE11" s="25"/>
      <c r="GF11" s="25"/>
      <c r="GG11" s="25"/>
      <c r="GH11" s="25"/>
      <c r="GI11" s="25"/>
      <c r="GJ11" s="25"/>
      <c r="GK11" s="25"/>
    </row>
    <row r="12" spans="1:193" s="28" customFormat="1" x14ac:dyDescent="0.25">
      <c r="A12" s="29" t="s">
        <v>1753</v>
      </c>
      <c r="B12" s="25">
        <v>1</v>
      </c>
      <c r="C12" s="25">
        <v>1</v>
      </c>
      <c r="D12" s="25">
        <v>1</v>
      </c>
      <c r="E12" s="25">
        <v>1</v>
      </c>
      <c r="F12" s="25">
        <v>1</v>
      </c>
      <c r="G12" s="25">
        <v>0</v>
      </c>
      <c r="H12" s="25">
        <v>0</v>
      </c>
      <c r="I12" s="25">
        <v>1</v>
      </c>
      <c r="J12" s="25">
        <v>0</v>
      </c>
      <c r="K12" s="25">
        <v>1</v>
      </c>
      <c r="L12" s="25">
        <v>0</v>
      </c>
      <c r="M12" s="25">
        <v>0</v>
      </c>
      <c r="N12" s="25">
        <v>0</v>
      </c>
      <c r="O12" s="25">
        <v>1</v>
      </c>
      <c r="P12" s="25">
        <v>0</v>
      </c>
      <c r="Q12" s="25">
        <v>1</v>
      </c>
      <c r="R12" s="25">
        <v>0</v>
      </c>
      <c r="S12" s="25">
        <v>1</v>
      </c>
      <c r="T12" s="25">
        <v>1</v>
      </c>
      <c r="U12" s="25">
        <v>1</v>
      </c>
      <c r="V12" s="25">
        <v>0</v>
      </c>
      <c r="W12" s="25">
        <v>1</v>
      </c>
      <c r="X12" s="25">
        <v>0</v>
      </c>
      <c r="Y12" s="25">
        <v>1</v>
      </c>
      <c r="Z12" s="25">
        <v>0</v>
      </c>
      <c r="AA12" s="25">
        <v>1</v>
      </c>
      <c r="AB12" s="25">
        <v>0</v>
      </c>
      <c r="AC12" s="25">
        <v>1</v>
      </c>
      <c r="AD12" s="25">
        <v>0</v>
      </c>
      <c r="AE12" s="25">
        <v>1</v>
      </c>
      <c r="AF12" s="25">
        <v>0</v>
      </c>
      <c r="AG12" s="25">
        <v>1</v>
      </c>
      <c r="AH12" s="25">
        <v>1</v>
      </c>
      <c r="AI12" s="25">
        <v>0</v>
      </c>
      <c r="AJ12" s="25">
        <v>1</v>
      </c>
      <c r="AK12" s="25">
        <v>0</v>
      </c>
      <c r="AL12" s="25">
        <v>1</v>
      </c>
      <c r="AM12" s="25">
        <v>1</v>
      </c>
      <c r="AN12" s="25">
        <v>1</v>
      </c>
      <c r="AO12" s="25">
        <v>1</v>
      </c>
      <c r="AP12" s="25">
        <v>0</v>
      </c>
      <c r="AQ12" s="25">
        <v>1</v>
      </c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1</v>
      </c>
      <c r="AX12" s="25">
        <v>0</v>
      </c>
      <c r="AY12" s="25">
        <v>0</v>
      </c>
      <c r="AZ12" s="25">
        <v>1</v>
      </c>
      <c r="BA12" s="25">
        <v>1</v>
      </c>
      <c r="BB12" s="25">
        <v>1</v>
      </c>
      <c r="BC12" s="25">
        <v>0</v>
      </c>
      <c r="BD12" s="25">
        <v>1</v>
      </c>
      <c r="BE12" s="25">
        <v>0</v>
      </c>
      <c r="BF12" s="25">
        <v>0</v>
      </c>
      <c r="BG12" s="25">
        <v>0</v>
      </c>
      <c r="BH12" s="25">
        <v>0</v>
      </c>
      <c r="BI12" s="25">
        <v>1</v>
      </c>
      <c r="BJ12" s="25">
        <v>0</v>
      </c>
      <c r="BK12" s="25">
        <v>0</v>
      </c>
      <c r="BL12" s="25">
        <v>1</v>
      </c>
      <c r="BM12" s="25">
        <v>0</v>
      </c>
      <c r="BN12" s="25">
        <v>0</v>
      </c>
      <c r="BO12" s="25">
        <v>0</v>
      </c>
      <c r="BP12" s="25">
        <v>1</v>
      </c>
      <c r="BQ12" s="25">
        <v>1</v>
      </c>
      <c r="BR12" s="25">
        <v>1</v>
      </c>
      <c r="BS12" s="25">
        <v>0</v>
      </c>
      <c r="BT12" s="25">
        <v>0</v>
      </c>
      <c r="BU12" s="25">
        <v>0</v>
      </c>
      <c r="BV12" s="25">
        <v>0</v>
      </c>
      <c r="BW12" s="25">
        <v>1</v>
      </c>
      <c r="BX12" s="25">
        <v>1</v>
      </c>
      <c r="BY12" s="25">
        <v>1</v>
      </c>
      <c r="BZ12" s="25">
        <v>1</v>
      </c>
      <c r="CA12" s="25">
        <v>0</v>
      </c>
      <c r="CB12" s="25">
        <v>0</v>
      </c>
      <c r="CC12" s="25">
        <v>0</v>
      </c>
      <c r="CD12" s="25">
        <v>0</v>
      </c>
      <c r="CE12" s="25">
        <v>0</v>
      </c>
      <c r="CF12" s="25">
        <v>0</v>
      </c>
      <c r="CG12" s="25">
        <v>1</v>
      </c>
      <c r="CH12" s="25">
        <v>0</v>
      </c>
      <c r="CI12" s="25">
        <v>0</v>
      </c>
      <c r="CJ12" s="25">
        <v>1</v>
      </c>
      <c r="CK12" s="25">
        <v>1</v>
      </c>
      <c r="CL12" s="25">
        <v>0</v>
      </c>
      <c r="CM12" s="25">
        <v>0</v>
      </c>
      <c r="CN12" s="25">
        <v>1</v>
      </c>
      <c r="CO12" s="25">
        <v>1</v>
      </c>
      <c r="CP12" s="25">
        <v>0</v>
      </c>
      <c r="CQ12" s="25">
        <v>1</v>
      </c>
      <c r="CR12" s="25">
        <v>1</v>
      </c>
      <c r="CS12" s="25">
        <v>1</v>
      </c>
      <c r="CT12" s="25">
        <v>1</v>
      </c>
      <c r="CU12" s="25">
        <v>1</v>
      </c>
      <c r="CV12" s="25">
        <v>1</v>
      </c>
      <c r="CW12" s="25">
        <v>0</v>
      </c>
      <c r="CX12" s="25">
        <v>0</v>
      </c>
      <c r="CY12" s="25">
        <v>1</v>
      </c>
      <c r="CZ12" s="25">
        <v>1</v>
      </c>
      <c r="DA12" s="25">
        <v>0</v>
      </c>
      <c r="DB12" s="25">
        <v>1</v>
      </c>
      <c r="DC12" s="25">
        <v>0</v>
      </c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  <c r="EZ12" s="25"/>
      <c r="FA12" s="25"/>
      <c r="FB12" s="25"/>
      <c r="FC12" s="25"/>
      <c r="FD12" s="25"/>
      <c r="FE12" s="25"/>
      <c r="FF12" s="25"/>
      <c r="FG12" s="25"/>
      <c r="FH12" s="25"/>
      <c r="FI12" s="25"/>
      <c r="FJ12" s="25"/>
      <c r="FK12" s="25"/>
      <c r="FL12" s="25"/>
      <c r="FM12" s="25"/>
      <c r="FN12" s="25"/>
      <c r="FO12" s="25"/>
      <c r="FP12" s="25"/>
      <c r="FQ12" s="25"/>
      <c r="FR12" s="25"/>
      <c r="FS12" s="25"/>
      <c r="FT12" s="25"/>
      <c r="FU12" s="25"/>
      <c r="FV12" s="25"/>
      <c r="FW12" s="25"/>
      <c r="FX12" s="25"/>
      <c r="FY12" s="25"/>
      <c r="FZ12" s="25"/>
      <c r="GA12" s="25"/>
      <c r="GB12" s="25"/>
      <c r="GC12" s="25"/>
      <c r="GD12" s="25"/>
      <c r="GE12" s="25"/>
      <c r="GF12" s="25"/>
      <c r="GG12" s="25"/>
      <c r="GH12" s="25"/>
      <c r="GI12" s="25"/>
      <c r="GJ12" s="25"/>
      <c r="GK12" s="25"/>
    </row>
    <row r="13" spans="1:193" s="28" customFormat="1" x14ac:dyDescent="0.25">
      <c r="A13" s="29" t="s">
        <v>1754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  <c r="H13" s="25">
        <v>0</v>
      </c>
      <c r="I13" s="25">
        <v>0</v>
      </c>
      <c r="J13" s="25">
        <v>0</v>
      </c>
      <c r="K13" s="25">
        <v>1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0</v>
      </c>
      <c r="AK13" s="25">
        <v>0</v>
      </c>
      <c r="AL13" s="25">
        <v>0</v>
      </c>
      <c r="AM13" s="25">
        <v>0</v>
      </c>
      <c r="AN13" s="25">
        <v>0</v>
      </c>
      <c r="AO13" s="25">
        <v>0</v>
      </c>
      <c r="AP13" s="25">
        <v>0</v>
      </c>
      <c r="AQ13" s="25">
        <v>0</v>
      </c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0</v>
      </c>
      <c r="BK13" s="25">
        <v>0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0</v>
      </c>
      <c r="DC13" s="25">
        <v>0</v>
      </c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</row>
    <row r="14" spans="1:193" s="28" customFormat="1" x14ac:dyDescent="0.25">
      <c r="A14" s="29" t="s">
        <v>1755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1</v>
      </c>
      <c r="AB14" s="25">
        <v>0</v>
      </c>
      <c r="AC14" s="25">
        <v>1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1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1</v>
      </c>
      <c r="BM14" s="25">
        <v>1</v>
      </c>
      <c r="BN14" s="25">
        <v>0</v>
      </c>
      <c r="BO14" s="25">
        <v>0</v>
      </c>
      <c r="BP14" s="25">
        <v>1</v>
      </c>
      <c r="BQ14" s="25">
        <v>1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1</v>
      </c>
      <c r="BX14" s="25">
        <v>0</v>
      </c>
      <c r="BY14" s="25">
        <v>0</v>
      </c>
      <c r="BZ14" s="25">
        <v>0</v>
      </c>
      <c r="CA14" s="25">
        <v>0</v>
      </c>
      <c r="CB14" s="25">
        <v>0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1</v>
      </c>
      <c r="CI14" s="25">
        <v>0</v>
      </c>
      <c r="CJ14" s="25">
        <v>0</v>
      </c>
      <c r="CK14" s="25">
        <v>0</v>
      </c>
      <c r="CL14" s="25">
        <v>0</v>
      </c>
      <c r="CM14" s="25">
        <v>0</v>
      </c>
      <c r="CN14" s="25">
        <v>1</v>
      </c>
      <c r="CO14" s="25">
        <v>0</v>
      </c>
      <c r="CP14" s="25">
        <v>0</v>
      </c>
      <c r="CQ14" s="25">
        <v>0</v>
      </c>
      <c r="CR14" s="25">
        <v>0</v>
      </c>
      <c r="CS14" s="25">
        <v>0</v>
      </c>
      <c r="CT14" s="25">
        <v>0</v>
      </c>
      <c r="CU14" s="25">
        <v>1</v>
      </c>
      <c r="CV14" s="25">
        <v>0</v>
      </c>
      <c r="CW14" s="25">
        <v>0</v>
      </c>
      <c r="CX14" s="25">
        <v>0</v>
      </c>
      <c r="CY14" s="25">
        <v>0</v>
      </c>
      <c r="CZ14" s="25">
        <v>0</v>
      </c>
      <c r="DA14" s="25">
        <v>0</v>
      </c>
      <c r="DB14" s="25">
        <v>0</v>
      </c>
      <c r="DC14" s="25">
        <v>0</v>
      </c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  <c r="EZ14" s="25"/>
      <c r="FA14" s="25"/>
      <c r="FB14" s="25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5"/>
    </row>
    <row r="15" spans="1:193" s="28" customFormat="1" x14ac:dyDescent="0.25">
      <c r="A15" s="29" t="s">
        <v>1756</v>
      </c>
      <c r="B15" s="25">
        <v>0</v>
      </c>
      <c r="C15" s="25">
        <v>0</v>
      </c>
      <c r="D15" s="25">
        <v>1</v>
      </c>
      <c r="E15" s="25">
        <v>1</v>
      </c>
      <c r="F15" s="25">
        <v>1</v>
      </c>
      <c r="G15" s="25">
        <v>0</v>
      </c>
      <c r="H15" s="25">
        <v>1</v>
      </c>
      <c r="I15" s="25">
        <v>1</v>
      </c>
      <c r="J15" s="25">
        <v>0</v>
      </c>
      <c r="K15" s="25">
        <v>1</v>
      </c>
      <c r="L15" s="25">
        <v>0</v>
      </c>
      <c r="M15" s="25">
        <v>0</v>
      </c>
      <c r="N15" s="25">
        <v>1</v>
      </c>
      <c r="O15" s="25">
        <v>1</v>
      </c>
      <c r="P15" s="25">
        <v>1</v>
      </c>
      <c r="Q15" s="25">
        <v>1</v>
      </c>
      <c r="R15" s="25">
        <v>0</v>
      </c>
      <c r="S15" s="25">
        <v>1</v>
      </c>
      <c r="T15" s="25">
        <v>1</v>
      </c>
      <c r="U15" s="25">
        <v>0</v>
      </c>
      <c r="V15" s="25">
        <v>0</v>
      </c>
      <c r="W15" s="25">
        <v>0</v>
      </c>
      <c r="X15" s="25">
        <v>1</v>
      </c>
      <c r="Y15" s="25">
        <v>1</v>
      </c>
      <c r="Z15" s="25">
        <v>0</v>
      </c>
      <c r="AA15" s="25">
        <v>1</v>
      </c>
      <c r="AB15" s="25">
        <v>1</v>
      </c>
      <c r="AC15" s="25">
        <v>1</v>
      </c>
      <c r="AD15" s="25">
        <v>1</v>
      </c>
      <c r="AE15" s="25">
        <v>0</v>
      </c>
      <c r="AF15" s="25">
        <v>0</v>
      </c>
      <c r="AG15" s="25">
        <v>0</v>
      </c>
      <c r="AH15" s="25">
        <v>1</v>
      </c>
      <c r="AI15" s="25">
        <v>0</v>
      </c>
      <c r="AJ15" s="25">
        <v>0</v>
      </c>
      <c r="AK15" s="25">
        <v>0</v>
      </c>
      <c r="AL15" s="25">
        <v>0</v>
      </c>
      <c r="AM15" s="25">
        <v>1</v>
      </c>
      <c r="AN15" s="25">
        <v>1</v>
      </c>
      <c r="AO15" s="25">
        <v>0</v>
      </c>
      <c r="AP15" s="25">
        <v>0</v>
      </c>
      <c r="AQ15" s="25">
        <v>0</v>
      </c>
      <c r="AR15" s="25">
        <v>0</v>
      </c>
      <c r="AS15" s="25">
        <v>1</v>
      </c>
      <c r="AT15" s="25">
        <v>0</v>
      </c>
      <c r="AU15" s="25">
        <v>0</v>
      </c>
      <c r="AV15" s="25">
        <v>0</v>
      </c>
      <c r="AW15" s="25">
        <v>1</v>
      </c>
      <c r="AX15" s="25">
        <v>0</v>
      </c>
      <c r="AY15" s="25">
        <v>0</v>
      </c>
      <c r="AZ15" s="25">
        <v>1</v>
      </c>
      <c r="BA15" s="25">
        <v>1</v>
      </c>
      <c r="BB15" s="25">
        <v>0</v>
      </c>
      <c r="BC15" s="25">
        <v>1</v>
      </c>
      <c r="BD15" s="25">
        <v>0</v>
      </c>
      <c r="BE15" s="25">
        <v>0</v>
      </c>
      <c r="BF15" s="25">
        <v>1</v>
      </c>
      <c r="BG15" s="25">
        <v>0</v>
      </c>
      <c r="BH15" s="25">
        <v>0</v>
      </c>
      <c r="BI15" s="25">
        <v>1</v>
      </c>
      <c r="BJ15" s="25">
        <v>0</v>
      </c>
      <c r="BK15" s="25">
        <v>0</v>
      </c>
      <c r="BL15" s="25">
        <v>1</v>
      </c>
      <c r="BM15" s="25">
        <v>0</v>
      </c>
      <c r="BN15" s="25">
        <v>0</v>
      </c>
      <c r="BO15" s="25">
        <v>0</v>
      </c>
      <c r="BP15" s="25">
        <v>1</v>
      </c>
      <c r="BQ15" s="25">
        <v>1</v>
      </c>
      <c r="BR15" s="25">
        <v>1</v>
      </c>
      <c r="BS15" s="25">
        <v>0</v>
      </c>
      <c r="BT15" s="25">
        <v>0</v>
      </c>
      <c r="BU15" s="25">
        <v>0</v>
      </c>
      <c r="BV15" s="25">
        <v>0</v>
      </c>
      <c r="BW15" s="25">
        <v>1</v>
      </c>
      <c r="BX15" s="25">
        <v>0</v>
      </c>
      <c r="BY15" s="25">
        <v>0</v>
      </c>
      <c r="BZ15" s="25">
        <v>1</v>
      </c>
      <c r="CA15" s="25">
        <v>0</v>
      </c>
      <c r="CB15" s="25">
        <v>1</v>
      </c>
      <c r="CC15" s="25">
        <v>0</v>
      </c>
      <c r="CD15" s="25">
        <v>0</v>
      </c>
      <c r="CE15" s="25">
        <v>0</v>
      </c>
      <c r="CF15" s="25">
        <v>1</v>
      </c>
      <c r="CG15" s="25">
        <v>1</v>
      </c>
      <c r="CH15" s="25">
        <v>0</v>
      </c>
      <c r="CI15" s="25">
        <v>0</v>
      </c>
      <c r="CJ15" s="25">
        <v>0</v>
      </c>
      <c r="CK15" s="25">
        <v>1</v>
      </c>
      <c r="CL15" s="25">
        <v>0</v>
      </c>
      <c r="CM15" s="25">
        <v>0</v>
      </c>
      <c r="CN15" s="25">
        <v>1</v>
      </c>
      <c r="CO15" s="25">
        <v>1</v>
      </c>
      <c r="CP15" s="25">
        <v>1</v>
      </c>
      <c r="CQ15" s="25">
        <v>0</v>
      </c>
      <c r="CR15" s="25">
        <v>1</v>
      </c>
      <c r="CS15" s="25">
        <v>1</v>
      </c>
      <c r="CT15" s="25">
        <v>1</v>
      </c>
      <c r="CU15" s="25">
        <v>1</v>
      </c>
      <c r="CV15" s="25">
        <v>0</v>
      </c>
      <c r="CW15" s="25">
        <v>0</v>
      </c>
      <c r="CX15" s="25">
        <v>1</v>
      </c>
      <c r="CY15" s="25">
        <v>0</v>
      </c>
      <c r="CZ15" s="25">
        <v>1</v>
      </c>
      <c r="DA15" s="25">
        <v>0</v>
      </c>
      <c r="DB15" s="25">
        <v>1</v>
      </c>
      <c r="DC15" s="25">
        <v>1</v>
      </c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  <c r="EZ15" s="25"/>
      <c r="FA15" s="25"/>
      <c r="FB15" s="25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5"/>
    </row>
    <row r="16" spans="1:193" s="28" customFormat="1" x14ac:dyDescent="0.25">
      <c r="A16" s="29" t="s">
        <v>1621</v>
      </c>
      <c r="B16" s="25">
        <v>0</v>
      </c>
      <c r="C16" s="25">
        <v>0</v>
      </c>
      <c r="D16" s="25">
        <v>1</v>
      </c>
      <c r="E16" s="25">
        <v>1</v>
      </c>
      <c r="F16" s="25">
        <v>1</v>
      </c>
      <c r="G16" s="25">
        <v>1</v>
      </c>
      <c r="H16" s="25">
        <v>1</v>
      </c>
      <c r="I16" s="25">
        <v>0</v>
      </c>
      <c r="J16" s="25">
        <v>0</v>
      </c>
      <c r="K16" s="25">
        <v>0</v>
      </c>
      <c r="L16" s="25">
        <v>1</v>
      </c>
      <c r="M16" s="25">
        <v>0</v>
      </c>
      <c r="N16" s="25">
        <v>1</v>
      </c>
      <c r="O16" s="25">
        <v>1</v>
      </c>
      <c r="P16" s="25">
        <v>0</v>
      </c>
      <c r="Q16" s="25">
        <v>1</v>
      </c>
      <c r="R16" s="25">
        <v>1</v>
      </c>
      <c r="S16" s="25">
        <v>0</v>
      </c>
      <c r="T16" s="25">
        <v>1</v>
      </c>
      <c r="U16" s="25">
        <v>0</v>
      </c>
      <c r="V16" s="25">
        <v>0</v>
      </c>
      <c r="W16" s="25">
        <v>0</v>
      </c>
      <c r="X16" s="25">
        <v>1</v>
      </c>
      <c r="Y16" s="25">
        <v>0</v>
      </c>
      <c r="Z16" s="25">
        <v>1</v>
      </c>
      <c r="AA16" s="25">
        <v>1</v>
      </c>
      <c r="AB16" s="25">
        <v>1</v>
      </c>
      <c r="AC16" s="25">
        <v>1</v>
      </c>
      <c r="AD16" s="25">
        <v>0</v>
      </c>
      <c r="AE16" s="25">
        <v>0</v>
      </c>
      <c r="AF16" s="25">
        <v>0</v>
      </c>
      <c r="AG16" s="25">
        <v>1</v>
      </c>
      <c r="AH16" s="25">
        <v>1</v>
      </c>
      <c r="AI16" s="25">
        <v>1</v>
      </c>
      <c r="AJ16" s="25">
        <v>1</v>
      </c>
      <c r="AK16" s="25">
        <v>0</v>
      </c>
      <c r="AL16" s="25">
        <v>0</v>
      </c>
      <c r="AM16" s="25">
        <v>1</v>
      </c>
      <c r="AN16" s="25">
        <v>1</v>
      </c>
      <c r="AO16" s="25">
        <v>0</v>
      </c>
      <c r="AP16" s="25">
        <v>1</v>
      </c>
      <c r="AQ16" s="25">
        <v>0</v>
      </c>
      <c r="AR16" s="25">
        <v>1</v>
      </c>
      <c r="AS16" s="25">
        <v>1</v>
      </c>
      <c r="AT16" s="25">
        <v>0</v>
      </c>
      <c r="AU16" s="25">
        <v>1</v>
      </c>
      <c r="AV16" s="25">
        <v>0</v>
      </c>
      <c r="AW16" s="25">
        <v>1</v>
      </c>
      <c r="AX16" s="25">
        <v>1</v>
      </c>
      <c r="AY16" s="25">
        <v>1</v>
      </c>
      <c r="AZ16" s="25">
        <v>0</v>
      </c>
      <c r="BA16" s="25">
        <v>1</v>
      </c>
      <c r="BB16" s="25">
        <v>0</v>
      </c>
      <c r="BC16" s="25">
        <v>1</v>
      </c>
      <c r="BD16" s="25">
        <v>1</v>
      </c>
      <c r="BE16" s="25">
        <v>1</v>
      </c>
      <c r="BF16" s="25">
        <v>0</v>
      </c>
      <c r="BG16" s="25">
        <v>0</v>
      </c>
      <c r="BH16" s="25">
        <v>1</v>
      </c>
      <c r="BI16" s="25">
        <v>1</v>
      </c>
      <c r="BJ16" s="25">
        <v>0</v>
      </c>
      <c r="BK16" s="25">
        <v>1</v>
      </c>
      <c r="BL16" s="25">
        <v>0</v>
      </c>
      <c r="BM16" s="25">
        <v>0</v>
      </c>
      <c r="BN16" s="25">
        <v>0</v>
      </c>
      <c r="BO16" s="25">
        <v>1</v>
      </c>
      <c r="BP16" s="25">
        <v>1</v>
      </c>
      <c r="BQ16" s="25">
        <v>0</v>
      </c>
      <c r="BR16" s="25">
        <v>0</v>
      </c>
      <c r="BS16" s="25">
        <v>0</v>
      </c>
      <c r="BT16" s="25">
        <v>0</v>
      </c>
      <c r="BU16" s="25">
        <v>1</v>
      </c>
      <c r="BV16" s="25">
        <v>1</v>
      </c>
      <c r="BW16" s="25">
        <v>1</v>
      </c>
      <c r="BX16" s="25">
        <v>0</v>
      </c>
      <c r="BY16" s="25">
        <v>1</v>
      </c>
      <c r="BZ16" s="25">
        <v>1</v>
      </c>
      <c r="CA16" s="25">
        <v>1</v>
      </c>
      <c r="CB16" s="25">
        <v>0</v>
      </c>
      <c r="CC16" s="25">
        <v>1</v>
      </c>
      <c r="CD16" s="25">
        <v>1</v>
      </c>
      <c r="CE16" s="25">
        <v>1</v>
      </c>
      <c r="CF16" s="25">
        <v>0</v>
      </c>
      <c r="CG16" s="25">
        <v>1</v>
      </c>
      <c r="CH16" s="25">
        <v>0</v>
      </c>
      <c r="CI16" s="25">
        <v>1</v>
      </c>
      <c r="CJ16" s="25">
        <v>0</v>
      </c>
      <c r="CK16" s="25">
        <v>0</v>
      </c>
      <c r="CL16" s="25">
        <v>1</v>
      </c>
      <c r="CM16" s="25">
        <v>1</v>
      </c>
      <c r="CN16" s="25">
        <v>1</v>
      </c>
      <c r="CO16" s="25">
        <v>0</v>
      </c>
      <c r="CP16" s="25">
        <v>0</v>
      </c>
      <c r="CQ16" s="25">
        <v>0</v>
      </c>
      <c r="CR16" s="25">
        <v>0</v>
      </c>
      <c r="CS16" s="25">
        <v>0</v>
      </c>
      <c r="CT16" s="25">
        <v>0</v>
      </c>
      <c r="CU16" s="25">
        <v>1</v>
      </c>
      <c r="CV16" s="25">
        <v>0</v>
      </c>
      <c r="CW16" s="25">
        <v>0</v>
      </c>
      <c r="CX16" s="25">
        <v>0</v>
      </c>
      <c r="CY16" s="25">
        <v>1</v>
      </c>
      <c r="CZ16" s="25">
        <v>0</v>
      </c>
      <c r="DA16" s="25">
        <v>0</v>
      </c>
      <c r="DB16" s="25">
        <v>1</v>
      </c>
      <c r="DC16" s="25">
        <v>1</v>
      </c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</row>
    <row r="17" spans="1:193" s="28" customFormat="1" x14ac:dyDescent="0.25">
      <c r="A17" s="29" t="s">
        <v>1757</v>
      </c>
      <c r="B17" s="25">
        <v>0</v>
      </c>
      <c r="C17" s="25">
        <v>0</v>
      </c>
      <c r="D17" s="25">
        <v>1</v>
      </c>
      <c r="E17" s="25">
        <v>0</v>
      </c>
      <c r="F17" s="25">
        <v>1</v>
      </c>
      <c r="G17" s="25">
        <v>0</v>
      </c>
      <c r="H17" s="25">
        <v>0</v>
      </c>
      <c r="I17" s="25">
        <v>1</v>
      </c>
      <c r="J17" s="25">
        <v>0</v>
      </c>
      <c r="K17" s="25">
        <v>0</v>
      </c>
      <c r="L17" s="25">
        <v>1</v>
      </c>
      <c r="M17" s="25">
        <v>1</v>
      </c>
      <c r="N17" s="25">
        <v>0</v>
      </c>
      <c r="O17" s="25">
        <v>0</v>
      </c>
      <c r="P17" s="25">
        <v>1</v>
      </c>
      <c r="Q17" s="25">
        <v>1</v>
      </c>
      <c r="R17" s="25">
        <v>1</v>
      </c>
      <c r="S17" s="25">
        <v>1</v>
      </c>
      <c r="T17" s="25">
        <v>1</v>
      </c>
      <c r="U17" s="25">
        <v>0</v>
      </c>
      <c r="V17" s="25">
        <v>1</v>
      </c>
      <c r="W17" s="25">
        <v>0</v>
      </c>
      <c r="X17" s="25">
        <v>1</v>
      </c>
      <c r="Y17" s="25">
        <v>0</v>
      </c>
      <c r="Z17" s="25">
        <v>0</v>
      </c>
      <c r="AA17" s="25">
        <v>1</v>
      </c>
      <c r="AB17" s="25">
        <v>0</v>
      </c>
      <c r="AC17" s="25">
        <v>1</v>
      </c>
      <c r="AD17" s="25">
        <v>0</v>
      </c>
      <c r="AE17" s="25">
        <v>0</v>
      </c>
      <c r="AF17" s="25">
        <v>1</v>
      </c>
      <c r="AG17" s="25">
        <v>1</v>
      </c>
      <c r="AH17" s="25">
        <v>1</v>
      </c>
      <c r="AI17" s="25">
        <v>0</v>
      </c>
      <c r="AJ17" s="25">
        <v>0</v>
      </c>
      <c r="AK17" s="25">
        <v>1</v>
      </c>
      <c r="AL17" s="25">
        <v>0</v>
      </c>
      <c r="AM17" s="25">
        <v>1</v>
      </c>
      <c r="AN17" s="25">
        <v>1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1</v>
      </c>
      <c r="AU17" s="25">
        <v>1</v>
      </c>
      <c r="AV17" s="25">
        <v>1</v>
      </c>
      <c r="AW17" s="25">
        <v>0</v>
      </c>
      <c r="AX17" s="25">
        <v>0</v>
      </c>
      <c r="AY17" s="25">
        <v>0</v>
      </c>
      <c r="AZ17" s="25">
        <v>1</v>
      </c>
      <c r="BA17" s="25">
        <v>1</v>
      </c>
      <c r="BB17" s="25">
        <v>0</v>
      </c>
      <c r="BC17" s="25">
        <v>1</v>
      </c>
      <c r="BD17" s="25">
        <v>1</v>
      </c>
      <c r="BE17" s="25">
        <v>0</v>
      </c>
      <c r="BF17" s="25">
        <v>0</v>
      </c>
      <c r="BG17" s="25">
        <v>1</v>
      </c>
      <c r="BH17" s="25">
        <v>0</v>
      </c>
      <c r="BI17" s="25">
        <v>0</v>
      </c>
      <c r="BJ17" s="25">
        <v>1</v>
      </c>
      <c r="BK17" s="25">
        <v>1</v>
      </c>
      <c r="BL17" s="25">
        <v>0</v>
      </c>
      <c r="BM17" s="25">
        <v>0</v>
      </c>
      <c r="BN17" s="25">
        <v>1</v>
      </c>
      <c r="BO17" s="25">
        <v>0</v>
      </c>
      <c r="BP17" s="25">
        <v>1</v>
      </c>
      <c r="BQ17" s="25">
        <v>1</v>
      </c>
      <c r="BR17" s="25">
        <v>0</v>
      </c>
      <c r="BS17" s="25">
        <v>1</v>
      </c>
      <c r="BT17" s="25">
        <v>1</v>
      </c>
      <c r="BU17" s="25">
        <v>0</v>
      </c>
      <c r="BV17" s="25">
        <v>0</v>
      </c>
      <c r="BW17" s="25">
        <v>1</v>
      </c>
      <c r="BX17" s="25">
        <v>0</v>
      </c>
      <c r="BY17" s="25">
        <v>1</v>
      </c>
      <c r="BZ17" s="25">
        <v>1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1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1</v>
      </c>
      <c r="CN17" s="25">
        <v>0</v>
      </c>
      <c r="CO17" s="25">
        <v>0</v>
      </c>
      <c r="CP17" s="25">
        <v>0</v>
      </c>
      <c r="CQ17" s="25">
        <v>0</v>
      </c>
      <c r="CR17" s="25">
        <v>1</v>
      </c>
      <c r="CS17" s="25">
        <v>1</v>
      </c>
      <c r="CT17" s="25">
        <v>0</v>
      </c>
      <c r="CU17" s="25">
        <v>1</v>
      </c>
      <c r="CV17" s="25">
        <v>0</v>
      </c>
      <c r="CW17" s="25">
        <v>1</v>
      </c>
      <c r="CX17" s="25">
        <v>0</v>
      </c>
      <c r="CY17" s="25">
        <v>0</v>
      </c>
      <c r="CZ17" s="25">
        <v>1</v>
      </c>
      <c r="DA17" s="25">
        <v>1</v>
      </c>
      <c r="DB17" s="25">
        <v>1</v>
      </c>
      <c r="DC17" s="25">
        <v>1</v>
      </c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  <c r="EZ17" s="25"/>
      <c r="FA17" s="25"/>
      <c r="FB17" s="25"/>
      <c r="FC17" s="25"/>
      <c r="FD17" s="25"/>
      <c r="FE17" s="25"/>
      <c r="FF17" s="25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5"/>
      <c r="GF17" s="25"/>
      <c r="GG17" s="25"/>
      <c r="GH17" s="25"/>
      <c r="GI17" s="25"/>
      <c r="GJ17" s="25"/>
      <c r="GK17" s="25"/>
    </row>
    <row r="18" spans="1:193" s="28" customFormat="1" x14ac:dyDescent="0.25">
      <c r="A18" s="29" t="s">
        <v>1622</v>
      </c>
      <c r="B18" s="25">
        <v>0</v>
      </c>
      <c r="C18" s="25">
        <v>0</v>
      </c>
      <c r="D18" s="25">
        <v>0</v>
      </c>
      <c r="E18" s="25">
        <v>1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1</v>
      </c>
      <c r="P18" s="25">
        <v>0</v>
      </c>
      <c r="Q18" s="25">
        <v>1</v>
      </c>
      <c r="R18" s="25">
        <v>0</v>
      </c>
      <c r="S18" s="25">
        <v>0</v>
      </c>
      <c r="T18" s="25">
        <v>1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1</v>
      </c>
      <c r="AB18" s="25">
        <v>0</v>
      </c>
      <c r="AC18" s="25">
        <v>1</v>
      </c>
      <c r="AD18" s="25">
        <v>0</v>
      </c>
      <c r="AE18" s="25">
        <v>0</v>
      </c>
      <c r="AF18" s="25">
        <v>0</v>
      </c>
      <c r="AG18" s="25">
        <v>1</v>
      </c>
      <c r="AH18" s="25">
        <v>1</v>
      </c>
      <c r="AI18" s="25">
        <v>0</v>
      </c>
      <c r="AJ18" s="25">
        <v>0</v>
      </c>
      <c r="AK18" s="25">
        <v>0</v>
      </c>
      <c r="AL18" s="25">
        <v>0</v>
      </c>
      <c r="AM18" s="25">
        <v>1</v>
      </c>
      <c r="AN18" s="25">
        <v>1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1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1</v>
      </c>
      <c r="BD18" s="25">
        <v>1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1</v>
      </c>
      <c r="BL18" s="25">
        <v>0</v>
      </c>
      <c r="BM18" s="25">
        <v>0</v>
      </c>
      <c r="BN18" s="25">
        <v>0</v>
      </c>
      <c r="BO18" s="25">
        <v>1</v>
      </c>
      <c r="BP18" s="25">
        <v>1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1</v>
      </c>
      <c r="BX18" s="25">
        <v>0</v>
      </c>
      <c r="BY18" s="25">
        <v>1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1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1</v>
      </c>
      <c r="DA18" s="25">
        <v>0</v>
      </c>
      <c r="DB18" s="25">
        <v>1</v>
      </c>
      <c r="DC18" s="25">
        <v>1</v>
      </c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</row>
    <row r="19" spans="1:193" s="28" customFormat="1" x14ac:dyDescent="0.25">
      <c r="A19" s="29" t="s">
        <v>1623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1</v>
      </c>
      <c r="K19" s="25">
        <v>0</v>
      </c>
      <c r="L19" s="25">
        <v>0</v>
      </c>
      <c r="M19" s="25">
        <v>0</v>
      </c>
      <c r="N19" s="25">
        <v>0</v>
      </c>
      <c r="O19" s="25">
        <v>1</v>
      </c>
      <c r="P19" s="25">
        <v>0</v>
      </c>
      <c r="Q19" s="25">
        <v>1</v>
      </c>
      <c r="R19" s="25">
        <v>0</v>
      </c>
      <c r="S19" s="25">
        <v>0</v>
      </c>
      <c r="T19" s="25">
        <v>1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1</v>
      </c>
      <c r="AB19" s="25">
        <v>1</v>
      </c>
      <c r="AC19" s="25">
        <v>1</v>
      </c>
      <c r="AD19" s="25">
        <v>0</v>
      </c>
      <c r="AE19" s="25">
        <v>0</v>
      </c>
      <c r="AF19" s="25">
        <v>0</v>
      </c>
      <c r="AG19" s="25">
        <v>0</v>
      </c>
      <c r="AH19" s="25">
        <v>1</v>
      </c>
      <c r="AI19" s="25">
        <v>0</v>
      </c>
      <c r="AJ19" s="25">
        <v>0</v>
      </c>
      <c r="AK19" s="25">
        <v>0</v>
      </c>
      <c r="AL19" s="25">
        <v>0</v>
      </c>
      <c r="AM19" s="25">
        <v>1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1</v>
      </c>
      <c r="AX19" s="25">
        <v>0</v>
      </c>
      <c r="AY19" s="25">
        <v>0</v>
      </c>
      <c r="AZ19" s="25">
        <v>1</v>
      </c>
      <c r="BA19" s="25">
        <v>0</v>
      </c>
      <c r="BB19" s="25">
        <v>0</v>
      </c>
      <c r="BC19" s="25">
        <v>0</v>
      </c>
      <c r="BD19" s="25">
        <v>0</v>
      </c>
      <c r="BE19" s="25">
        <v>1</v>
      </c>
      <c r="BF19" s="25">
        <v>1</v>
      </c>
      <c r="BG19" s="25">
        <v>0</v>
      </c>
      <c r="BH19" s="25">
        <v>0</v>
      </c>
      <c r="BI19" s="25">
        <v>1</v>
      </c>
      <c r="BJ19" s="25">
        <v>0</v>
      </c>
      <c r="BK19" s="25">
        <v>0</v>
      </c>
      <c r="BL19" s="25">
        <v>1</v>
      </c>
      <c r="BM19" s="25">
        <v>0</v>
      </c>
      <c r="BN19" s="25">
        <v>0</v>
      </c>
      <c r="BO19" s="25">
        <v>0</v>
      </c>
      <c r="BP19" s="25">
        <v>1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1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1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1</v>
      </c>
      <c r="CT19" s="25">
        <v>0</v>
      </c>
      <c r="CU19" s="25">
        <v>1</v>
      </c>
      <c r="CV19" s="25">
        <v>0</v>
      </c>
      <c r="CW19" s="25">
        <v>0</v>
      </c>
      <c r="CX19" s="25">
        <v>0</v>
      </c>
      <c r="CY19" s="25">
        <v>0</v>
      </c>
      <c r="CZ19" s="25">
        <v>1</v>
      </c>
      <c r="DA19" s="25">
        <v>0</v>
      </c>
      <c r="DB19" s="25">
        <v>1</v>
      </c>
      <c r="DC19" s="25">
        <v>1</v>
      </c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</row>
    <row r="20" spans="1:193" s="28" customFormat="1" x14ac:dyDescent="0.25">
      <c r="A20" s="29" t="s">
        <v>1796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1</v>
      </c>
      <c r="L20" s="25">
        <v>0</v>
      </c>
      <c r="M20" s="25">
        <v>0</v>
      </c>
      <c r="N20" s="25">
        <v>1</v>
      </c>
      <c r="O20" s="25">
        <v>0</v>
      </c>
      <c r="P20" s="25">
        <v>0</v>
      </c>
      <c r="Q20" s="25">
        <v>1</v>
      </c>
      <c r="R20" s="25">
        <v>0</v>
      </c>
      <c r="S20" s="25">
        <v>0</v>
      </c>
      <c r="T20" s="25">
        <v>1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1</v>
      </c>
      <c r="AB20" s="25">
        <v>0</v>
      </c>
      <c r="AC20" s="25">
        <v>0</v>
      </c>
      <c r="AD20" s="25">
        <v>0</v>
      </c>
      <c r="AE20" s="25">
        <v>1</v>
      </c>
      <c r="AF20" s="25">
        <v>0</v>
      </c>
      <c r="AG20" s="25">
        <v>0</v>
      </c>
      <c r="AH20" s="25">
        <v>1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1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1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1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1</v>
      </c>
      <c r="BQ20" s="25">
        <v>0</v>
      </c>
      <c r="BR20" s="25">
        <v>1</v>
      </c>
      <c r="BS20" s="25">
        <v>0</v>
      </c>
      <c r="BT20" s="25">
        <v>0</v>
      </c>
      <c r="BU20" s="25">
        <v>0</v>
      </c>
      <c r="BV20" s="25">
        <v>0</v>
      </c>
      <c r="BW20" s="25">
        <v>1</v>
      </c>
      <c r="BX20" s="25">
        <v>1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1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1</v>
      </c>
      <c r="CO20" s="25">
        <v>0</v>
      </c>
      <c r="CP20" s="25">
        <v>0</v>
      </c>
      <c r="CQ20" s="25">
        <v>1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5"/>
      <c r="EY20" s="25"/>
      <c r="EZ20" s="25"/>
      <c r="FA20" s="25"/>
      <c r="FB20" s="25"/>
      <c r="FC20" s="25"/>
      <c r="FD20" s="25"/>
      <c r="FE20" s="25"/>
      <c r="FF20" s="25"/>
      <c r="FG20" s="25"/>
      <c r="FH20" s="25"/>
      <c r="FI20" s="25"/>
      <c r="FJ20" s="25"/>
      <c r="FK20" s="25"/>
      <c r="FL20" s="25"/>
      <c r="FM20" s="25"/>
      <c r="FN20" s="25"/>
      <c r="FO20" s="25"/>
      <c r="FP20" s="25"/>
      <c r="FQ20" s="25"/>
      <c r="FR20" s="25"/>
      <c r="FS20" s="25"/>
      <c r="FT20" s="25"/>
      <c r="FU20" s="25"/>
      <c r="FV20" s="25"/>
      <c r="FW20" s="25"/>
      <c r="FX20" s="25"/>
      <c r="FY20" s="25"/>
      <c r="FZ20" s="25"/>
      <c r="GA20" s="25"/>
      <c r="GB20" s="25"/>
      <c r="GC20" s="25"/>
      <c r="GD20" s="25"/>
      <c r="GE20" s="25"/>
      <c r="GF20" s="25"/>
      <c r="GG20" s="25"/>
      <c r="GH20" s="25"/>
      <c r="GI20" s="25"/>
      <c r="GJ20" s="25"/>
      <c r="GK20" s="25"/>
    </row>
    <row r="21" spans="1:193" s="28" customFormat="1" x14ac:dyDescent="0.25">
      <c r="A21" s="29" t="s">
        <v>1801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1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1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1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0</v>
      </c>
      <c r="BT21" s="25">
        <v>0</v>
      </c>
      <c r="BU21" s="25">
        <v>0</v>
      </c>
      <c r="BV21" s="25">
        <v>0</v>
      </c>
      <c r="BW21" s="25">
        <v>1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1</v>
      </c>
      <c r="CH21" s="25">
        <v>0</v>
      </c>
      <c r="CI21" s="25">
        <v>0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0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0</v>
      </c>
      <c r="CV21" s="25">
        <v>0</v>
      </c>
      <c r="CW21" s="25">
        <v>0</v>
      </c>
      <c r="CX21" s="25">
        <v>0</v>
      </c>
      <c r="CY21" s="25">
        <v>0</v>
      </c>
      <c r="CZ21" s="25">
        <v>0</v>
      </c>
      <c r="DA21" s="25">
        <v>0</v>
      </c>
      <c r="DB21" s="25">
        <v>0</v>
      </c>
      <c r="DC21" s="25">
        <v>0</v>
      </c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</row>
    <row r="22" spans="1:193" s="28" customFormat="1" x14ac:dyDescent="0.25">
      <c r="A22" s="29" t="s">
        <v>1799</v>
      </c>
      <c r="B22" s="25">
        <v>1</v>
      </c>
      <c r="C22" s="25">
        <v>0</v>
      </c>
      <c r="D22" s="25">
        <v>1</v>
      </c>
      <c r="E22" s="25">
        <v>1</v>
      </c>
      <c r="F22" s="25">
        <v>1</v>
      </c>
      <c r="G22" s="25">
        <v>1</v>
      </c>
      <c r="H22" s="25">
        <v>1</v>
      </c>
      <c r="I22" s="25">
        <v>0</v>
      </c>
      <c r="J22" s="25">
        <v>0</v>
      </c>
      <c r="K22" s="25">
        <v>1</v>
      </c>
      <c r="L22" s="25">
        <v>0</v>
      </c>
      <c r="M22" s="25">
        <v>0</v>
      </c>
      <c r="N22" s="25">
        <v>1</v>
      </c>
      <c r="O22" s="25">
        <v>1</v>
      </c>
      <c r="P22" s="25">
        <v>0</v>
      </c>
      <c r="Q22" s="25">
        <v>1</v>
      </c>
      <c r="R22" s="25">
        <v>1</v>
      </c>
      <c r="S22" s="25">
        <v>1</v>
      </c>
      <c r="T22" s="25">
        <v>1</v>
      </c>
      <c r="U22" s="25">
        <v>0</v>
      </c>
      <c r="V22" s="25">
        <v>0</v>
      </c>
      <c r="W22" s="25">
        <v>0</v>
      </c>
      <c r="X22" s="25">
        <v>0</v>
      </c>
      <c r="Y22" s="25">
        <v>1</v>
      </c>
      <c r="Z22" s="25">
        <v>1</v>
      </c>
      <c r="AA22" s="25">
        <v>1</v>
      </c>
      <c r="AB22" s="25">
        <v>1</v>
      </c>
      <c r="AC22" s="25">
        <v>1</v>
      </c>
      <c r="AD22" s="25">
        <v>0</v>
      </c>
      <c r="AE22" s="25">
        <v>0</v>
      </c>
      <c r="AF22" s="25">
        <v>0</v>
      </c>
      <c r="AG22" s="25">
        <v>1</v>
      </c>
      <c r="AH22" s="25">
        <v>1</v>
      </c>
      <c r="AI22" s="25">
        <v>0</v>
      </c>
      <c r="AJ22" s="25">
        <v>1</v>
      </c>
      <c r="AK22" s="25">
        <v>0</v>
      </c>
      <c r="AL22" s="25">
        <v>1</v>
      </c>
      <c r="AM22" s="25">
        <v>1</v>
      </c>
      <c r="AN22" s="25">
        <v>1</v>
      </c>
      <c r="AO22" s="25">
        <v>0</v>
      </c>
      <c r="AP22" s="25">
        <v>0</v>
      </c>
      <c r="AQ22" s="25">
        <v>1</v>
      </c>
      <c r="AR22" s="25">
        <v>0</v>
      </c>
      <c r="AS22" s="25">
        <v>1</v>
      </c>
      <c r="AT22" s="25">
        <v>0</v>
      </c>
      <c r="AU22" s="25">
        <v>0</v>
      </c>
      <c r="AV22" s="25">
        <v>0</v>
      </c>
      <c r="AW22" s="25">
        <v>1</v>
      </c>
      <c r="AX22" s="25">
        <v>1</v>
      </c>
      <c r="AY22" s="25">
        <v>1</v>
      </c>
      <c r="AZ22" s="25">
        <v>0</v>
      </c>
      <c r="BA22" s="25">
        <v>1</v>
      </c>
      <c r="BB22" s="25">
        <v>1</v>
      </c>
      <c r="BC22" s="25">
        <v>1</v>
      </c>
      <c r="BD22" s="25">
        <v>1</v>
      </c>
      <c r="BE22" s="25">
        <v>1</v>
      </c>
      <c r="BF22" s="25">
        <v>1</v>
      </c>
      <c r="BG22" s="25">
        <v>1</v>
      </c>
      <c r="BH22" s="25">
        <v>0</v>
      </c>
      <c r="BI22" s="25">
        <v>1</v>
      </c>
      <c r="BJ22" s="25">
        <v>1</v>
      </c>
      <c r="BK22" s="25">
        <v>1</v>
      </c>
      <c r="BL22" s="25">
        <v>1</v>
      </c>
      <c r="BM22" s="25">
        <v>0</v>
      </c>
      <c r="BN22" s="25">
        <v>0</v>
      </c>
      <c r="BO22" s="25">
        <v>1</v>
      </c>
      <c r="BP22" s="25">
        <v>1</v>
      </c>
      <c r="BQ22" s="25">
        <v>1</v>
      </c>
      <c r="BR22" s="25">
        <v>1</v>
      </c>
      <c r="BS22" s="25">
        <v>0</v>
      </c>
      <c r="BT22" s="25">
        <v>0</v>
      </c>
      <c r="BU22" s="25">
        <v>1</v>
      </c>
      <c r="BV22" s="25">
        <v>0</v>
      </c>
      <c r="BW22" s="25">
        <v>1</v>
      </c>
      <c r="BX22" s="25">
        <v>0</v>
      </c>
      <c r="BY22" s="25">
        <v>1</v>
      </c>
      <c r="BZ22" s="25">
        <v>1</v>
      </c>
      <c r="CA22" s="25">
        <v>1</v>
      </c>
      <c r="CB22" s="25">
        <v>1</v>
      </c>
      <c r="CC22" s="25">
        <v>1</v>
      </c>
      <c r="CD22" s="25">
        <v>1</v>
      </c>
      <c r="CE22" s="25">
        <v>1</v>
      </c>
      <c r="CF22" s="25">
        <v>0</v>
      </c>
      <c r="CG22" s="25">
        <v>1</v>
      </c>
      <c r="CH22" s="25">
        <v>0</v>
      </c>
      <c r="CI22" s="25">
        <v>0</v>
      </c>
      <c r="CJ22" s="25">
        <v>0</v>
      </c>
      <c r="CK22" s="25">
        <v>1</v>
      </c>
      <c r="CL22" s="25">
        <v>0</v>
      </c>
      <c r="CM22" s="25">
        <v>1</v>
      </c>
      <c r="CN22" s="25">
        <v>1</v>
      </c>
      <c r="CO22" s="25">
        <v>0</v>
      </c>
      <c r="CP22" s="25">
        <v>0</v>
      </c>
      <c r="CQ22" s="25">
        <v>0</v>
      </c>
      <c r="CR22" s="25">
        <v>1</v>
      </c>
      <c r="CS22" s="25">
        <v>1</v>
      </c>
      <c r="CT22" s="25">
        <v>0</v>
      </c>
      <c r="CU22" s="25">
        <v>1</v>
      </c>
      <c r="CV22" s="25">
        <v>0</v>
      </c>
      <c r="CW22" s="25">
        <v>0</v>
      </c>
      <c r="CX22" s="25">
        <v>1</v>
      </c>
      <c r="CY22" s="25">
        <v>1</v>
      </c>
      <c r="CZ22" s="25">
        <v>1</v>
      </c>
      <c r="DA22" s="25">
        <v>0</v>
      </c>
      <c r="DB22" s="25">
        <v>1</v>
      </c>
      <c r="DC22" s="25">
        <v>1</v>
      </c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5"/>
      <c r="EY22" s="25"/>
      <c r="EZ22" s="25"/>
      <c r="FA22" s="25"/>
      <c r="FB22" s="25"/>
      <c r="FC22" s="25"/>
      <c r="FD22" s="25"/>
      <c r="FE22" s="25"/>
      <c r="FF22" s="25"/>
      <c r="FG22" s="25"/>
      <c r="FH22" s="25"/>
      <c r="FI22" s="25"/>
      <c r="FJ22" s="25"/>
      <c r="FK22" s="25"/>
      <c r="FL22" s="25"/>
      <c r="FM22" s="25"/>
      <c r="FN22" s="25"/>
      <c r="FO22" s="25"/>
      <c r="FP22" s="25"/>
      <c r="FQ22" s="25"/>
      <c r="FR22" s="25"/>
      <c r="FS22" s="25"/>
      <c r="FT22" s="25"/>
      <c r="FU22" s="25"/>
      <c r="FV22" s="25"/>
      <c r="FW22" s="25"/>
      <c r="FX22" s="25"/>
      <c r="FY22" s="25"/>
      <c r="FZ22" s="25"/>
      <c r="GA22" s="25"/>
      <c r="GB22" s="25"/>
      <c r="GC22" s="25"/>
      <c r="GD22" s="25"/>
      <c r="GE22" s="25"/>
      <c r="GF22" s="25"/>
      <c r="GG22" s="25"/>
      <c r="GH22" s="25"/>
      <c r="GI22" s="25"/>
      <c r="GJ22" s="25"/>
      <c r="GK22" s="25"/>
    </row>
    <row r="23" spans="1:193" s="28" customFormat="1" x14ac:dyDescent="0.25">
      <c r="A23" s="29" t="s">
        <v>1798</v>
      </c>
      <c r="B23" s="25">
        <v>0</v>
      </c>
      <c r="C23" s="25">
        <v>0</v>
      </c>
      <c r="D23" s="25">
        <v>1</v>
      </c>
      <c r="E23" s="25">
        <v>1</v>
      </c>
      <c r="F23" s="25">
        <v>0</v>
      </c>
      <c r="G23" s="25">
        <v>0</v>
      </c>
      <c r="H23" s="25">
        <v>0</v>
      </c>
      <c r="I23" s="25">
        <v>1</v>
      </c>
      <c r="J23" s="25">
        <v>0</v>
      </c>
      <c r="K23" s="25">
        <v>0</v>
      </c>
      <c r="L23" s="25">
        <v>1</v>
      </c>
      <c r="M23" s="25">
        <v>1</v>
      </c>
      <c r="N23" s="25">
        <v>0</v>
      </c>
      <c r="O23" s="25">
        <v>1</v>
      </c>
      <c r="P23" s="25">
        <v>1</v>
      </c>
      <c r="Q23" s="25">
        <v>1</v>
      </c>
      <c r="R23" s="25">
        <v>0</v>
      </c>
      <c r="S23" s="25">
        <v>1</v>
      </c>
      <c r="T23" s="25">
        <v>1</v>
      </c>
      <c r="U23" s="25">
        <v>0</v>
      </c>
      <c r="V23" s="25">
        <v>0</v>
      </c>
      <c r="W23" s="25">
        <v>0</v>
      </c>
      <c r="X23" s="25">
        <v>1</v>
      </c>
      <c r="Y23" s="25">
        <v>1</v>
      </c>
      <c r="Z23" s="25">
        <v>0</v>
      </c>
      <c r="AA23" s="25">
        <v>1</v>
      </c>
      <c r="AB23" s="25">
        <v>0</v>
      </c>
      <c r="AC23" s="25">
        <v>1</v>
      </c>
      <c r="AD23" s="25">
        <v>1</v>
      </c>
      <c r="AE23" s="25">
        <v>0</v>
      </c>
      <c r="AF23" s="25">
        <v>1</v>
      </c>
      <c r="AG23" s="25">
        <v>1</v>
      </c>
      <c r="AH23" s="25">
        <v>1</v>
      </c>
      <c r="AI23" s="25">
        <v>1</v>
      </c>
      <c r="AJ23" s="25">
        <v>1</v>
      </c>
      <c r="AK23" s="25">
        <v>1</v>
      </c>
      <c r="AL23" s="25">
        <v>0</v>
      </c>
      <c r="AM23" s="25">
        <v>1</v>
      </c>
      <c r="AN23" s="25">
        <v>1</v>
      </c>
      <c r="AO23" s="25">
        <v>0</v>
      </c>
      <c r="AP23" s="25">
        <v>1</v>
      </c>
      <c r="AQ23" s="25">
        <v>0</v>
      </c>
      <c r="AR23" s="25">
        <v>0</v>
      </c>
      <c r="AS23" s="25">
        <v>1</v>
      </c>
      <c r="AT23" s="25">
        <v>1</v>
      </c>
      <c r="AU23" s="25">
        <v>1</v>
      </c>
      <c r="AV23" s="25">
        <v>1</v>
      </c>
      <c r="AW23" s="25">
        <v>1</v>
      </c>
      <c r="AX23" s="25">
        <v>0</v>
      </c>
      <c r="AY23" s="25">
        <v>0</v>
      </c>
      <c r="AZ23" s="25">
        <v>1</v>
      </c>
      <c r="BA23" s="25">
        <v>1</v>
      </c>
      <c r="BB23" s="25">
        <v>0</v>
      </c>
      <c r="BC23" s="25">
        <v>1</v>
      </c>
      <c r="BD23" s="25">
        <v>1</v>
      </c>
      <c r="BE23" s="25">
        <v>0</v>
      </c>
      <c r="BF23" s="25">
        <v>1</v>
      </c>
      <c r="BG23" s="25">
        <v>0</v>
      </c>
      <c r="BH23" s="25">
        <v>0</v>
      </c>
      <c r="BI23" s="25">
        <v>1</v>
      </c>
      <c r="BJ23" s="25">
        <v>0</v>
      </c>
      <c r="BK23" s="25">
        <v>1</v>
      </c>
      <c r="BL23" s="25">
        <v>1</v>
      </c>
      <c r="BM23" s="25">
        <v>0</v>
      </c>
      <c r="BN23" s="25">
        <v>1</v>
      </c>
      <c r="BO23" s="25">
        <v>1</v>
      </c>
      <c r="BP23" s="25">
        <v>1</v>
      </c>
      <c r="BQ23" s="25">
        <v>1</v>
      </c>
      <c r="BR23" s="25">
        <v>1</v>
      </c>
      <c r="BS23" s="25">
        <v>0</v>
      </c>
      <c r="BT23" s="25">
        <v>0</v>
      </c>
      <c r="BU23" s="25">
        <v>0</v>
      </c>
      <c r="BV23" s="25">
        <v>0</v>
      </c>
      <c r="BW23" s="25">
        <v>1</v>
      </c>
      <c r="BX23" s="25">
        <v>0</v>
      </c>
      <c r="BY23" s="25">
        <v>1</v>
      </c>
      <c r="BZ23" s="25">
        <v>1</v>
      </c>
      <c r="CA23" s="25">
        <v>0</v>
      </c>
      <c r="CB23" s="25">
        <v>0</v>
      </c>
      <c r="CC23" s="25">
        <v>1</v>
      </c>
      <c r="CD23" s="25">
        <v>0</v>
      </c>
      <c r="CE23" s="25">
        <v>0</v>
      </c>
      <c r="CF23" s="25">
        <v>1</v>
      </c>
      <c r="CG23" s="25">
        <v>1</v>
      </c>
      <c r="CH23" s="25">
        <v>0</v>
      </c>
      <c r="CI23" s="25">
        <v>0</v>
      </c>
      <c r="CJ23" s="25">
        <v>1</v>
      </c>
      <c r="CK23" s="25">
        <v>1</v>
      </c>
      <c r="CL23" s="25">
        <v>0</v>
      </c>
      <c r="CM23" s="25">
        <v>0</v>
      </c>
      <c r="CN23" s="25">
        <v>1</v>
      </c>
      <c r="CO23" s="25">
        <v>0</v>
      </c>
      <c r="CP23" s="25">
        <v>1</v>
      </c>
      <c r="CQ23" s="25">
        <v>0</v>
      </c>
      <c r="CR23" s="25">
        <v>1</v>
      </c>
      <c r="CS23" s="25">
        <v>1</v>
      </c>
      <c r="CT23" s="25">
        <v>1</v>
      </c>
      <c r="CU23" s="25">
        <v>1</v>
      </c>
      <c r="CV23" s="25">
        <v>0</v>
      </c>
      <c r="CW23" s="25">
        <v>1</v>
      </c>
      <c r="CX23" s="25">
        <v>0</v>
      </c>
      <c r="CY23" s="25">
        <v>1</v>
      </c>
      <c r="CZ23" s="25">
        <v>1</v>
      </c>
      <c r="DA23" s="25">
        <v>1</v>
      </c>
      <c r="DB23" s="25">
        <v>1</v>
      </c>
      <c r="DC23" s="25">
        <v>1</v>
      </c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5"/>
      <c r="EY23" s="25"/>
      <c r="EZ23" s="25"/>
      <c r="FA23" s="25"/>
      <c r="FB23" s="25"/>
      <c r="FC23" s="25"/>
      <c r="FD23" s="25"/>
      <c r="FE23" s="25"/>
      <c r="FF23" s="25"/>
      <c r="FG23" s="25"/>
      <c r="FH23" s="25"/>
      <c r="FI23" s="25"/>
      <c r="FJ23" s="25"/>
      <c r="FK23" s="25"/>
      <c r="FL23" s="25"/>
      <c r="FM23" s="25"/>
      <c r="FN23" s="25"/>
      <c r="FO23" s="25"/>
      <c r="FP23" s="25"/>
      <c r="FQ23" s="25"/>
      <c r="FR23" s="25"/>
      <c r="FS23" s="25"/>
      <c r="FT23" s="25"/>
      <c r="FU23" s="25"/>
      <c r="FV23" s="25"/>
      <c r="FW23" s="25"/>
      <c r="FX23" s="25"/>
      <c r="FY23" s="25"/>
      <c r="FZ23" s="25"/>
      <c r="GA23" s="25"/>
      <c r="GB23" s="25"/>
      <c r="GC23" s="25"/>
      <c r="GD23" s="25"/>
      <c r="GE23" s="25"/>
      <c r="GF23" s="25"/>
      <c r="GG23" s="25"/>
      <c r="GH23" s="25"/>
      <c r="GI23" s="25"/>
      <c r="GJ23" s="25"/>
      <c r="GK23" s="25"/>
    </row>
    <row r="24" spans="1:193" s="28" customFormat="1" x14ac:dyDescent="0.25">
      <c r="A24" s="29" t="s">
        <v>1453</v>
      </c>
      <c r="B24" s="25">
        <v>0</v>
      </c>
      <c r="C24" s="25">
        <v>1</v>
      </c>
      <c r="D24" s="25">
        <v>1</v>
      </c>
      <c r="E24" s="25">
        <v>0</v>
      </c>
      <c r="F24" s="25">
        <v>1</v>
      </c>
      <c r="G24" s="25">
        <v>0</v>
      </c>
      <c r="H24" s="25">
        <v>0</v>
      </c>
      <c r="I24" s="25">
        <v>1</v>
      </c>
      <c r="J24" s="25">
        <v>1</v>
      </c>
      <c r="K24" s="25">
        <v>1</v>
      </c>
      <c r="L24" s="25">
        <v>1</v>
      </c>
      <c r="M24" s="25">
        <v>0</v>
      </c>
      <c r="N24" s="25">
        <v>0</v>
      </c>
      <c r="O24" s="25">
        <v>1</v>
      </c>
      <c r="P24" s="25">
        <v>0</v>
      </c>
      <c r="Q24" s="25">
        <v>1</v>
      </c>
      <c r="R24" s="25">
        <v>1</v>
      </c>
      <c r="S24" s="25">
        <v>0</v>
      </c>
      <c r="T24" s="25">
        <v>1</v>
      </c>
      <c r="U24" s="25">
        <v>1</v>
      </c>
      <c r="V24" s="25">
        <v>1</v>
      </c>
      <c r="W24" s="25">
        <v>1</v>
      </c>
      <c r="X24" s="25">
        <v>1</v>
      </c>
      <c r="Y24" s="25">
        <v>1</v>
      </c>
      <c r="Z24" s="25">
        <v>0</v>
      </c>
      <c r="AA24" s="25">
        <v>1</v>
      </c>
      <c r="AB24" s="25">
        <v>1</v>
      </c>
      <c r="AC24" s="25">
        <v>1</v>
      </c>
      <c r="AD24" s="25">
        <v>0</v>
      </c>
      <c r="AE24" s="25">
        <v>0</v>
      </c>
      <c r="AF24" s="25">
        <v>0</v>
      </c>
      <c r="AG24" s="25">
        <v>0</v>
      </c>
      <c r="AH24" s="25">
        <v>1</v>
      </c>
      <c r="AI24" s="25">
        <v>0</v>
      </c>
      <c r="AJ24" s="25">
        <v>0</v>
      </c>
      <c r="AK24" s="25">
        <v>1</v>
      </c>
      <c r="AL24" s="25">
        <v>0</v>
      </c>
      <c r="AM24" s="25">
        <v>1</v>
      </c>
      <c r="AN24" s="25">
        <v>1</v>
      </c>
      <c r="AO24" s="25">
        <v>1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0</v>
      </c>
      <c r="AV24" s="25">
        <v>0</v>
      </c>
      <c r="AW24" s="25">
        <v>1</v>
      </c>
      <c r="AX24" s="25">
        <v>0</v>
      </c>
      <c r="AY24" s="25">
        <v>0</v>
      </c>
      <c r="AZ24" s="25">
        <v>1</v>
      </c>
      <c r="BA24" s="25">
        <v>1</v>
      </c>
      <c r="BB24" s="25">
        <v>0</v>
      </c>
      <c r="BC24" s="25">
        <v>0</v>
      </c>
      <c r="BD24" s="25">
        <v>1</v>
      </c>
      <c r="BE24" s="25">
        <v>0</v>
      </c>
      <c r="BF24" s="25">
        <v>0</v>
      </c>
      <c r="BG24" s="25">
        <v>0</v>
      </c>
      <c r="BH24" s="25">
        <v>1</v>
      </c>
      <c r="BI24" s="25">
        <v>1</v>
      </c>
      <c r="BJ24" s="25">
        <v>0</v>
      </c>
      <c r="BK24" s="25">
        <v>1</v>
      </c>
      <c r="BL24" s="25">
        <v>1</v>
      </c>
      <c r="BM24" s="25">
        <v>1</v>
      </c>
      <c r="BN24" s="25">
        <v>1</v>
      </c>
      <c r="BO24" s="25">
        <v>0</v>
      </c>
      <c r="BP24" s="25">
        <v>1</v>
      </c>
      <c r="BQ24" s="25">
        <v>1</v>
      </c>
      <c r="BR24" s="25">
        <v>0</v>
      </c>
      <c r="BS24" s="25">
        <v>1</v>
      </c>
      <c r="BT24" s="25">
        <v>1</v>
      </c>
      <c r="BU24" s="25">
        <v>0</v>
      </c>
      <c r="BV24" s="25">
        <v>1</v>
      </c>
      <c r="BW24" s="25">
        <v>1</v>
      </c>
      <c r="BX24" s="25">
        <v>0</v>
      </c>
      <c r="BY24" s="25">
        <v>0</v>
      </c>
      <c r="BZ24" s="25">
        <v>1</v>
      </c>
      <c r="CA24" s="25">
        <v>0</v>
      </c>
      <c r="CB24" s="25">
        <v>0</v>
      </c>
      <c r="CC24" s="25">
        <v>0</v>
      </c>
      <c r="CD24" s="25">
        <v>1</v>
      </c>
      <c r="CE24" s="25">
        <v>0</v>
      </c>
      <c r="CF24" s="25">
        <v>0</v>
      </c>
      <c r="CG24" s="25">
        <v>1</v>
      </c>
      <c r="CH24" s="25">
        <v>1</v>
      </c>
      <c r="CI24" s="25">
        <v>1</v>
      </c>
      <c r="CJ24" s="25">
        <v>1</v>
      </c>
      <c r="CK24" s="25">
        <v>0</v>
      </c>
      <c r="CL24" s="25">
        <v>1</v>
      </c>
      <c r="CM24" s="25">
        <v>0</v>
      </c>
      <c r="CN24" s="25">
        <v>1</v>
      </c>
      <c r="CO24" s="25">
        <v>1</v>
      </c>
      <c r="CP24" s="25">
        <v>0</v>
      </c>
      <c r="CQ24" s="25">
        <v>1</v>
      </c>
      <c r="CR24" s="25">
        <v>0</v>
      </c>
      <c r="CS24" s="25">
        <v>1</v>
      </c>
      <c r="CT24" s="25">
        <v>1</v>
      </c>
      <c r="CU24" s="25">
        <v>1</v>
      </c>
      <c r="CV24" s="25">
        <v>1</v>
      </c>
      <c r="CW24" s="25">
        <v>0</v>
      </c>
      <c r="CX24" s="25">
        <v>0</v>
      </c>
      <c r="CY24" s="25">
        <v>1</v>
      </c>
      <c r="CZ24" s="25">
        <v>1</v>
      </c>
      <c r="DA24" s="25">
        <v>0</v>
      </c>
      <c r="DB24" s="25">
        <v>1</v>
      </c>
      <c r="DC24" s="25">
        <v>1</v>
      </c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5"/>
      <c r="EY24" s="25"/>
      <c r="EZ24" s="25"/>
      <c r="FA24" s="25"/>
      <c r="FB24" s="25"/>
      <c r="FC24" s="25"/>
      <c r="FD24" s="25"/>
      <c r="FE24" s="25"/>
      <c r="FF24" s="25"/>
      <c r="FG24" s="25"/>
      <c r="FH24" s="25"/>
      <c r="FI24" s="25"/>
      <c r="FJ24" s="25"/>
      <c r="FK24" s="25"/>
      <c r="FL24" s="25"/>
      <c r="FM24" s="25"/>
      <c r="FN24" s="25"/>
      <c r="FO24" s="25"/>
      <c r="FP24" s="25"/>
      <c r="FQ24" s="25"/>
      <c r="FR24" s="25"/>
      <c r="FS24" s="25"/>
      <c r="FT24" s="25"/>
      <c r="FU24" s="25"/>
      <c r="FV24" s="25"/>
      <c r="FW24" s="25"/>
      <c r="FX24" s="25"/>
      <c r="FY24" s="25"/>
      <c r="FZ24" s="25"/>
      <c r="GA24" s="25"/>
      <c r="GB24" s="25"/>
      <c r="GC24" s="25"/>
      <c r="GD24" s="25"/>
      <c r="GE24" s="25"/>
      <c r="GF24" s="25"/>
      <c r="GG24" s="25"/>
      <c r="GH24" s="25"/>
      <c r="GI24" s="25"/>
      <c r="GJ24" s="25"/>
      <c r="GK24" s="25"/>
    </row>
    <row r="25" spans="1:193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5"/>
      <c r="EY25" s="25"/>
      <c r="EZ25" s="25"/>
      <c r="FA25" s="25"/>
      <c r="FB25" s="25"/>
      <c r="FC25" s="25"/>
      <c r="FD25" s="25"/>
      <c r="FE25" s="25"/>
      <c r="FF25" s="25"/>
      <c r="FG25" s="25"/>
      <c r="FH25" s="25"/>
      <c r="FI25" s="25"/>
      <c r="FJ25" s="25"/>
      <c r="FK25" s="25"/>
      <c r="FL25" s="25"/>
      <c r="FM25" s="25"/>
      <c r="FN25" s="25"/>
      <c r="FO25" s="25"/>
      <c r="FP25" s="25"/>
      <c r="FQ25" s="25"/>
      <c r="FR25" s="25"/>
      <c r="FS25" s="25"/>
      <c r="FT25" s="25"/>
      <c r="FU25" s="25"/>
      <c r="FV25" s="25"/>
      <c r="FW25" s="25"/>
      <c r="FX25" s="25"/>
      <c r="FY25" s="25"/>
      <c r="FZ25" s="25"/>
      <c r="GA25" s="25"/>
      <c r="GB25" s="25"/>
      <c r="GC25" s="25"/>
      <c r="GD25" s="25"/>
      <c r="GE25" s="25"/>
      <c r="GF25" s="25"/>
      <c r="GG25" s="25"/>
      <c r="GH25" s="25"/>
      <c r="GI25" s="25"/>
      <c r="GJ25" s="25"/>
      <c r="GK25" s="25"/>
    </row>
    <row r="26" spans="1:193" x14ac:dyDescent="0.25"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25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5"/>
      <c r="FG26" s="25"/>
      <c r="FH26" s="25"/>
      <c r="FI26" s="25"/>
      <c r="FJ26" s="25"/>
      <c r="FK26" s="25"/>
      <c r="FL26" s="25"/>
      <c r="FM26" s="25"/>
      <c r="FN26" s="25"/>
      <c r="FO26" s="25"/>
      <c r="FP26" s="25"/>
      <c r="FQ26" s="25"/>
      <c r="FR26" s="25"/>
      <c r="FS26" s="25"/>
      <c r="FT26" s="25"/>
      <c r="FU26" s="25"/>
      <c r="FV26" s="25"/>
      <c r="FW26" s="25"/>
      <c r="FX26" s="25"/>
      <c r="FY26" s="25"/>
      <c r="FZ26" s="25"/>
      <c r="GA26" s="25"/>
      <c r="GB26" s="25"/>
      <c r="GC26" s="25"/>
      <c r="GD26" s="25"/>
      <c r="GE26" s="25"/>
      <c r="GF26" s="25"/>
      <c r="GG26" s="25"/>
      <c r="GH26" s="25"/>
      <c r="GI26" s="25"/>
      <c r="GJ26" s="25"/>
      <c r="GK26" s="25"/>
    </row>
    <row r="27" spans="1:193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</row>
    <row r="28" spans="1:193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</row>
    <row r="29" spans="1:193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</row>
    <row r="30" spans="1:193" x14ac:dyDescent="0.25"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</row>
    <row r="31" spans="1:193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</row>
    <row r="32" spans="1:193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5"/>
      <c r="FG32" s="25"/>
      <c r="FH32" s="25"/>
      <c r="FI32" s="25"/>
      <c r="FJ32" s="25"/>
      <c r="FK32" s="25"/>
      <c r="FL32" s="25"/>
      <c r="FM32" s="25"/>
      <c r="FN32" s="25"/>
      <c r="FO32" s="25"/>
      <c r="FP32" s="25"/>
      <c r="FQ32" s="25"/>
      <c r="FR32" s="25"/>
      <c r="FS32" s="25"/>
      <c r="FT32" s="25"/>
      <c r="FU32" s="25"/>
      <c r="FV32" s="25"/>
      <c r="FW32" s="25"/>
      <c r="FX32" s="25"/>
      <c r="FY32" s="25"/>
      <c r="FZ32" s="25"/>
      <c r="GA32" s="25"/>
      <c r="GB32" s="25"/>
      <c r="GC32" s="25"/>
      <c r="GD32" s="25"/>
      <c r="GE32" s="25"/>
      <c r="GF32" s="25"/>
      <c r="GG32" s="25"/>
      <c r="GH32" s="25"/>
      <c r="GI32" s="25"/>
      <c r="GJ32" s="25"/>
      <c r="GK32" s="25"/>
    </row>
    <row r="33" spans="2:193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5"/>
      <c r="FG33" s="25"/>
      <c r="FH33" s="25"/>
      <c r="FI33" s="25"/>
      <c r="FJ33" s="25"/>
      <c r="FK33" s="25"/>
      <c r="FL33" s="25"/>
      <c r="FM33" s="25"/>
      <c r="FN33" s="25"/>
      <c r="FO33" s="25"/>
      <c r="FP33" s="25"/>
      <c r="FQ33" s="25"/>
      <c r="FR33" s="25"/>
      <c r="FS33" s="25"/>
      <c r="FT33" s="25"/>
      <c r="FU33" s="25"/>
      <c r="FV33" s="25"/>
      <c r="FW33" s="25"/>
      <c r="FX33" s="25"/>
      <c r="FY33" s="25"/>
      <c r="FZ33" s="25"/>
      <c r="GA33" s="25"/>
      <c r="GB33" s="25"/>
      <c r="GC33" s="25"/>
      <c r="GD33" s="25"/>
      <c r="GE33" s="25"/>
      <c r="GF33" s="25"/>
      <c r="GG33" s="25"/>
      <c r="GH33" s="25"/>
      <c r="GI33" s="25"/>
      <c r="GJ33" s="25"/>
      <c r="GK33" s="25"/>
    </row>
    <row r="34" spans="2:193" x14ac:dyDescent="0.2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</row>
    <row r="35" spans="2:193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25"/>
      <c r="FI35" s="25"/>
      <c r="FJ35" s="25"/>
      <c r="FK35" s="25"/>
      <c r="FL35" s="25"/>
      <c r="FM35" s="25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25"/>
      <c r="GC35" s="25"/>
      <c r="GD35" s="25"/>
      <c r="GE35" s="25"/>
      <c r="GF35" s="25"/>
      <c r="GG35" s="25"/>
      <c r="GH35" s="25"/>
      <c r="GI35" s="25"/>
      <c r="GJ35" s="25"/>
      <c r="GK35" s="25"/>
    </row>
    <row r="36" spans="2:193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5"/>
      <c r="FG36" s="25"/>
      <c r="FH36" s="25"/>
      <c r="FI36" s="25"/>
      <c r="FJ36" s="25"/>
      <c r="FK36" s="25"/>
      <c r="FL36" s="25"/>
      <c r="FM36" s="25"/>
      <c r="FN36" s="25"/>
      <c r="FO36" s="25"/>
      <c r="FP36" s="25"/>
      <c r="FQ36" s="25"/>
      <c r="FR36" s="25"/>
      <c r="FS36" s="25"/>
      <c r="FT36" s="25"/>
      <c r="FU36" s="25"/>
      <c r="FV36" s="25"/>
      <c r="FW36" s="25"/>
      <c r="FX36" s="25"/>
      <c r="FY36" s="25"/>
      <c r="FZ36" s="25"/>
      <c r="GA36" s="25"/>
      <c r="GB36" s="25"/>
      <c r="GC36" s="25"/>
      <c r="GD36" s="25"/>
      <c r="GE36" s="25"/>
      <c r="GF36" s="25"/>
      <c r="GG36" s="25"/>
      <c r="GH36" s="25"/>
      <c r="GI36" s="25"/>
      <c r="GJ36" s="25"/>
      <c r="GK36" s="25"/>
    </row>
    <row r="37" spans="2:193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5"/>
      <c r="FG37" s="25"/>
      <c r="FH37" s="25"/>
      <c r="FI37" s="25"/>
      <c r="FJ37" s="25"/>
      <c r="FK37" s="25"/>
      <c r="FL37" s="25"/>
      <c r="FM37" s="25"/>
      <c r="FN37" s="25"/>
      <c r="FO37" s="25"/>
      <c r="FP37" s="25"/>
      <c r="FQ37" s="25"/>
      <c r="FR37" s="25"/>
      <c r="FS37" s="25"/>
      <c r="FT37" s="25"/>
      <c r="FU37" s="25"/>
      <c r="FV37" s="25"/>
      <c r="FW37" s="25"/>
      <c r="FX37" s="25"/>
      <c r="FY37" s="25"/>
      <c r="FZ37" s="25"/>
      <c r="GA37" s="25"/>
      <c r="GB37" s="25"/>
      <c r="GC37" s="25"/>
      <c r="GD37" s="25"/>
      <c r="GE37" s="25"/>
      <c r="GF37" s="25"/>
      <c r="GG37" s="25"/>
      <c r="GH37" s="25"/>
      <c r="GI37" s="25"/>
      <c r="GJ37" s="25"/>
      <c r="GK37" s="25"/>
    </row>
    <row r="38" spans="2:193" x14ac:dyDescent="0.25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25"/>
      <c r="FI38" s="25"/>
      <c r="FJ38" s="25"/>
      <c r="FK38" s="25"/>
      <c r="FL38" s="25"/>
      <c r="FM38" s="25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25"/>
      <c r="GC38" s="25"/>
      <c r="GD38" s="25"/>
      <c r="GE38" s="25"/>
      <c r="GF38" s="25"/>
      <c r="GG38" s="25"/>
      <c r="GH38" s="25"/>
      <c r="GI38" s="25"/>
      <c r="GJ38" s="25"/>
      <c r="GK38" s="25"/>
    </row>
    <row r="39" spans="2:193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</row>
    <row r="40" spans="2:193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5"/>
      <c r="FG40" s="25"/>
      <c r="FH40" s="25"/>
      <c r="FI40" s="25"/>
      <c r="FJ40" s="25"/>
      <c r="FK40" s="25"/>
      <c r="FL40" s="25"/>
      <c r="FM40" s="25"/>
      <c r="FN40" s="25"/>
      <c r="FO40" s="25"/>
      <c r="FP40" s="25"/>
      <c r="FQ40" s="25"/>
      <c r="FR40" s="25"/>
      <c r="FS40" s="25"/>
      <c r="FT40" s="25"/>
      <c r="FU40" s="25"/>
      <c r="FV40" s="25"/>
      <c r="FW40" s="25"/>
      <c r="FX40" s="25"/>
      <c r="FY40" s="25"/>
      <c r="FZ40" s="25"/>
      <c r="GA40" s="25"/>
      <c r="GB40" s="25"/>
      <c r="GC40" s="25"/>
      <c r="GD40" s="25"/>
      <c r="GE40" s="25"/>
      <c r="GF40" s="25"/>
      <c r="GG40" s="25"/>
      <c r="GH40" s="25"/>
      <c r="GI40" s="25"/>
      <c r="GJ40" s="25"/>
      <c r="GK40" s="25"/>
    </row>
    <row r="41" spans="2:193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5"/>
      <c r="FG41" s="25"/>
      <c r="FH41" s="25"/>
      <c r="FI41" s="25"/>
      <c r="FJ41" s="25"/>
      <c r="FK41" s="25"/>
      <c r="FL41" s="25"/>
      <c r="FM41" s="25"/>
      <c r="FN41" s="25"/>
      <c r="FO41" s="25"/>
      <c r="FP41" s="25"/>
      <c r="FQ41" s="25"/>
      <c r="FR41" s="25"/>
      <c r="FS41" s="25"/>
      <c r="FT41" s="25"/>
      <c r="FU41" s="25"/>
      <c r="FV41" s="25"/>
      <c r="FW41" s="25"/>
      <c r="FX41" s="25"/>
      <c r="FY41" s="25"/>
      <c r="FZ41" s="25"/>
      <c r="GA41" s="25"/>
      <c r="GB41" s="25"/>
      <c r="GC41" s="25"/>
      <c r="GD41" s="25"/>
      <c r="GE41" s="25"/>
      <c r="GF41" s="25"/>
      <c r="GG41" s="25"/>
      <c r="GH41" s="25"/>
      <c r="GI41" s="25"/>
      <c r="GJ41" s="25"/>
      <c r="GK41" s="25"/>
    </row>
    <row r="42" spans="2:193" x14ac:dyDescent="0.25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5"/>
      <c r="FG42" s="25"/>
      <c r="FH42" s="25"/>
      <c r="FI42" s="25"/>
      <c r="FJ42" s="25"/>
      <c r="FK42" s="25"/>
      <c r="FL42" s="25"/>
      <c r="FM42" s="25"/>
      <c r="FN42" s="25"/>
      <c r="FO42" s="25"/>
      <c r="FP42" s="25"/>
      <c r="FQ42" s="25"/>
      <c r="FR42" s="25"/>
      <c r="FS42" s="25"/>
      <c r="FT42" s="25"/>
      <c r="FU42" s="25"/>
      <c r="FV42" s="25"/>
      <c r="FW42" s="25"/>
      <c r="FX42" s="25"/>
      <c r="FY42" s="25"/>
      <c r="FZ42" s="25"/>
      <c r="GA42" s="25"/>
      <c r="GB42" s="25"/>
      <c r="GC42" s="25"/>
      <c r="GD42" s="25"/>
      <c r="GE42" s="25"/>
      <c r="GF42" s="25"/>
      <c r="GG42" s="25"/>
      <c r="GH42" s="25"/>
      <c r="GI42" s="25"/>
      <c r="GJ42" s="25"/>
      <c r="GK42" s="25"/>
    </row>
    <row r="43" spans="2:193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5"/>
      <c r="FG43" s="25"/>
      <c r="FH43" s="25"/>
      <c r="FI43" s="25"/>
      <c r="FJ43" s="25"/>
      <c r="FK43" s="25"/>
      <c r="FL43" s="25"/>
      <c r="FM43" s="25"/>
      <c r="FN43" s="25"/>
      <c r="FO43" s="25"/>
      <c r="FP43" s="25"/>
      <c r="FQ43" s="25"/>
      <c r="FR43" s="25"/>
      <c r="FS43" s="25"/>
      <c r="FT43" s="25"/>
      <c r="FU43" s="25"/>
      <c r="FV43" s="25"/>
      <c r="FW43" s="25"/>
      <c r="FX43" s="25"/>
      <c r="FY43" s="25"/>
      <c r="FZ43" s="25"/>
      <c r="GA43" s="25"/>
      <c r="GB43" s="25"/>
      <c r="GC43" s="25"/>
      <c r="GD43" s="25"/>
      <c r="GE43" s="25"/>
      <c r="GF43" s="25"/>
      <c r="GG43" s="25"/>
      <c r="GH43" s="25"/>
      <c r="GI43" s="25"/>
      <c r="GJ43" s="25"/>
      <c r="GK43" s="25"/>
    </row>
    <row r="44" spans="2:193" x14ac:dyDescent="0.25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</row>
    <row r="45" spans="2:193" x14ac:dyDescent="0.2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25"/>
      <c r="FI45" s="25"/>
      <c r="FJ45" s="25"/>
      <c r="FK45" s="25"/>
      <c r="FL45" s="25"/>
      <c r="FM45" s="25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25"/>
      <c r="GC45" s="25"/>
      <c r="GD45" s="25"/>
      <c r="GE45" s="25"/>
      <c r="GF45" s="25"/>
      <c r="GG45" s="25"/>
      <c r="GH45" s="25"/>
      <c r="GI45" s="25"/>
      <c r="GJ45" s="25"/>
      <c r="GK45" s="25"/>
    </row>
    <row r="46" spans="2:193" x14ac:dyDescent="0.2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5"/>
      <c r="FG46" s="25"/>
      <c r="FH46" s="25"/>
      <c r="FI46" s="25"/>
      <c r="FJ46" s="25"/>
      <c r="FK46" s="25"/>
      <c r="FL46" s="25"/>
      <c r="FM46" s="25"/>
      <c r="FN46" s="25"/>
      <c r="FO46" s="25"/>
      <c r="FP46" s="25"/>
      <c r="FQ46" s="25"/>
      <c r="FR46" s="25"/>
      <c r="FS46" s="25"/>
      <c r="FT46" s="25"/>
      <c r="FU46" s="25"/>
      <c r="FV46" s="25"/>
      <c r="FW46" s="25"/>
      <c r="FX46" s="25"/>
      <c r="FY46" s="25"/>
      <c r="FZ46" s="25"/>
      <c r="GA46" s="25"/>
      <c r="GB46" s="25"/>
      <c r="GC46" s="25"/>
      <c r="GD46" s="25"/>
      <c r="GE46" s="25"/>
      <c r="GF46" s="25"/>
      <c r="GG46" s="25"/>
      <c r="GH46" s="25"/>
      <c r="GI46" s="25"/>
      <c r="GJ46" s="25"/>
      <c r="GK46" s="25"/>
    </row>
    <row r="47" spans="2:193" x14ac:dyDescent="0.25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</row>
    <row r="48" spans="2:193" x14ac:dyDescent="0.25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25"/>
      <c r="FI48" s="25"/>
      <c r="FJ48" s="25"/>
      <c r="FK48" s="25"/>
      <c r="FL48" s="25"/>
      <c r="FM48" s="25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25"/>
      <c r="GC48" s="25"/>
      <c r="GD48" s="25"/>
      <c r="GE48" s="25"/>
      <c r="GF48" s="25"/>
      <c r="GG48" s="25"/>
      <c r="GH48" s="25"/>
      <c r="GI48" s="25"/>
      <c r="GJ48" s="25"/>
      <c r="GK48" s="25"/>
    </row>
    <row r="49" spans="2:193" x14ac:dyDescent="0.2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5"/>
      <c r="FG49" s="25"/>
      <c r="FH49" s="25"/>
      <c r="FI49" s="25"/>
      <c r="FJ49" s="25"/>
      <c r="FK49" s="25"/>
      <c r="FL49" s="25"/>
      <c r="FM49" s="25"/>
      <c r="FN49" s="25"/>
      <c r="FO49" s="25"/>
      <c r="FP49" s="25"/>
      <c r="FQ49" s="25"/>
      <c r="FR49" s="25"/>
      <c r="FS49" s="25"/>
      <c r="FT49" s="25"/>
      <c r="FU49" s="25"/>
      <c r="FV49" s="25"/>
      <c r="FW49" s="25"/>
      <c r="FX49" s="25"/>
      <c r="FY49" s="25"/>
      <c r="FZ49" s="25"/>
      <c r="GA49" s="25"/>
      <c r="GB49" s="25"/>
      <c r="GC49" s="25"/>
      <c r="GD49" s="25"/>
      <c r="GE49" s="25"/>
      <c r="GF49" s="25"/>
      <c r="GG49" s="25"/>
      <c r="GH49" s="25"/>
      <c r="GI49" s="25"/>
      <c r="GJ49" s="25"/>
      <c r="GK49" s="25"/>
    </row>
    <row r="50" spans="2:193" x14ac:dyDescent="0.2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5"/>
      <c r="FG50" s="25"/>
      <c r="FH50" s="25"/>
      <c r="FI50" s="25"/>
      <c r="FJ50" s="25"/>
      <c r="FK50" s="25"/>
      <c r="FL50" s="25"/>
      <c r="FM50" s="25"/>
      <c r="FN50" s="25"/>
      <c r="FO50" s="25"/>
      <c r="FP50" s="25"/>
      <c r="FQ50" s="25"/>
      <c r="FR50" s="25"/>
      <c r="FS50" s="25"/>
      <c r="FT50" s="25"/>
      <c r="FU50" s="25"/>
      <c r="FV50" s="25"/>
      <c r="FW50" s="25"/>
      <c r="FX50" s="25"/>
      <c r="FY50" s="25"/>
      <c r="FZ50" s="25"/>
      <c r="GA50" s="25"/>
      <c r="GB50" s="25"/>
      <c r="GC50" s="25"/>
      <c r="GD50" s="25"/>
      <c r="GE50" s="25"/>
      <c r="GF50" s="25"/>
      <c r="GG50" s="25"/>
      <c r="GH50" s="25"/>
      <c r="GI50" s="25"/>
      <c r="GJ50" s="25"/>
      <c r="GK50" s="25"/>
    </row>
    <row r="51" spans="2:193" x14ac:dyDescent="0.25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</row>
    <row r="52" spans="2:193" x14ac:dyDescent="0.25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5"/>
      <c r="FG52" s="25"/>
      <c r="FH52" s="25"/>
      <c r="FI52" s="25"/>
      <c r="FJ52" s="25"/>
      <c r="FK52" s="25"/>
      <c r="FL52" s="25"/>
      <c r="FM52" s="25"/>
      <c r="FN52" s="25"/>
      <c r="FO52" s="25"/>
      <c r="FP52" s="25"/>
      <c r="FQ52" s="25"/>
      <c r="FR52" s="25"/>
      <c r="FS52" s="25"/>
      <c r="FT52" s="25"/>
      <c r="FU52" s="25"/>
      <c r="FV52" s="25"/>
      <c r="FW52" s="25"/>
      <c r="FX52" s="25"/>
      <c r="FY52" s="25"/>
      <c r="FZ52" s="25"/>
      <c r="GA52" s="25"/>
      <c r="GB52" s="25"/>
      <c r="GC52" s="25"/>
      <c r="GD52" s="25"/>
      <c r="GE52" s="25"/>
      <c r="GF52" s="25"/>
      <c r="GG52" s="25"/>
      <c r="GH52" s="25"/>
      <c r="GI52" s="25"/>
      <c r="GJ52" s="25"/>
      <c r="GK52" s="25"/>
    </row>
    <row r="53" spans="2:193" x14ac:dyDescent="0.25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</row>
    <row r="54" spans="2:193" x14ac:dyDescent="0.2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5"/>
      <c r="FG54" s="25"/>
      <c r="FH54" s="25"/>
      <c r="FI54" s="25"/>
      <c r="FJ54" s="25"/>
      <c r="FK54" s="25"/>
      <c r="FL54" s="25"/>
      <c r="FM54" s="25"/>
      <c r="FN54" s="25"/>
      <c r="FO54" s="25"/>
      <c r="FP54" s="25"/>
      <c r="FQ54" s="25"/>
      <c r="FR54" s="25"/>
      <c r="FS54" s="25"/>
      <c r="FT54" s="25"/>
      <c r="FU54" s="25"/>
      <c r="FV54" s="25"/>
      <c r="FW54" s="25"/>
      <c r="FX54" s="25"/>
      <c r="FY54" s="25"/>
      <c r="FZ54" s="25"/>
      <c r="GA54" s="25"/>
      <c r="GB54" s="25"/>
      <c r="GC54" s="25"/>
      <c r="GD54" s="25"/>
      <c r="GE54" s="25"/>
      <c r="GF54" s="25"/>
      <c r="GG54" s="25"/>
      <c r="GH54" s="25"/>
      <c r="GI54" s="25"/>
      <c r="GJ54" s="25"/>
      <c r="GK54" s="25"/>
    </row>
    <row r="55" spans="2:193" x14ac:dyDescent="0.2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5"/>
      <c r="FG55" s="25"/>
      <c r="FH55" s="25"/>
      <c r="FI55" s="25"/>
      <c r="FJ55" s="25"/>
      <c r="FK55" s="25"/>
      <c r="FL55" s="25"/>
      <c r="FM55" s="25"/>
      <c r="FN55" s="25"/>
      <c r="FO55" s="25"/>
      <c r="FP55" s="25"/>
      <c r="FQ55" s="25"/>
      <c r="FR55" s="25"/>
      <c r="FS55" s="25"/>
      <c r="FT55" s="25"/>
      <c r="FU55" s="25"/>
      <c r="FV55" s="25"/>
      <c r="FW55" s="25"/>
      <c r="FX55" s="25"/>
      <c r="FY55" s="25"/>
      <c r="FZ55" s="25"/>
      <c r="GA55" s="25"/>
      <c r="GB55" s="25"/>
      <c r="GC55" s="25"/>
      <c r="GD55" s="25"/>
      <c r="GE55" s="25"/>
      <c r="GF55" s="25"/>
      <c r="GG55" s="25"/>
      <c r="GH55" s="25"/>
      <c r="GI55" s="25"/>
      <c r="GJ55" s="25"/>
      <c r="GK55" s="25"/>
    </row>
    <row r="56" spans="2:193" x14ac:dyDescent="0.25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5"/>
      <c r="FG56" s="25"/>
      <c r="FH56" s="25"/>
      <c r="FI56" s="25"/>
      <c r="FJ56" s="25"/>
      <c r="FK56" s="25"/>
      <c r="FL56" s="25"/>
      <c r="FM56" s="25"/>
      <c r="FN56" s="25"/>
      <c r="FO56" s="25"/>
      <c r="FP56" s="25"/>
      <c r="FQ56" s="25"/>
      <c r="FR56" s="25"/>
      <c r="FS56" s="25"/>
      <c r="FT56" s="25"/>
      <c r="FU56" s="25"/>
      <c r="FV56" s="25"/>
      <c r="FW56" s="25"/>
      <c r="FX56" s="25"/>
      <c r="FY56" s="25"/>
      <c r="FZ56" s="25"/>
      <c r="GA56" s="25"/>
      <c r="GB56" s="25"/>
      <c r="GC56" s="25"/>
      <c r="GD56" s="25"/>
      <c r="GE56" s="25"/>
      <c r="GF56" s="25"/>
      <c r="GG56" s="25"/>
      <c r="GH56" s="25"/>
      <c r="GI56" s="25"/>
      <c r="GJ56" s="25"/>
      <c r="GK56" s="25"/>
    </row>
    <row r="57" spans="2:193" x14ac:dyDescent="0.2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5"/>
      <c r="FG57" s="25"/>
      <c r="FH57" s="25"/>
      <c r="FI57" s="25"/>
      <c r="FJ57" s="25"/>
      <c r="FK57" s="25"/>
      <c r="FL57" s="25"/>
      <c r="FM57" s="25"/>
      <c r="FN57" s="25"/>
      <c r="FO57" s="25"/>
      <c r="FP57" s="25"/>
      <c r="FQ57" s="25"/>
      <c r="FR57" s="25"/>
      <c r="FS57" s="25"/>
      <c r="FT57" s="25"/>
      <c r="FU57" s="25"/>
      <c r="FV57" s="25"/>
      <c r="FW57" s="25"/>
      <c r="FX57" s="25"/>
      <c r="FY57" s="25"/>
      <c r="FZ57" s="25"/>
      <c r="GA57" s="25"/>
      <c r="GB57" s="25"/>
      <c r="GC57" s="25"/>
      <c r="GD57" s="25"/>
      <c r="GE57" s="25"/>
      <c r="GF57" s="25"/>
      <c r="GG57" s="25"/>
      <c r="GH57" s="25"/>
      <c r="GI57" s="25"/>
      <c r="GJ57" s="25"/>
      <c r="GK57" s="25"/>
    </row>
    <row r="58" spans="2:193" x14ac:dyDescent="0.2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5"/>
      <c r="FG58" s="25"/>
      <c r="FH58" s="25"/>
      <c r="FI58" s="25"/>
      <c r="FJ58" s="25"/>
      <c r="FK58" s="25"/>
      <c r="FL58" s="25"/>
      <c r="FM58" s="25"/>
      <c r="FN58" s="25"/>
      <c r="FO58" s="25"/>
      <c r="FP58" s="25"/>
      <c r="FQ58" s="25"/>
      <c r="FR58" s="25"/>
      <c r="FS58" s="25"/>
      <c r="FT58" s="25"/>
      <c r="FU58" s="25"/>
      <c r="FV58" s="25"/>
      <c r="FW58" s="25"/>
      <c r="FX58" s="25"/>
      <c r="FY58" s="25"/>
      <c r="FZ58" s="25"/>
      <c r="GA58" s="25"/>
      <c r="GB58" s="25"/>
      <c r="GC58" s="25"/>
      <c r="GD58" s="25"/>
      <c r="GE58" s="25"/>
      <c r="GF58" s="25"/>
      <c r="GG58" s="25"/>
      <c r="GH58" s="25"/>
      <c r="GI58" s="25"/>
      <c r="GJ58" s="25"/>
      <c r="GK58" s="25"/>
    </row>
    <row r="59" spans="2:193" x14ac:dyDescent="0.25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5"/>
      <c r="FG59" s="25"/>
      <c r="FH59" s="25"/>
      <c r="FI59" s="25"/>
      <c r="FJ59" s="25"/>
      <c r="FK59" s="25"/>
      <c r="FL59" s="25"/>
      <c r="FM59" s="25"/>
      <c r="FN59" s="25"/>
      <c r="FO59" s="25"/>
      <c r="FP59" s="25"/>
      <c r="FQ59" s="25"/>
      <c r="FR59" s="25"/>
      <c r="FS59" s="25"/>
      <c r="FT59" s="25"/>
      <c r="FU59" s="25"/>
      <c r="FV59" s="25"/>
      <c r="FW59" s="25"/>
      <c r="FX59" s="25"/>
      <c r="FY59" s="25"/>
      <c r="FZ59" s="25"/>
      <c r="GA59" s="25"/>
      <c r="GB59" s="25"/>
      <c r="GC59" s="25"/>
      <c r="GD59" s="25"/>
      <c r="GE59" s="25"/>
      <c r="GF59" s="25"/>
      <c r="GG59" s="25"/>
      <c r="GH59" s="25"/>
      <c r="GI59" s="25"/>
      <c r="GJ59" s="25"/>
      <c r="GK59" s="25"/>
    </row>
    <row r="60" spans="2:193" x14ac:dyDescent="0.25"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5"/>
      <c r="FG60" s="25"/>
      <c r="FH60" s="25"/>
      <c r="FI60" s="25"/>
      <c r="FJ60" s="25"/>
      <c r="FK60" s="25"/>
      <c r="FL60" s="25"/>
      <c r="FM60" s="25"/>
      <c r="FN60" s="25"/>
      <c r="FO60" s="25"/>
      <c r="FP60" s="25"/>
      <c r="FQ60" s="25"/>
      <c r="FR60" s="25"/>
      <c r="FS60" s="25"/>
      <c r="FT60" s="25"/>
      <c r="FU60" s="25"/>
      <c r="FV60" s="25"/>
      <c r="FW60" s="25"/>
      <c r="FX60" s="25"/>
      <c r="FY60" s="25"/>
      <c r="FZ60" s="25"/>
      <c r="GA60" s="25"/>
      <c r="GB60" s="25"/>
      <c r="GC60" s="25"/>
      <c r="GD60" s="25"/>
      <c r="GE60" s="25"/>
      <c r="GF60" s="25"/>
      <c r="GG60" s="25"/>
      <c r="GH60" s="25"/>
      <c r="GI60" s="25"/>
      <c r="GJ60" s="25"/>
      <c r="GK60" s="25"/>
    </row>
    <row r="61" spans="2:193" x14ac:dyDescent="0.25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</row>
    <row r="62" spans="2:193" x14ac:dyDescent="0.2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5"/>
      <c r="FG62" s="25"/>
      <c r="FH62" s="25"/>
      <c r="FI62" s="25"/>
      <c r="FJ62" s="25"/>
      <c r="FK62" s="25"/>
      <c r="FL62" s="25"/>
      <c r="FM62" s="25"/>
      <c r="FN62" s="25"/>
      <c r="FO62" s="25"/>
      <c r="FP62" s="25"/>
      <c r="FQ62" s="25"/>
      <c r="FR62" s="25"/>
      <c r="FS62" s="25"/>
      <c r="FT62" s="25"/>
      <c r="FU62" s="25"/>
      <c r="FV62" s="25"/>
      <c r="FW62" s="25"/>
      <c r="FX62" s="25"/>
      <c r="FY62" s="25"/>
      <c r="FZ62" s="25"/>
      <c r="GA62" s="25"/>
      <c r="GB62" s="25"/>
      <c r="GC62" s="25"/>
      <c r="GD62" s="25"/>
      <c r="GE62" s="25"/>
      <c r="GF62" s="25"/>
      <c r="GG62" s="25"/>
      <c r="GH62" s="25"/>
      <c r="GI62" s="25"/>
      <c r="GJ62" s="25"/>
      <c r="GK62" s="25"/>
    </row>
    <row r="63" spans="2:193" x14ac:dyDescent="0.25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5"/>
      <c r="FG63" s="25"/>
      <c r="FH63" s="25"/>
      <c r="FI63" s="25"/>
      <c r="FJ63" s="25"/>
      <c r="FK63" s="25"/>
      <c r="FL63" s="25"/>
      <c r="FM63" s="25"/>
      <c r="FN63" s="25"/>
      <c r="FO63" s="25"/>
      <c r="FP63" s="25"/>
      <c r="FQ63" s="25"/>
      <c r="FR63" s="25"/>
      <c r="FS63" s="25"/>
      <c r="FT63" s="25"/>
      <c r="FU63" s="25"/>
      <c r="FV63" s="25"/>
      <c r="FW63" s="25"/>
      <c r="FX63" s="25"/>
      <c r="FY63" s="25"/>
      <c r="FZ63" s="25"/>
      <c r="GA63" s="25"/>
      <c r="GB63" s="25"/>
      <c r="GC63" s="25"/>
      <c r="GD63" s="25"/>
      <c r="GE63" s="25"/>
      <c r="GF63" s="25"/>
      <c r="GG63" s="25"/>
      <c r="GH63" s="25"/>
      <c r="GI63" s="25"/>
      <c r="GJ63" s="25"/>
      <c r="GK63" s="25"/>
    </row>
    <row r="64" spans="2:193" x14ac:dyDescent="0.25"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</row>
    <row r="65" spans="2:193" x14ac:dyDescent="0.25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5"/>
      <c r="FG65" s="25"/>
      <c r="FH65" s="25"/>
      <c r="FI65" s="25"/>
      <c r="FJ65" s="25"/>
      <c r="FK65" s="25"/>
      <c r="FL65" s="25"/>
      <c r="FM65" s="25"/>
      <c r="FN65" s="25"/>
      <c r="FO65" s="25"/>
      <c r="FP65" s="25"/>
      <c r="FQ65" s="25"/>
      <c r="FR65" s="25"/>
      <c r="FS65" s="25"/>
      <c r="FT65" s="25"/>
      <c r="FU65" s="25"/>
      <c r="FV65" s="25"/>
      <c r="FW65" s="25"/>
      <c r="FX65" s="25"/>
      <c r="FY65" s="25"/>
      <c r="FZ65" s="25"/>
      <c r="GA65" s="25"/>
      <c r="GB65" s="25"/>
      <c r="GC65" s="25"/>
      <c r="GD65" s="25"/>
      <c r="GE65" s="25"/>
      <c r="GF65" s="25"/>
      <c r="GG65" s="25"/>
      <c r="GH65" s="25"/>
      <c r="GI65" s="25"/>
      <c r="GJ65" s="25"/>
      <c r="GK65" s="25"/>
    </row>
    <row r="66" spans="2:193" x14ac:dyDescent="0.25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25"/>
      <c r="FI66" s="25"/>
      <c r="FJ66" s="25"/>
      <c r="FK66" s="25"/>
      <c r="FL66" s="25"/>
      <c r="FM66" s="25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25"/>
      <c r="GC66" s="25"/>
      <c r="GD66" s="25"/>
      <c r="GE66" s="25"/>
      <c r="GF66" s="25"/>
      <c r="GG66" s="25"/>
      <c r="GH66" s="25"/>
      <c r="GI66" s="25"/>
      <c r="GJ66" s="25"/>
      <c r="GK66" s="25"/>
    </row>
    <row r="67" spans="2:193" x14ac:dyDescent="0.25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5"/>
      <c r="FG67" s="25"/>
      <c r="FH67" s="25"/>
      <c r="FI67" s="25"/>
      <c r="FJ67" s="25"/>
      <c r="FK67" s="25"/>
      <c r="FL67" s="25"/>
      <c r="FM67" s="25"/>
      <c r="FN67" s="25"/>
      <c r="FO67" s="25"/>
      <c r="FP67" s="25"/>
      <c r="FQ67" s="25"/>
      <c r="FR67" s="25"/>
      <c r="FS67" s="25"/>
      <c r="FT67" s="25"/>
      <c r="FU67" s="25"/>
      <c r="FV67" s="25"/>
      <c r="FW67" s="25"/>
      <c r="FX67" s="25"/>
      <c r="FY67" s="25"/>
      <c r="FZ67" s="25"/>
      <c r="GA67" s="25"/>
      <c r="GB67" s="25"/>
      <c r="GC67" s="25"/>
      <c r="GD67" s="25"/>
      <c r="GE67" s="25"/>
      <c r="GF67" s="25"/>
      <c r="GG67" s="25"/>
      <c r="GH67" s="25"/>
      <c r="GI67" s="25"/>
      <c r="GJ67" s="25"/>
      <c r="GK67" s="25"/>
    </row>
    <row r="68" spans="2:193" x14ac:dyDescent="0.25"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5"/>
      <c r="FG68" s="25"/>
      <c r="FH68" s="25"/>
      <c r="FI68" s="25"/>
      <c r="FJ68" s="25"/>
      <c r="FK68" s="25"/>
      <c r="FL68" s="25"/>
      <c r="FM68" s="25"/>
      <c r="FN68" s="25"/>
      <c r="FO68" s="25"/>
      <c r="FP68" s="25"/>
      <c r="FQ68" s="25"/>
      <c r="FR68" s="25"/>
      <c r="FS68" s="25"/>
      <c r="FT68" s="25"/>
      <c r="FU68" s="25"/>
      <c r="FV68" s="25"/>
      <c r="FW68" s="25"/>
      <c r="FX68" s="25"/>
      <c r="FY68" s="25"/>
      <c r="FZ68" s="25"/>
      <c r="GA68" s="25"/>
      <c r="GB68" s="25"/>
      <c r="GC68" s="25"/>
      <c r="GD68" s="25"/>
      <c r="GE68" s="25"/>
      <c r="GF68" s="25"/>
      <c r="GG68" s="25"/>
      <c r="GH68" s="25"/>
      <c r="GI68" s="25"/>
      <c r="GJ68" s="25"/>
      <c r="GK68" s="25"/>
    </row>
    <row r="69" spans="2:193" x14ac:dyDescent="0.25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25"/>
      <c r="FI69" s="25"/>
      <c r="FJ69" s="25"/>
      <c r="FK69" s="25"/>
      <c r="FL69" s="25"/>
      <c r="FM69" s="25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25"/>
      <c r="GC69" s="25"/>
      <c r="GD69" s="25"/>
      <c r="GE69" s="25"/>
      <c r="GF69" s="25"/>
      <c r="GG69" s="25"/>
      <c r="GH69" s="25"/>
      <c r="GI69" s="25"/>
      <c r="GJ69" s="25"/>
      <c r="GK69" s="25"/>
    </row>
    <row r="70" spans="2:193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</row>
    <row r="71" spans="2:193" x14ac:dyDescent="0.25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</row>
    <row r="72" spans="2:193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5"/>
      <c r="FG72" s="25"/>
      <c r="FH72" s="25"/>
      <c r="FI72" s="25"/>
      <c r="FJ72" s="25"/>
      <c r="FK72" s="25"/>
      <c r="FL72" s="25"/>
      <c r="FM72" s="25"/>
      <c r="FN72" s="25"/>
      <c r="FO72" s="25"/>
      <c r="FP72" s="25"/>
      <c r="FQ72" s="25"/>
      <c r="FR72" s="25"/>
      <c r="FS72" s="25"/>
      <c r="FT72" s="25"/>
      <c r="FU72" s="25"/>
      <c r="FV72" s="25"/>
      <c r="FW72" s="25"/>
      <c r="FX72" s="25"/>
      <c r="FY72" s="25"/>
      <c r="FZ72" s="25"/>
      <c r="GA72" s="25"/>
      <c r="GB72" s="25"/>
      <c r="GC72" s="25"/>
      <c r="GD72" s="25"/>
      <c r="GE72" s="25"/>
      <c r="GF72" s="25"/>
      <c r="GG72" s="25"/>
      <c r="GH72" s="25"/>
      <c r="GI72" s="25"/>
      <c r="GJ72" s="25"/>
      <c r="GK72" s="25"/>
    </row>
    <row r="73" spans="2:193" x14ac:dyDescent="0.25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5"/>
      <c r="FG73" s="25"/>
      <c r="FH73" s="25"/>
      <c r="FI73" s="25"/>
      <c r="FJ73" s="25"/>
      <c r="FK73" s="25"/>
      <c r="FL73" s="25"/>
      <c r="FM73" s="25"/>
      <c r="FN73" s="25"/>
      <c r="FO73" s="25"/>
      <c r="FP73" s="25"/>
      <c r="FQ73" s="25"/>
      <c r="FR73" s="25"/>
      <c r="FS73" s="25"/>
      <c r="FT73" s="25"/>
      <c r="FU73" s="25"/>
      <c r="FV73" s="25"/>
      <c r="FW73" s="25"/>
      <c r="FX73" s="25"/>
      <c r="FY73" s="25"/>
      <c r="FZ73" s="25"/>
      <c r="GA73" s="25"/>
      <c r="GB73" s="25"/>
      <c r="GC73" s="25"/>
      <c r="GD73" s="25"/>
      <c r="GE73" s="25"/>
      <c r="GF73" s="25"/>
      <c r="GG73" s="25"/>
      <c r="GH73" s="25"/>
      <c r="GI73" s="25"/>
      <c r="GJ73" s="25"/>
      <c r="GK73" s="25"/>
    </row>
    <row r="74" spans="2:193" x14ac:dyDescent="0.25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</row>
    <row r="75" spans="2:193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</row>
    <row r="76" spans="2:193" x14ac:dyDescent="0.25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</row>
    <row r="77" spans="2:193" x14ac:dyDescent="0.25"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</row>
    <row r="78" spans="2:193" x14ac:dyDescent="0.25"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</row>
    <row r="79" spans="2:193" x14ac:dyDescent="0.25"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</row>
    <row r="80" spans="2:193" x14ac:dyDescent="0.25"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</row>
    <row r="81" spans="2:107" x14ac:dyDescent="0.25"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</row>
    <row r="82" spans="2:107" x14ac:dyDescent="0.25"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</row>
    <row r="83" spans="2:107" x14ac:dyDescent="0.25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</row>
    <row r="84" spans="2:10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</row>
    <row r="85" spans="2:107" x14ac:dyDescent="0.2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</row>
    <row r="86" spans="2:107" x14ac:dyDescent="0.25"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</row>
    <row r="87" spans="2:107" x14ac:dyDescent="0.25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</row>
    <row r="88" spans="2:107" x14ac:dyDescent="0.25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</row>
    <row r="89" spans="2:107" x14ac:dyDescent="0.25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J139"/>
  <sheetViews>
    <sheetView zoomScale="70" zoomScaleNormal="7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6.7109375" bestFit="1" customWidth="1"/>
    <col min="2" max="2" width="27.42578125" bestFit="1" customWidth="1"/>
    <col min="3" max="3" width="34" bestFit="1" customWidth="1"/>
    <col min="4" max="4" width="23" bestFit="1" customWidth="1"/>
    <col min="5" max="5" width="14.42578125" bestFit="1" customWidth="1"/>
    <col min="6" max="6" width="11.5703125" bestFit="1" customWidth="1"/>
    <col min="7" max="7" width="13.140625" customWidth="1"/>
    <col min="8" max="8" width="15.28515625" bestFit="1" customWidth="1"/>
    <col min="9" max="9" width="19.7109375" bestFit="1" customWidth="1"/>
    <col min="10" max="10" width="11.7109375" bestFit="1" customWidth="1"/>
    <col min="11" max="11" width="16" bestFit="1" customWidth="1"/>
    <col min="12" max="12" width="18.5703125" bestFit="1" customWidth="1"/>
    <col min="13" max="14" width="15.7109375" bestFit="1" customWidth="1"/>
    <col min="15" max="15" width="15.85546875" bestFit="1" customWidth="1"/>
    <col min="16" max="16" width="19.7109375" bestFit="1" customWidth="1"/>
    <col min="17" max="17" width="17.85546875" bestFit="1" customWidth="1"/>
    <col min="18" max="18" width="15.42578125" bestFit="1" customWidth="1"/>
    <col min="19" max="19" width="15" bestFit="1" customWidth="1"/>
    <col min="20" max="20" width="18.28515625" bestFit="1" customWidth="1"/>
    <col min="21" max="21" width="14.85546875" bestFit="1" customWidth="1"/>
    <col min="22" max="22" width="15.42578125" bestFit="1" customWidth="1"/>
    <col min="23" max="23" width="17.140625" bestFit="1" customWidth="1"/>
    <col min="24" max="24" width="16.42578125" bestFit="1" customWidth="1"/>
    <col min="25" max="25" width="14.85546875" bestFit="1" customWidth="1"/>
    <col min="26" max="26" width="19.7109375" bestFit="1" customWidth="1"/>
    <col min="27" max="27" width="13" bestFit="1" customWidth="1"/>
    <col min="28" max="28" width="17.85546875" bestFit="1" customWidth="1"/>
    <col min="29" max="29" width="17.28515625" bestFit="1" customWidth="1"/>
    <col min="30" max="30" width="14" bestFit="1" customWidth="1"/>
    <col min="31" max="31" width="20.7109375" bestFit="1" customWidth="1"/>
    <col min="32" max="32" width="19.7109375" bestFit="1" customWidth="1"/>
    <col min="33" max="33" width="18.7109375" bestFit="1" customWidth="1"/>
    <col min="34" max="34" width="15.42578125" bestFit="1" customWidth="1"/>
    <col min="35" max="35" width="17.7109375" bestFit="1" customWidth="1"/>
    <col min="36" max="36" width="19.5703125" bestFit="1" customWidth="1"/>
    <col min="37" max="37" width="17.85546875" bestFit="1" customWidth="1"/>
    <col min="38" max="38" width="16.28515625" bestFit="1" customWidth="1"/>
    <col min="39" max="39" width="16.85546875" bestFit="1" customWidth="1"/>
    <col min="40" max="40" width="18.140625" bestFit="1" customWidth="1"/>
    <col min="41" max="41" width="11" bestFit="1" customWidth="1"/>
    <col min="42" max="42" width="15.28515625" bestFit="1" customWidth="1"/>
    <col min="43" max="43" width="16" bestFit="1" customWidth="1"/>
    <col min="44" max="44" width="12.85546875" bestFit="1" customWidth="1"/>
    <col min="45" max="45" width="19.7109375" bestFit="1" customWidth="1"/>
    <col min="46" max="46" width="23.140625" bestFit="1" customWidth="1"/>
    <col min="47" max="47" width="17.7109375" bestFit="1" customWidth="1"/>
    <col min="48" max="48" width="21.140625" bestFit="1" customWidth="1"/>
    <col min="49" max="49" width="17.28515625" bestFit="1" customWidth="1"/>
    <col min="50" max="50" width="21.42578125" bestFit="1" customWidth="1"/>
    <col min="51" max="51" width="18.140625" bestFit="1" customWidth="1"/>
    <col min="52" max="52" width="12" bestFit="1" customWidth="1"/>
    <col min="53" max="53" width="16.42578125" bestFit="1" customWidth="1"/>
    <col min="54" max="54" width="12.140625" bestFit="1" customWidth="1"/>
    <col min="55" max="55" width="16.28515625" bestFit="1" customWidth="1"/>
    <col min="56" max="56" width="18.28515625" bestFit="1" customWidth="1"/>
    <col min="57" max="57" width="20.140625" bestFit="1" customWidth="1"/>
    <col min="58" max="58" width="16.7109375" bestFit="1" customWidth="1"/>
    <col min="59" max="59" width="17.140625" bestFit="1" customWidth="1"/>
    <col min="60" max="60" width="12.140625" bestFit="1" customWidth="1"/>
    <col min="61" max="61" width="18.28515625" bestFit="1" customWidth="1"/>
    <col min="62" max="62" width="15.7109375" bestFit="1" customWidth="1"/>
    <col min="63" max="63" width="11.42578125" bestFit="1" customWidth="1"/>
    <col min="64" max="64" width="21.42578125" bestFit="1" customWidth="1"/>
    <col min="65" max="65" width="19.7109375" bestFit="1" customWidth="1"/>
    <col min="66" max="66" width="18.140625" bestFit="1" customWidth="1"/>
    <col min="67" max="67" width="18.28515625" bestFit="1" customWidth="1"/>
    <col min="68" max="68" width="22.42578125" bestFit="1" customWidth="1"/>
    <col min="69" max="69" width="23.42578125" bestFit="1" customWidth="1"/>
    <col min="70" max="70" width="12.42578125" bestFit="1" customWidth="1"/>
    <col min="71" max="72" width="19.5703125" bestFit="1" customWidth="1"/>
    <col min="73" max="73" width="17.7109375" bestFit="1" customWidth="1"/>
    <col min="74" max="74" width="18.7109375" bestFit="1" customWidth="1"/>
    <col min="75" max="75" width="18.28515625" bestFit="1" customWidth="1"/>
    <col min="76" max="76" width="17.28515625" bestFit="1" customWidth="1"/>
    <col min="77" max="77" width="16.7109375" bestFit="1" customWidth="1"/>
    <col min="78" max="78" width="17.140625" bestFit="1" customWidth="1"/>
    <col min="79" max="79" width="23.140625" bestFit="1" customWidth="1"/>
    <col min="80" max="80" width="15.85546875" bestFit="1" customWidth="1"/>
    <col min="81" max="81" width="14.28515625" bestFit="1" customWidth="1"/>
    <col min="82" max="83" width="13.85546875" bestFit="1" customWidth="1"/>
    <col min="84" max="84" width="15.85546875" bestFit="1" customWidth="1"/>
    <col min="85" max="85" width="18.140625" bestFit="1" customWidth="1"/>
    <col min="86" max="86" width="18.85546875" bestFit="1" customWidth="1"/>
    <col min="87" max="87" width="14.85546875" bestFit="1" customWidth="1"/>
    <col min="88" max="88" width="18.140625" bestFit="1" customWidth="1"/>
    <col min="89" max="89" width="18.28515625" bestFit="1" customWidth="1"/>
    <col min="90" max="90" width="12.5703125" bestFit="1" customWidth="1"/>
    <col min="91" max="91" width="20.28515625" bestFit="1" customWidth="1"/>
    <col min="92" max="92" width="16.42578125" bestFit="1" customWidth="1"/>
    <col min="93" max="93" width="19.140625" bestFit="1" customWidth="1"/>
    <col min="94" max="94" width="12.140625" bestFit="1" customWidth="1"/>
    <col min="95" max="95" width="13.5703125" bestFit="1" customWidth="1"/>
    <col min="96" max="96" width="17.42578125" bestFit="1" customWidth="1"/>
    <col min="97" max="97" width="17.7109375" bestFit="1" customWidth="1"/>
    <col min="98" max="98" width="13" bestFit="1" customWidth="1"/>
    <col min="99" max="99" width="13.140625" bestFit="1" customWidth="1"/>
    <col min="100" max="101" width="16.28515625" bestFit="1" customWidth="1"/>
    <col min="102" max="102" width="21.5703125" bestFit="1" customWidth="1"/>
    <col min="103" max="103" width="10.7109375" bestFit="1" customWidth="1"/>
    <col min="104" max="104" width="10.5703125" bestFit="1" customWidth="1"/>
    <col min="105" max="105" width="16.85546875" bestFit="1" customWidth="1"/>
    <col min="106" max="106" width="14.42578125" bestFit="1" customWidth="1"/>
    <col min="107" max="107" width="11.5703125" bestFit="1" customWidth="1"/>
    <col min="108" max="108" width="13.5703125" bestFit="1" customWidth="1"/>
    <col min="109" max="109" width="16.28515625" bestFit="1" customWidth="1"/>
    <col min="110" max="110" width="18.7109375" bestFit="1" customWidth="1"/>
    <col min="111" max="111" width="20.7109375" bestFit="1" customWidth="1"/>
    <col min="112" max="112" width="15.42578125" bestFit="1" customWidth="1"/>
    <col min="113" max="113" width="15.85546875" bestFit="1" customWidth="1"/>
    <col min="114" max="114" width="13.85546875" bestFit="1" customWidth="1"/>
  </cols>
  <sheetData>
    <row r="1" spans="1:114" s="29" customFormat="1" x14ac:dyDescent="0.25">
      <c r="A1" s="29" t="s">
        <v>237</v>
      </c>
      <c r="B1" s="29" t="s">
        <v>2</v>
      </c>
      <c r="C1" s="29" t="s">
        <v>12</v>
      </c>
      <c r="D1" s="29" t="s">
        <v>1532</v>
      </c>
      <c r="E1" s="29" t="s">
        <v>1533</v>
      </c>
      <c r="F1" s="29" t="s">
        <v>6</v>
      </c>
      <c r="G1" s="29" t="s">
        <v>21</v>
      </c>
      <c r="H1" s="29" t="s">
        <v>1540</v>
      </c>
      <c r="I1" s="30" t="s">
        <v>1578</v>
      </c>
      <c r="J1" s="31" t="s">
        <v>1140</v>
      </c>
      <c r="K1" s="30" t="s">
        <v>208</v>
      </c>
      <c r="L1" s="30" t="s">
        <v>1579</v>
      </c>
      <c r="M1" s="30" t="s">
        <v>1580</v>
      </c>
      <c r="N1" s="30" t="s">
        <v>1581</v>
      </c>
      <c r="O1" s="30" t="s">
        <v>1582</v>
      </c>
      <c r="P1" s="30" t="s">
        <v>1325</v>
      </c>
      <c r="Q1" s="30" t="s">
        <v>1193</v>
      </c>
      <c r="R1" s="30" t="s">
        <v>104</v>
      </c>
      <c r="S1" s="30" t="s">
        <v>1583</v>
      </c>
      <c r="T1" s="30" t="s">
        <v>1093</v>
      </c>
      <c r="U1" s="30" t="s">
        <v>1227</v>
      </c>
      <c r="V1" s="30" t="s">
        <v>1584</v>
      </c>
      <c r="W1" s="30" t="s">
        <v>1058</v>
      </c>
      <c r="X1" s="30" t="s">
        <v>406</v>
      </c>
      <c r="Y1" s="30" t="s">
        <v>435</v>
      </c>
      <c r="Z1" s="30" t="s">
        <v>156</v>
      </c>
      <c r="AA1" s="30" t="s">
        <v>60</v>
      </c>
      <c r="AB1" s="30" t="s">
        <v>1624</v>
      </c>
      <c r="AC1" s="30" t="s">
        <v>1585</v>
      </c>
      <c r="AD1" s="30" t="s">
        <v>643</v>
      </c>
      <c r="AE1" s="30" t="s">
        <v>219</v>
      </c>
      <c r="AF1" s="30" t="s">
        <v>279</v>
      </c>
      <c r="AG1" s="30" t="s">
        <v>1056</v>
      </c>
      <c r="AH1" s="30" t="s">
        <v>28</v>
      </c>
      <c r="AI1" s="30" t="s">
        <v>1586</v>
      </c>
      <c r="AJ1" s="30" t="s">
        <v>59</v>
      </c>
      <c r="AK1" s="30" t="s">
        <v>558</v>
      </c>
      <c r="AL1" s="30" t="s">
        <v>1587</v>
      </c>
      <c r="AM1" s="30" t="s">
        <v>233</v>
      </c>
      <c r="AN1" s="30" t="s">
        <v>161</v>
      </c>
      <c r="AO1" s="30" t="s">
        <v>639</v>
      </c>
      <c r="AP1" s="30" t="s">
        <v>1588</v>
      </c>
      <c r="AQ1" s="30" t="s">
        <v>1589</v>
      </c>
      <c r="AR1" s="30" t="s">
        <v>1094</v>
      </c>
      <c r="AS1" s="30" t="s">
        <v>162</v>
      </c>
      <c r="AT1" s="30" t="s">
        <v>1591</v>
      </c>
      <c r="AU1" s="30" t="s">
        <v>1590</v>
      </c>
      <c r="AV1" s="30" t="s">
        <v>1592</v>
      </c>
      <c r="AW1" s="30" t="s">
        <v>220</v>
      </c>
      <c r="AX1" s="30" t="s">
        <v>1327</v>
      </c>
      <c r="AY1" s="30" t="s">
        <v>44</v>
      </c>
      <c r="AZ1" s="30" t="s">
        <v>1046</v>
      </c>
      <c r="BA1" s="30" t="s">
        <v>1106</v>
      </c>
      <c r="BB1" s="30" t="s">
        <v>241</v>
      </c>
      <c r="BC1" s="30" t="s">
        <v>1109</v>
      </c>
      <c r="BD1" s="30" t="s">
        <v>130</v>
      </c>
      <c r="BE1" s="30" t="s">
        <v>1625</v>
      </c>
      <c r="BF1" s="30" t="s">
        <v>1593</v>
      </c>
      <c r="BG1" s="30" t="s">
        <v>534</v>
      </c>
      <c r="BH1" s="30" t="s">
        <v>1594</v>
      </c>
      <c r="BI1" s="30" t="s">
        <v>1595</v>
      </c>
      <c r="BJ1" s="30" t="s">
        <v>67</v>
      </c>
      <c r="BK1" s="30" t="s">
        <v>1596</v>
      </c>
      <c r="BL1" s="30" t="s">
        <v>850</v>
      </c>
      <c r="BM1" s="30" t="s">
        <v>319</v>
      </c>
      <c r="BN1" s="30" t="s">
        <v>1272</v>
      </c>
      <c r="BO1" s="30" t="s">
        <v>1597</v>
      </c>
      <c r="BP1" s="30" t="s">
        <v>1598</v>
      </c>
      <c r="BQ1" s="30" t="s">
        <v>1291</v>
      </c>
      <c r="BR1" s="30" t="s">
        <v>1599</v>
      </c>
      <c r="BS1" s="30" t="s">
        <v>721</v>
      </c>
      <c r="BT1" s="30" t="s">
        <v>1600</v>
      </c>
      <c r="BU1" s="30" t="s">
        <v>1601</v>
      </c>
      <c r="BV1" s="30" t="s">
        <v>72</v>
      </c>
      <c r="BW1" s="30" t="s">
        <v>807</v>
      </c>
      <c r="BX1" s="30" t="s">
        <v>308</v>
      </c>
      <c r="BY1" s="30" t="s">
        <v>96</v>
      </c>
      <c r="BZ1" s="30" t="s">
        <v>1127</v>
      </c>
      <c r="CA1" s="30" t="s">
        <v>1602</v>
      </c>
      <c r="CB1" s="30" t="s">
        <v>209</v>
      </c>
      <c r="CC1" s="30" t="s">
        <v>1603</v>
      </c>
      <c r="CD1" s="30" t="s">
        <v>36</v>
      </c>
      <c r="CE1" s="30" t="s">
        <v>1604</v>
      </c>
      <c r="CF1" s="30" t="s">
        <v>157</v>
      </c>
      <c r="CG1" s="30" t="s">
        <v>1605</v>
      </c>
      <c r="CH1" s="30" t="s">
        <v>1606</v>
      </c>
      <c r="CI1" s="30" t="s">
        <v>289</v>
      </c>
      <c r="CJ1" s="30" t="s">
        <v>1607</v>
      </c>
      <c r="CK1" s="30" t="s">
        <v>1608</v>
      </c>
      <c r="CL1" s="30" t="s">
        <v>1609</v>
      </c>
      <c r="CM1" s="30" t="s">
        <v>1610</v>
      </c>
      <c r="CN1" s="30" t="s">
        <v>64</v>
      </c>
      <c r="CO1" s="30" t="s">
        <v>1626</v>
      </c>
      <c r="CP1" s="30" t="s">
        <v>1627</v>
      </c>
      <c r="CQ1" s="30" t="s">
        <v>640</v>
      </c>
      <c r="CR1" s="30" t="s">
        <v>337</v>
      </c>
      <c r="CS1" s="30" t="s">
        <v>1611</v>
      </c>
      <c r="CT1" s="30" t="s">
        <v>196</v>
      </c>
      <c r="CU1" s="30" t="s">
        <v>1612</v>
      </c>
      <c r="CV1" s="30" t="s">
        <v>1613</v>
      </c>
      <c r="CW1" s="30" t="s">
        <v>1615</v>
      </c>
      <c r="CX1" s="30" t="s">
        <v>1614</v>
      </c>
      <c r="CY1" s="30" t="s">
        <v>134</v>
      </c>
      <c r="CZ1" s="30" t="s">
        <v>137</v>
      </c>
      <c r="DA1" s="30" t="s">
        <v>1616</v>
      </c>
      <c r="DB1" s="30" t="s">
        <v>1617</v>
      </c>
      <c r="DC1" s="30" t="s">
        <v>688</v>
      </c>
      <c r="DD1" s="30" t="s">
        <v>1618</v>
      </c>
      <c r="DE1" s="30" t="s">
        <v>1522</v>
      </c>
      <c r="DF1" s="30" t="s">
        <v>403</v>
      </c>
      <c r="DG1" s="30" t="s">
        <v>295</v>
      </c>
      <c r="DH1" s="30" t="s">
        <v>1619</v>
      </c>
      <c r="DI1" s="30" t="s">
        <v>1620</v>
      </c>
      <c r="DJ1" s="30" t="s">
        <v>73</v>
      </c>
    </row>
    <row r="2" spans="1:114" s="25" customFormat="1" x14ac:dyDescent="0.25">
      <c r="A2" s="25">
        <v>1</v>
      </c>
      <c r="B2" t="s">
        <v>426</v>
      </c>
      <c r="C2" s="26" t="s">
        <v>809</v>
      </c>
      <c r="D2" t="s">
        <v>1453</v>
      </c>
      <c r="E2" s="26">
        <v>85.708600000000004</v>
      </c>
      <c r="F2" s="25" t="s">
        <v>1539</v>
      </c>
      <c r="G2" s="25" t="s">
        <v>15</v>
      </c>
      <c r="H2" s="25" t="s">
        <v>17</v>
      </c>
      <c r="I2" s="25">
        <v>0</v>
      </c>
      <c r="J2" s="25">
        <v>0</v>
      </c>
      <c r="K2" s="25">
        <v>0</v>
      </c>
      <c r="L2" s="25">
        <v>0</v>
      </c>
      <c r="M2" s="25">
        <v>0</v>
      </c>
      <c r="N2" s="25">
        <v>0</v>
      </c>
      <c r="O2" s="25">
        <v>0</v>
      </c>
      <c r="P2" s="25">
        <v>0</v>
      </c>
      <c r="Q2" s="25">
        <v>0</v>
      </c>
      <c r="R2" s="25">
        <v>0</v>
      </c>
      <c r="S2" s="25">
        <v>0</v>
      </c>
      <c r="T2" s="25">
        <v>0</v>
      </c>
      <c r="U2" s="25">
        <v>0</v>
      </c>
      <c r="V2" s="25">
        <v>0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1</v>
      </c>
      <c r="AI2" s="25">
        <v>0</v>
      </c>
      <c r="AJ2" s="25">
        <v>1</v>
      </c>
      <c r="AK2" s="25">
        <v>0</v>
      </c>
      <c r="AL2" s="25">
        <v>0</v>
      </c>
      <c r="AM2" s="25">
        <v>0</v>
      </c>
      <c r="AN2" s="25">
        <v>0</v>
      </c>
      <c r="AO2" s="25">
        <v>0</v>
      </c>
      <c r="AP2" s="25">
        <v>0</v>
      </c>
      <c r="AQ2" s="25">
        <v>0</v>
      </c>
      <c r="AR2" s="25">
        <v>0</v>
      </c>
      <c r="AS2" s="25">
        <v>0</v>
      </c>
      <c r="AT2" s="25">
        <v>0</v>
      </c>
      <c r="AU2" s="25">
        <v>0</v>
      </c>
      <c r="AV2" s="25">
        <v>0</v>
      </c>
      <c r="AW2" s="25">
        <v>0</v>
      </c>
      <c r="AX2" s="25">
        <v>0</v>
      </c>
      <c r="AY2" s="25">
        <v>0</v>
      </c>
      <c r="AZ2" s="25">
        <v>0</v>
      </c>
      <c r="BA2" s="25">
        <v>0</v>
      </c>
      <c r="BB2" s="25">
        <v>0</v>
      </c>
      <c r="BC2" s="25">
        <v>0</v>
      </c>
      <c r="BD2" s="25">
        <v>0</v>
      </c>
      <c r="BE2" s="25">
        <v>0</v>
      </c>
      <c r="BF2" s="25">
        <v>0</v>
      </c>
      <c r="BG2" s="25">
        <v>0</v>
      </c>
      <c r="BH2" s="25">
        <v>0</v>
      </c>
      <c r="BI2" s="25">
        <v>0</v>
      </c>
      <c r="BJ2" s="25">
        <v>0</v>
      </c>
      <c r="BK2" s="25">
        <v>0</v>
      </c>
      <c r="BL2" s="25">
        <v>0</v>
      </c>
      <c r="BM2" s="25">
        <v>0</v>
      </c>
      <c r="BN2" s="25">
        <v>0</v>
      </c>
      <c r="BO2" s="25">
        <v>0</v>
      </c>
      <c r="BP2" s="25">
        <v>0</v>
      </c>
      <c r="BQ2" s="25">
        <v>0</v>
      </c>
      <c r="BR2" s="25">
        <v>0</v>
      </c>
      <c r="BS2" s="25">
        <v>0</v>
      </c>
      <c r="BT2" s="25">
        <v>0</v>
      </c>
      <c r="BU2" s="25">
        <v>1</v>
      </c>
      <c r="BV2" s="25">
        <v>0</v>
      </c>
      <c r="BW2" s="25">
        <v>0</v>
      </c>
      <c r="BX2" s="25">
        <v>0</v>
      </c>
      <c r="BY2" s="25">
        <v>0</v>
      </c>
      <c r="BZ2" s="25">
        <v>0</v>
      </c>
      <c r="CA2" s="25">
        <v>0</v>
      </c>
      <c r="CB2" s="25">
        <v>0</v>
      </c>
      <c r="CC2" s="25">
        <v>0</v>
      </c>
      <c r="CD2" s="25">
        <v>0</v>
      </c>
      <c r="CE2" s="25">
        <v>0</v>
      </c>
      <c r="CF2" s="25">
        <v>0</v>
      </c>
      <c r="CG2" s="25">
        <v>0</v>
      </c>
      <c r="CH2" s="25">
        <v>0</v>
      </c>
      <c r="CI2" s="25">
        <v>0</v>
      </c>
      <c r="CJ2" s="25">
        <v>0</v>
      </c>
      <c r="CK2" s="25">
        <v>0</v>
      </c>
      <c r="CL2" s="25">
        <v>0</v>
      </c>
      <c r="CM2" s="25">
        <v>0</v>
      </c>
      <c r="CN2" s="25">
        <v>0</v>
      </c>
      <c r="CO2" s="25">
        <v>0</v>
      </c>
      <c r="CP2" s="25">
        <v>0</v>
      </c>
      <c r="CQ2" s="25">
        <v>0</v>
      </c>
      <c r="CR2" s="25">
        <v>0</v>
      </c>
      <c r="CS2" s="25">
        <v>0</v>
      </c>
      <c r="CT2" s="25">
        <v>0</v>
      </c>
      <c r="CU2" s="25">
        <v>0</v>
      </c>
      <c r="CV2" s="25">
        <v>0</v>
      </c>
      <c r="CW2" s="25">
        <v>0</v>
      </c>
      <c r="CX2" s="25">
        <v>0</v>
      </c>
      <c r="CY2" s="25">
        <v>0</v>
      </c>
      <c r="CZ2" s="25">
        <v>0</v>
      </c>
      <c r="DA2" s="25">
        <v>0</v>
      </c>
      <c r="DB2" s="25">
        <v>0</v>
      </c>
      <c r="DC2" s="25">
        <v>0</v>
      </c>
      <c r="DD2" s="25">
        <v>0</v>
      </c>
      <c r="DE2" s="25">
        <v>0</v>
      </c>
      <c r="DF2" s="25">
        <v>0</v>
      </c>
      <c r="DG2" s="25">
        <v>0</v>
      </c>
      <c r="DH2" s="25">
        <v>0</v>
      </c>
      <c r="DI2" s="25">
        <v>0</v>
      </c>
      <c r="DJ2" s="25">
        <v>0</v>
      </c>
    </row>
    <row r="3" spans="1:114" s="25" customFormat="1" x14ac:dyDescent="0.25">
      <c r="A3" s="25">
        <v>2</v>
      </c>
      <c r="B3" t="s">
        <v>426</v>
      </c>
      <c r="C3" s="26" t="s">
        <v>809</v>
      </c>
      <c r="D3" t="s">
        <v>1453</v>
      </c>
      <c r="E3" s="26">
        <v>85.708600000000004</v>
      </c>
      <c r="F3" s="25" t="s">
        <v>1539</v>
      </c>
      <c r="G3" s="25" t="s">
        <v>15</v>
      </c>
      <c r="H3" s="25" t="s">
        <v>16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</v>
      </c>
      <c r="S3" s="25">
        <v>0</v>
      </c>
      <c r="T3" s="25">
        <v>0</v>
      </c>
      <c r="U3" s="25">
        <v>0</v>
      </c>
      <c r="V3" s="25">
        <v>0</v>
      </c>
      <c r="W3" s="25">
        <v>0</v>
      </c>
      <c r="X3" s="25">
        <v>1</v>
      </c>
      <c r="Y3" s="25">
        <v>0</v>
      </c>
      <c r="Z3" s="25">
        <v>0</v>
      </c>
      <c r="AA3" s="25">
        <v>1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  <c r="AK3" s="25">
        <v>0</v>
      </c>
      <c r="AL3" s="25">
        <v>0</v>
      </c>
      <c r="AM3" s="25">
        <v>0</v>
      </c>
      <c r="AN3" s="25">
        <v>0</v>
      </c>
      <c r="AO3" s="25">
        <v>0</v>
      </c>
      <c r="AP3" s="25">
        <v>0</v>
      </c>
      <c r="AQ3" s="25">
        <v>0</v>
      </c>
      <c r="AR3" s="25">
        <v>0</v>
      </c>
      <c r="AS3" s="25">
        <v>0</v>
      </c>
      <c r="AT3" s="25">
        <v>0</v>
      </c>
      <c r="AU3" s="25">
        <v>0</v>
      </c>
      <c r="AV3" s="25">
        <v>0</v>
      </c>
      <c r="AW3" s="25">
        <v>0</v>
      </c>
      <c r="AX3" s="25">
        <v>0</v>
      </c>
      <c r="AY3" s="25">
        <v>0</v>
      </c>
      <c r="AZ3" s="25">
        <v>0</v>
      </c>
      <c r="BA3" s="25">
        <v>0</v>
      </c>
      <c r="BB3" s="25">
        <v>0</v>
      </c>
      <c r="BC3" s="25">
        <v>0</v>
      </c>
      <c r="BD3" s="25">
        <v>0</v>
      </c>
      <c r="BE3" s="25">
        <v>0</v>
      </c>
      <c r="BF3" s="25">
        <v>0</v>
      </c>
      <c r="BG3" s="25">
        <v>0</v>
      </c>
      <c r="BH3" s="25">
        <v>0</v>
      </c>
      <c r="BI3" s="25">
        <v>0</v>
      </c>
      <c r="BJ3" s="25">
        <v>0</v>
      </c>
      <c r="BK3" s="25">
        <v>1</v>
      </c>
      <c r="BL3" s="25">
        <v>0</v>
      </c>
      <c r="BM3" s="25">
        <v>0</v>
      </c>
      <c r="BN3" s="25">
        <v>0</v>
      </c>
      <c r="BO3" s="25">
        <v>0</v>
      </c>
      <c r="BP3" s="25">
        <v>0</v>
      </c>
      <c r="BQ3" s="25">
        <v>0</v>
      </c>
      <c r="BR3" s="25">
        <v>0</v>
      </c>
      <c r="BS3" s="25">
        <v>0</v>
      </c>
      <c r="BT3" s="25">
        <v>0</v>
      </c>
      <c r="BU3" s="25">
        <v>0</v>
      </c>
      <c r="BV3" s="25">
        <v>0</v>
      </c>
      <c r="BW3" s="25">
        <v>1</v>
      </c>
      <c r="BX3" s="25">
        <v>0</v>
      </c>
      <c r="BY3" s="25">
        <v>0</v>
      </c>
      <c r="BZ3" s="25">
        <v>0</v>
      </c>
      <c r="CA3" s="25">
        <v>0</v>
      </c>
      <c r="CB3" s="25">
        <v>0</v>
      </c>
      <c r="CC3" s="25">
        <v>0</v>
      </c>
      <c r="CD3" s="25">
        <v>1</v>
      </c>
      <c r="CE3" s="25">
        <v>0</v>
      </c>
      <c r="CF3" s="25">
        <v>0</v>
      </c>
      <c r="CG3" s="25">
        <v>0</v>
      </c>
      <c r="CH3" s="25">
        <v>0</v>
      </c>
      <c r="CI3" s="25">
        <v>0</v>
      </c>
      <c r="CJ3" s="25">
        <v>0</v>
      </c>
      <c r="CK3" s="25">
        <v>0</v>
      </c>
      <c r="CL3" s="25">
        <v>0</v>
      </c>
      <c r="CM3" s="25">
        <v>0</v>
      </c>
      <c r="CN3" s="25">
        <v>0</v>
      </c>
      <c r="CO3" s="25">
        <v>0</v>
      </c>
      <c r="CP3" s="25">
        <v>0</v>
      </c>
      <c r="CQ3" s="25">
        <v>0</v>
      </c>
      <c r="CR3" s="25">
        <v>0</v>
      </c>
      <c r="CS3" s="25">
        <v>0</v>
      </c>
      <c r="CT3" s="25">
        <v>0</v>
      </c>
      <c r="CU3" s="25">
        <v>0</v>
      </c>
      <c r="CV3" s="25">
        <v>0</v>
      </c>
      <c r="CW3" s="25">
        <v>0</v>
      </c>
      <c r="CX3" s="25">
        <v>0</v>
      </c>
      <c r="CY3" s="25">
        <v>0</v>
      </c>
      <c r="CZ3" s="25">
        <v>0</v>
      </c>
      <c r="DA3" s="25">
        <v>0</v>
      </c>
      <c r="DB3" s="25">
        <v>0</v>
      </c>
      <c r="DC3" s="25">
        <v>0</v>
      </c>
      <c r="DD3" s="25">
        <v>0</v>
      </c>
      <c r="DE3" s="25">
        <v>0</v>
      </c>
      <c r="DF3" s="25">
        <v>0</v>
      </c>
      <c r="DG3" s="25">
        <v>0</v>
      </c>
      <c r="DH3" s="25">
        <v>0</v>
      </c>
      <c r="DI3" s="25">
        <v>1</v>
      </c>
      <c r="DJ3" s="25">
        <v>0</v>
      </c>
    </row>
    <row r="4" spans="1:114" s="25" customFormat="1" x14ac:dyDescent="0.25">
      <c r="A4" s="25">
        <v>3</v>
      </c>
      <c r="B4" t="s">
        <v>426</v>
      </c>
      <c r="C4" s="26" t="s">
        <v>809</v>
      </c>
      <c r="D4" t="s">
        <v>1453</v>
      </c>
      <c r="E4" s="26">
        <v>87.299700000000001</v>
      </c>
      <c r="F4" s="25" t="s">
        <v>1539</v>
      </c>
      <c r="G4" s="26" t="s">
        <v>13</v>
      </c>
      <c r="H4" s="25" t="s">
        <v>17</v>
      </c>
      <c r="I4" s="25">
        <v>0</v>
      </c>
      <c r="J4" s="25">
        <v>0</v>
      </c>
      <c r="K4" s="25">
        <v>0</v>
      </c>
      <c r="L4" s="25">
        <v>0</v>
      </c>
      <c r="M4" s="25">
        <v>1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5">
        <v>0</v>
      </c>
      <c r="V4" s="25">
        <v>1</v>
      </c>
      <c r="W4" s="25">
        <v>0</v>
      </c>
      <c r="X4" s="25">
        <v>0</v>
      </c>
      <c r="Y4" s="25">
        <v>0</v>
      </c>
      <c r="Z4" s="25">
        <v>0</v>
      </c>
      <c r="AA4" s="25">
        <v>1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25">
        <v>0</v>
      </c>
      <c r="AO4" s="25">
        <v>1</v>
      </c>
      <c r="AP4" s="25">
        <v>0</v>
      </c>
      <c r="AQ4" s="25">
        <v>0</v>
      </c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>
        <v>0</v>
      </c>
      <c r="AZ4" s="25">
        <v>0</v>
      </c>
      <c r="BA4" s="25">
        <v>0</v>
      </c>
      <c r="BB4" s="25">
        <v>0</v>
      </c>
      <c r="BC4" s="25">
        <v>0</v>
      </c>
      <c r="BD4" s="25">
        <v>0</v>
      </c>
      <c r="BE4" s="25">
        <v>0</v>
      </c>
      <c r="BF4" s="25">
        <v>0</v>
      </c>
      <c r="BG4" s="25">
        <v>0</v>
      </c>
      <c r="BH4" s="25">
        <v>1</v>
      </c>
      <c r="BI4" s="25">
        <v>0</v>
      </c>
      <c r="BJ4" s="25">
        <v>0</v>
      </c>
      <c r="BK4" s="25">
        <v>0</v>
      </c>
      <c r="BL4" s="25">
        <v>0</v>
      </c>
      <c r="BM4" s="25">
        <v>0</v>
      </c>
      <c r="BN4" s="25">
        <v>0</v>
      </c>
      <c r="BO4" s="25">
        <v>0</v>
      </c>
      <c r="BP4" s="25">
        <v>0</v>
      </c>
      <c r="BQ4" s="25">
        <v>0</v>
      </c>
      <c r="BR4" s="25">
        <v>0</v>
      </c>
      <c r="BS4" s="25">
        <v>0</v>
      </c>
      <c r="BT4" s="25">
        <v>0</v>
      </c>
      <c r="BU4" s="25">
        <v>0</v>
      </c>
      <c r="BV4" s="25">
        <v>0</v>
      </c>
      <c r="BW4" s="25">
        <v>0</v>
      </c>
      <c r="BX4" s="25">
        <v>0</v>
      </c>
      <c r="BY4" s="25">
        <v>0</v>
      </c>
      <c r="BZ4" s="25">
        <v>0</v>
      </c>
      <c r="CA4" s="25">
        <v>0</v>
      </c>
      <c r="CB4" s="25">
        <v>0</v>
      </c>
      <c r="CC4" s="25">
        <v>0</v>
      </c>
      <c r="CD4" s="25">
        <v>1</v>
      </c>
      <c r="CE4" s="25">
        <v>0</v>
      </c>
      <c r="CF4" s="25">
        <v>0</v>
      </c>
      <c r="CG4" s="25">
        <v>1</v>
      </c>
      <c r="CH4" s="25">
        <v>0</v>
      </c>
      <c r="CI4" s="25">
        <v>0</v>
      </c>
      <c r="CJ4" s="25">
        <v>0</v>
      </c>
      <c r="CK4" s="25">
        <v>0</v>
      </c>
      <c r="CL4" s="25">
        <v>0</v>
      </c>
      <c r="CM4" s="25">
        <v>0</v>
      </c>
      <c r="CN4" s="25">
        <v>1</v>
      </c>
      <c r="CO4" s="25">
        <v>0</v>
      </c>
      <c r="CP4" s="25">
        <v>0</v>
      </c>
      <c r="CQ4" s="25">
        <v>0</v>
      </c>
      <c r="CR4" s="25">
        <v>0</v>
      </c>
      <c r="CS4" s="25">
        <v>0</v>
      </c>
      <c r="CT4" s="25">
        <v>0</v>
      </c>
      <c r="CU4" s="25">
        <v>1</v>
      </c>
      <c r="CV4" s="25">
        <v>0</v>
      </c>
      <c r="CW4" s="25">
        <v>0</v>
      </c>
      <c r="CX4" s="25">
        <v>0</v>
      </c>
      <c r="CY4" s="25">
        <v>0</v>
      </c>
      <c r="CZ4" s="25">
        <v>0</v>
      </c>
      <c r="DA4" s="25">
        <v>0</v>
      </c>
      <c r="DB4" s="25">
        <v>0</v>
      </c>
      <c r="DC4" s="25">
        <v>0</v>
      </c>
      <c r="DD4" s="25">
        <v>0</v>
      </c>
      <c r="DE4" s="25">
        <v>0</v>
      </c>
      <c r="DF4" s="25">
        <v>0</v>
      </c>
      <c r="DG4" s="25">
        <v>0</v>
      </c>
      <c r="DH4" s="25">
        <v>0</v>
      </c>
      <c r="DI4" s="25">
        <v>0</v>
      </c>
      <c r="DJ4" s="25">
        <v>0</v>
      </c>
    </row>
    <row r="5" spans="1:114" s="25" customFormat="1" x14ac:dyDescent="0.25">
      <c r="A5" s="25">
        <v>4</v>
      </c>
      <c r="B5" t="s">
        <v>426</v>
      </c>
      <c r="C5" s="26" t="s">
        <v>809</v>
      </c>
      <c r="D5" t="s">
        <v>1453</v>
      </c>
      <c r="E5" s="26">
        <v>87.299700000000001</v>
      </c>
      <c r="F5" s="25" t="s">
        <v>1539</v>
      </c>
      <c r="G5" s="26" t="s">
        <v>13</v>
      </c>
      <c r="H5" s="25" t="s">
        <v>16</v>
      </c>
      <c r="I5" s="25">
        <v>0</v>
      </c>
      <c r="J5" s="25">
        <v>0</v>
      </c>
      <c r="K5" s="25">
        <v>0</v>
      </c>
      <c r="L5" s="25">
        <v>0</v>
      </c>
      <c r="M5" s="25">
        <v>1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1</v>
      </c>
      <c r="T5" s="25">
        <v>0</v>
      </c>
      <c r="U5" s="25">
        <v>0</v>
      </c>
      <c r="V5" s="25">
        <v>1</v>
      </c>
      <c r="W5" s="25">
        <v>0</v>
      </c>
      <c r="X5" s="25">
        <v>0</v>
      </c>
      <c r="Y5" s="25">
        <v>1</v>
      </c>
      <c r="Z5" s="25">
        <v>0</v>
      </c>
      <c r="AA5" s="25">
        <v>1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  <c r="AK5" s="25">
        <v>0</v>
      </c>
      <c r="AL5" s="25">
        <v>0</v>
      </c>
      <c r="AM5" s="25">
        <v>0</v>
      </c>
      <c r="AN5" s="25">
        <v>0</v>
      </c>
      <c r="AO5" s="25">
        <v>1</v>
      </c>
      <c r="AP5" s="25">
        <v>0</v>
      </c>
      <c r="AQ5" s="25">
        <v>0</v>
      </c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>
        <v>0</v>
      </c>
      <c r="AZ5" s="25">
        <v>0</v>
      </c>
      <c r="BA5" s="25">
        <v>0</v>
      </c>
      <c r="BB5" s="25">
        <v>0</v>
      </c>
      <c r="BC5" s="25">
        <v>0</v>
      </c>
      <c r="BD5" s="25">
        <v>1</v>
      </c>
      <c r="BE5" s="25">
        <v>0</v>
      </c>
      <c r="BF5" s="25">
        <v>0</v>
      </c>
      <c r="BG5" s="25">
        <v>0</v>
      </c>
      <c r="BH5" s="25">
        <v>0</v>
      </c>
      <c r="BI5" s="25">
        <v>0</v>
      </c>
      <c r="BJ5" s="25">
        <v>0</v>
      </c>
      <c r="BK5" s="25">
        <v>0</v>
      </c>
      <c r="BL5" s="25">
        <v>0</v>
      </c>
      <c r="BM5" s="25">
        <v>0</v>
      </c>
      <c r="BN5" s="25">
        <v>0</v>
      </c>
      <c r="BO5" s="25">
        <v>0</v>
      </c>
      <c r="BP5" s="25">
        <v>0</v>
      </c>
      <c r="BQ5" s="25">
        <v>0</v>
      </c>
      <c r="BR5" s="25">
        <v>0</v>
      </c>
      <c r="BS5" s="25">
        <v>0</v>
      </c>
      <c r="BT5" s="25">
        <v>0</v>
      </c>
      <c r="BU5" s="25">
        <v>0</v>
      </c>
      <c r="BV5" s="25">
        <v>0</v>
      </c>
      <c r="BW5" s="25">
        <v>1</v>
      </c>
      <c r="BX5" s="25">
        <v>0</v>
      </c>
      <c r="BY5" s="25">
        <v>0</v>
      </c>
      <c r="BZ5" s="25">
        <v>0</v>
      </c>
      <c r="CA5" s="25">
        <v>0</v>
      </c>
      <c r="CB5" s="25">
        <v>0</v>
      </c>
      <c r="CC5" s="25">
        <v>1</v>
      </c>
      <c r="CD5" s="25">
        <v>1</v>
      </c>
      <c r="CE5" s="25">
        <v>0</v>
      </c>
      <c r="CF5" s="25">
        <v>0</v>
      </c>
      <c r="CG5" s="25">
        <v>1</v>
      </c>
      <c r="CH5" s="25">
        <v>0</v>
      </c>
      <c r="CI5" s="25">
        <v>0</v>
      </c>
      <c r="CJ5" s="25">
        <v>0</v>
      </c>
      <c r="CK5" s="25">
        <v>0</v>
      </c>
      <c r="CL5" s="25">
        <v>0</v>
      </c>
      <c r="CM5" s="25">
        <v>0</v>
      </c>
      <c r="CN5" s="25">
        <v>1</v>
      </c>
      <c r="CO5" s="25">
        <v>0</v>
      </c>
      <c r="CP5" s="25">
        <v>1</v>
      </c>
      <c r="CQ5" s="25">
        <v>0</v>
      </c>
      <c r="CR5" s="25">
        <v>0</v>
      </c>
      <c r="CS5" s="25">
        <v>0</v>
      </c>
      <c r="CT5" s="25">
        <v>0</v>
      </c>
      <c r="CU5" s="25">
        <v>1</v>
      </c>
      <c r="CV5" s="25">
        <v>0</v>
      </c>
      <c r="CW5" s="25">
        <v>0</v>
      </c>
      <c r="CX5" s="25">
        <v>0</v>
      </c>
      <c r="CY5" s="25">
        <v>0</v>
      </c>
      <c r="CZ5" s="25">
        <v>0</v>
      </c>
      <c r="DA5" s="25">
        <v>0</v>
      </c>
      <c r="DB5" s="25">
        <v>1</v>
      </c>
      <c r="DC5" s="25">
        <v>0</v>
      </c>
      <c r="DD5" s="25">
        <v>0</v>
      </c>
      <c r="DE5" s="25">
        <v>0</v>
      </c>
      <c r="DF5" s="25">
        <v>0</v>
      </c>
      <c r="DG5" s="25">
        <v>0</v>
      </c>
      <c r="DH5" s="25">
        <v>0</v>
      </c>
      <c r="DI5" s="25">
        <v>0</v>
      </c>
      <c r="DJ5" s="25">
        <v>0</v>
      </c>
    </row>
    <row r="6" spans="1:114" s="25" customFormat="1" x14ac:dyDescent="0.25">
      <c r="A6" s="25">
        <v>5</v>
      </c>
      <c r="B6" t="s">
        <v>426</v>
      </c>
      <c r="C6" s="26" t="s">
        <v>636</v>
      </c>
      <c r="D6" t="s">
        <v>1453</v>
      </c>
      <c r="E6" s="25">
        <v>83.223100000000002</v>
      </c>
      <c r="F6" s="25" t="s">
        <v>1539</v>
      </c>
      <c r="G6" s="25" t="s">
        <v>14</v>
      </c>
      <c r="H6" s="25" t="s">
        <v>17</v>
      </c>
      <c r="I6" s="25">
        <v>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1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>
        <v>0</v>
      </c>
      <c r="AH6" s="25">
        <v>0</v>
      </c>
      <c r="AI6" s="25">
        <v>0</v>
      </c>
      <c r="AJ6" s="25">
        <v>0</v>
      </c>
      <c r="AK6" s="25">
        <v>0</v>
      </c>
      <c r="AL6" s="25">
        <v>0</v>
      </c>
      <c r="AM6" s="25">
        <v>0</v>
      </c>
      <c r="AN6" s="25">
        <v>0</v>
      </c>
      <c r="AO6" s="25">
        <v>0</v>
      </c>
      <c r="AP6" s="25">
        <v>0</v>
      </c>
      <c r="AQ6" s="25">
        <v>0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>
        <v>0</v>
      </c>
      <c r="AZ6" s="25">
        <v>0</v>
      </c>
      <c r="BA6" s="25">
        <v>0</v>
      </c>
      <c r="BB6" s="25">
        <v>0</v>
      </c>
      <c r="BC6" s="25">
        <v>0</v>
      </c>
      <c r="BD6" s="25">
        <v>0</v>
      </c>
      <c r="BE6" s="25">
        <v>0</v>
      </c>
      <c r="BF6" s="25">
        <v>0</v>
      </c>
      <c r="BG6" s="25">
        <v>0</v>
      </c>
      <c r="BH6" s="25">
        <v>0</v>
      </c>
      <c r="BI6" s="25">
        <v>0</v>
      </c>
      <c r="BJ6" s="25">
        <v>0</v>
      </c>
      <c r="BK6" s="25">
        <v>0</v>
      </c>
      <c r="BL6" s="25">
        <v>0</v>
      </c>
      <c r="BM6" s="25">
        <v>0</v>
      </c>
      <c r="BN6" s="25">
        <v>0</v>
      </c>
      <c r="BO6" s="25">
        <v>0</v>
      </c>
      <c r="BP6" s="25">
        <v>0</v>
      </c>
      <c r="BQ6" s="25">
        <v>0</v>
      </c>
      <c r="BR6" s="25">
        <v>0</v>
      </c>
      <c r="BS6" s="25">
        <v>0</v>
      </c>
      <c r="BT6" s="25">
        <v>0</v>
      </c>
      <c r="BU6" s="25">
        <v>0</v>
      </c>
      <c r="BV6" s="25">
        <v>0</v>
      </c>
      <c r="BW6" s="25">
        <v>0</v>
      </c>
      <c r="BX6" s="25">
        <v>0</v>
      </c>
      <c r="BY6" s="25">
        <v>0</v>
      </c>
      <c r="BZ6" s="25">
        <v>0</v>
      </c>
      <c r="CA6" s="25">
        <v>0</v>
      </c>
      <c r="CB6" s="25">
        <v>0</v>
      </c>
      <c r="CC6" s="25">
        <v>0</v>
      </c>
      <c r="CD6" s="25">
        <v>0</v>
      </c>
      <c r="CE6" s="25">
        <v>0</v>
      </c>
      <c r="CF6" s="25">
        <v>0</v>
      </c>
      <c r="CG6" s="25">
        <v>0</v>
      </c>
      <c r="CH6" s="25">
        <v>0</v>
      </c>
      <c r="CI6" s="25">
        <v>0</v>
      </c>
      <c r="CJ6" s="25">
        <v>0</v>
      </c>
      <c r="CK6" s="25">
        <v>0</v>
      </c>
      <c r="CL6" s="25">
        <v>0</v>
      </c>
      <c r="CM6" s="25">
        <v>0</v>
      </c>
      <c r="CN6" s="25">
        <v>0</v>
      </c>
      <c r="CO6" s="25">
        <v>0</v>
      </c>
      <c r="CP6" s="25">
        <v>0</v>
      </c>
      <c r="CQ6" s="25">
        <v>0</v>
      </c>
      <c r="CR6" s="25">
        <v>0</v>
      </c>
      <c r="CS6" s="25">
        <v>0</v>
      </c>
      <c r="CT6" s="25">
        <v>0</v>
      </c>
      <c r="CU6" s="25">
        <v>0</v>
      </c>
      <c r="CV6" s="25">
        <v>0</v>
      </c>
      <c r="CW6" s="25">
        <v>0</v>
      </c>
      <c r="CX6" s="25">
        <v>0</v>
      </c>
      <c r="CY6" s="25">
        <v>0</v>
      </c>
      <c r="CZ6" s="25">
        <v>0</v>
      </c>
      <c r="DA6" s="25">
        <v>0</v>
      </c>
      <c r="DB6" s="25">
        <v>0</v>
      </c>
      <c r="DC6" s="25">
        <v>0</v>
      </c>
      <c r="DD6" s="25">
        <v>0</v>
      </c>
      <c r="DE6" s="25">
        <v>0</v>
      </c>
      <c r="DF6" s="25">
        <v>0</v>
      </c>
      <c r="DG6" s="25">
        <v>0</v>
      </c>
      <c r="DH6" s="25">
        <v>0</v>
      </c>
      <c r="DI6" s="25">
        <v>0</v>
      </c>
      <c r="DJ6" s="25">
        <v>0</v>
      </c>
    </row>
    <row r="7" spans="1:114" s="25" customFormat="1" x14ac:dyDescent="0.25">
      <c r="A7" s="25">
        <v>6</v>
      </c>
      <c r="B7" s="1" t="s">
        <v>426</v>
      </c>
      <c r="C7" s="26" t="s">
        <v>424</v>
      </c>
      <c r="D7" t="s">
        <v>1798</v>
      </c>
      <c r="E7" s="25">
        <v>80.300899999999999</v>
      </c>
      <c r="F7" s="25" t="s">
        <v>1537</v>
      </c>
      <c r="G7" s="25" t="s">
        <v>15</v>
      </c>
      <c r="H7" s="25" t="s">
        <v>16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1</v>
      </c>
      <c r="AB7" s="25">
        <v>0</v>
      </c>
      <c r="AC7" s="25">
        <v>0</v>
      </c>
      <c r="AD7" s="25">
        <v>0</v>
      </c>
      <c r="AE7" s="25">
        <v>0</v>
      </c>
      <c r="AF7" s="25">
        <v>0</v>
      </c>
      <c r="AG7" s="25">
        <v>0</v>
      </c>
      <c r="AH7" s="25">
        <v>0</v>
      </c>
      <c r="AI7" s="25">
        <v>0</v>
      </c>
      <c r="AJ7" s="25">
        <v>0</v>
      </c>
      <c r="AK7" s="25">
        <v>0</v>
      </c>
      <c r="AL7" s="25">
        <v>0</v>
      </c>
      <c r="AM7" s="25">
        <v>0</v>
      </c>
      <c r="AN7" s="25">
        <v>0</v>
      </c>
      <c r="AO7" s="25">
        <v>0</v>
      </c>
      <c r="AP7" s="25">
        <v>0</v>
      </c>
      <c r="AQ7" s="25">
        <v>0</v>
      </c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>
        <v>0</v>
      </c>
      <c r="AZ7" s="25">
        <v>0</v>
      </c>
      <c r="BA7" s="25">
        <v>0</v>
      </c>
      <c r="BB7" s="25">
        <v>0</v>
      </c>
      <c r="BC7" s="25">
        <v>0</v>
      </c>
      <c r="BD7" s="25">
        <v>0</v>
      </c>
      <c r="BE7" s="25">
        <v>0</v>
      </c>
      <c r="BF7" s="25">
        <v>0</v>
      </c>
      <c r="BG7" s="25">
        <v>0</v>
      </c>
      <c r="BH7" s="25">
        <v>0</v>
      </c>
      <c r="BI7" s="25">
        <v>0</v>
      </c>
      <c r="BJ7" s="25">
        <v>0</v>
      </c>
      <c r="BK7" s="25">
        <v>0</v>
      </c>
      <c r="BL7" s="25">
        <v>0</v>
      </c>
      <c r="BM7" s="25">
        <v>0</v>
      </c>
      <c r="BN7" s="25">
        <v>0</v>
      </c>
      <c r="BO7" s="25">
        <v>0</v>
      </c>
      <c r="BP7" s="25">
        <v>0</v>
      </c>
      <c r="BQ7" s="25">
        <v>0</v>
      </c>
      <c r="BR7" s="25">
        <v>0</v>
      </c>
      <c r="BS7" s="25">
        <v>0</v>
      </c>
      <c r="BT7" s="25">
        <v>0</v>
      </c>
      <c r="BU7" s="25">
        <v>0</v>
      </c>
      <c r="BV7" s="25">
        <v>0</v>
      </c>
      <c r="BW7" s="25">
        <v>0</v>
      </c>
      <c r="BX7" s="25">
        <v>0</v>
      </c>
      <c r="BY7" s="25">
        <v>0</v>
      </c>
      <c r="BZ7" s="25">
        <v>0</v>
      </c>
      <c r="CA7" s="25">
        <v>0</v>
      </c>
      <c r="CB7" s="25">
        <v>0</v>
      </c>
      <c r="CC7" s="25">
        <v>0</v>
      </c>
      <c r="CD7" s="25">
        <v>1</v>
      </c>
      <c r="CE7" s="25">
        <v>0</v>
      </c>
      <c r="CF7" s="25">
        <v>0</v>
      </c>
      <c r="CG7" s="25">
        <v>0</v>
      </c>
      <c r="CH7" s="25">
        <v>0</v>
      </c>
      <c r="CI7" s="25">
        <v>0</v>
      </c>
      <c r="CJ7" s="25">
        <v>0</v>
      </c>
      <c r="CK7" s="25">
        <v>0</v>
      </c>
      <c r="CL7" s="25">
        <v>0</v>
      </c>
      <c r="CM7" s="25">
        <v>0</v>
      </c>
      <c r="CN7" s="25">
        <v>0</v>
      </c>
      <c r="CO7" s="25">
        <v>0</v>
      </c>
      <c r="CP7" s="25">
        <v>0</v>
      </c>
      <c r="CQ7" s="25">
        <v>0</v>
      </c>
      <c r="CR7" s="25">
        <v>0</v>
      </c>
      <c r="CS7" s="25">
        <v>0</v>
      </c>
      <c r="CT7" s="25">
        <v>0</v>
      </c>
      <c r="CU7" s="25">
        <v>0</v>
      </c>
      <c r="CV7" s="25">
        <v>0</v>
      </c>
      <c r="CW7" s="25">
        <v>0</v>
      </c>
      <c r="CX7" s="25">
        <v>0</v>
      </c>
      <c r="CY7" s="25">
        <v>0</v>
      </c>
      <c r="CZ7" s="25">
        <v>0</v>
      </c>
      <c r="DA7" s="25">
        <v>0</v>
      </c>
      <c r="DB7" s="25">
        <v>0</v>
      </c>
      <c r="DC7" s="25">
        <v>0</v>
      </c>
      <c r="DD7" s="25">
        <v>0</v>
      </c>
      <c r="DE7" s="25">
        <v>0</v>
      </c>
      <c r="DF7" s="25">
        <v>0</v>
      </c>
      <c r="DG7" s="25">
        <v>0</v>
      </c>
      <c r="DH7" s="25">
        <v>0</v>
      </c>
      <c r="DI7" s="25">
        <v>0</v>
      </c>
      <c r="DJ7" s="25">
        <v>0</v>
      </c>
    </row>
    <row r="8" spans="1:114" s="25" customFormat="1" x14ac:dyDescent="0.25">
      <c r="A8" s="25">
        <v>7</v>
      </c>
      <c r="B8" t="s">
        <v>426</v>
      </c>
      <c r="C8" s="26" t="s">
        <v>1451</v>
      </c>
      <c r="D8" t="s">
        <v>1453</v>
      </c>
      <c r="E8" s="25">
        <v>74.980999999999995</v>
      </c>
      <c r="F8" s="25" t="s">
        <v>1539</v>
      </c>
      <c r="G8" s="25" t="s">
        <v>14</v>
      </c>
      <c r="H8" s="25" t="s">
        <v>17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1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0</v>
      </c>
      <c r="BO8" s="25">
        <v>0</v>
      </c>
      <c r="BP8" s="25">
        <v>0</v>
      </c>
      <c r="BQ8" s="25">
        <v>0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0</v>
      </c>
      <c r="BX8" s="25">
        <v>0</v>
      </c>
      <c r="BY8" s="25">
        <v>0</v>
      </c>
      <c r="BZ8" s="25">
        <v>0</v>
      </c>
      <c r="CA8" s="25">
        <v>0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0</v>
      </c>
      <c r="CH8" s="25">
        <v>0</v>
      </c>
      <c r="CI8" s="25">
        <v>0</v>
      </c>
      <c r="CJ8" s="25">
        <v>0</v>
      </c>
      <c r="CK8" s="25">
        <v>0</v>
      </c>
      <c r="CL8" s="25">
        <v>0</v>
      </c>
      <c r="CM8" s="25">
        <v>0</v>
      </c>
      <c r="CN8" s="25">
        <v>0</v>
      </c>
      <c r="CO8" s="25">
        <v>0</v>
      </c>
      <c r="CP8" s="25">
        <v>0</v>
      </c>
      <c r="CQ8" s="25">
        <v>0</v>
      </c>
      <c r="CR8" s="25">
        <v>0</v>
      </c>
      <c r="CS8" s="25">
        <v>0</v>
      </c>
      <c r="CT8" s="25">
        <v>0</v>
      </c>
      <c r="CU8" s="25">
        <v>0</v>
      </c>
      <c r="CV8" s="25">
        <v>0</v>
      </c>
      <c r="CW8" s="25">
        <v>0</v>
      </c>
      <c r="CX8" s="25">
        <v>0</v>
      </c>
      <c r="CY8" s="25">
        <v>0</v>
      </c>
      <c r="CZ8" s="25">
        <v>0</v>
      </c>
      <c r="DA8" s="25">
        <v>0</v>
      </c>
      <c r="DB8" s="25">
        <v>0</v>
      </c>
      <c r="DC8" s="25">
        <v>0</v>
      </c>
      <c r="DD8" s="25">
        <v>0</v>
      </c>
      <c r="DE8" s="25">
        <v>0</v>
      </c>
      <c r="DF8" s="25">
        <v>0</v>
      </c>
      <c r="DG8" s="25">
        <v>0</v>
      </c>
      <c r="DH8" s="25">
        <v>0</v>
      </c>
      <c r="DI8" s="25">
        <v>0</v>
      </c>
      <c r="DJ8" s="25">
        <v>0</v>
      </c>
    </row>
    <row r="9" spans="1:114" s="25" customFormat="1" x14ac:dyDescent="0.25">
      <c r="A9" s="25">
        <v>8</v>
      </c>
      <c r="B9" s="1" t="s">
        <v>54</v>
      </c>
      <c r="C9" s="26" t="s">
        <v>166</v>
      </c>
      <c r="D9" t="s">
        <v>1798</v>
      </c>
      <c r="E9" s="25">
        <v>43.362099999999998</v>
      </c>
      <c r="F9" s="25" t="s">
        <v>1537</v>
      </c>
      <c r="G9" s="25" t="s">
        <v>15</v>
      </c>
      <c r="H9" s="25" t="s">
        <v>17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1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1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1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</row>
    <row r="10" spans="1:114" s="25" customFormat="1" x14ac:dyDescent="0.25">
      <c r="A10" s="25">
        <v>9</v>
      </c>
      <c r="B10" s="1" t="s">
        <v>54</v>
      </c>
      <c r="C10" s="26" t="s">
        <v>166</v>
      </c>
      <c r="D10" t="s">
        <v>1798</v>
      </c>
      <c r="E10" s="25">
        <v>43.362099999999998</v>
      </c>
      <c r="F10" s="25" t="s">
        <v>1537</v>
      </c>
      <c r="G10" s="25" t="s">
        <v>15</v>
      </c>
      <c r="H10" s="25" t="s">
        <v>16</v>
      </c>
      <c r="I10" s="25">
        <v>0</v>
      </c>
      <c r="J10" s="25">
        <v>0</v>
      </c>
      <c r="K10" s="25">
        <v>0</v>
      </c>
      <c r="L10" s="25">
        <v>1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1</v>
      </c>
      <c r="W10" s="25">
        <v>0</v>
      </c>
      <c r="X10" s="25">
        <v>1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1</v>
      </c>
      <c r="AP10" s="25">
        <v>0</v>
      </c>
      <c r="AQ10" s="25">
        <v>0</v>
      </c>
      <c r="AR10" s="25">
        <v>0</v>
      </c>
      <c r="AS10" s="25">
        <v>0</v>
      </c>
      <c r="AT10" s="25">
        <v>1</v>
      </c>
      <c r="AU10" s="25">
        <v>1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1</v>
      </c>
      <c r="BK10" s="25">
        <v>1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1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1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1</v>
      </c>
      <c r="DJ10" s="25">
        <v>0</v>
      </c>
    </row>
    <row r="11" spans="1:114" s="25" customFormat="1" x14ac:dyDescent="0.25">
      <c r="A11" s="25">
        <v>10</v>
      </c>
      <c r="B11" t="s">
        <v>903</v>
      </c>
      <c r="C11" s="26" t="s">
        <v>921</v>
      </c>
      <c r="D11" t="s">
        <v>1798</v>
      </c>
      <c r="E11" s="25">
        <v>45.574800000000003</v>
      </c>
      <c r="F11" s="25" t="s">
        <v>1537</v>
      </c>
      <c r="G11" s="25" t="s">
        <v>13</v>
      </c>
      <c r="H11" s="25" t="s">
        <v>16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1</v>
      </c>
      <c r="Y11" s="25">
        <v>0</v>
      </c>
      <c r="Z11" s="25">
        <v>0</v>
      </c>
      <c r="AA11" s="25">
        <v>0</v>
      </c>
      <c r="AB11" s="25">
        <v>0</v>
      </c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1</v>
      </c>
      <c r="AP11" s="25">
        <v>0</v>
      </c>
      <c r="AQ11" s="25">
        <v>0</v>
      </c>
      <c r="AR11" s="25">
        <v>0</v>
      </c>
      <c r="AS11" s="25">
        <v>0</v>
      </c>
      <c r="AT11" s="25">
        <v>1</v>
      </c>
      <c r="AU11" s="25">
        <v>1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>
        <v>0</v>
      </c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1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>
        <v>0</v>
      </c>
      <c r="CA11" s="25">
        <v>0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0</v>
      </c>
      <c r="CH11" s="25">
        <v>0</v>
      </c>
      <c r="CI11" s="25">
        <v>0</v>
      </c>
      <c r="CJ11" s="25">
        <v>0</v>
      </c>
      <c r="CK11" s="25">
        <v>0</v>
      </c>
      <c r="CL11" s="25">
        <v>0</v>
      </c>
      <c r="CM11" s="25">
        <v>0</v>
      </c>
      <c r="CN11" s="25">
        <v>0</v>
      </c>
      <c r="CO11" s="25">
        <v>0</v>
      </c>
      <c r="CP11" s="25">
        <v>0</v>
      </c>
      <c r="CQ11" s="25">
        <v>0</v>
      </c>
      <c r="CR11" s="25">
        <v>0</v>
      </c>
      <c r="CS11" s="25">
        <v>0</v>
      </c>
      <c r="CT11" s="25">
        <v>0</v>
      </c>
      <c r="CU11" s="25">
        <v>0</v>
      </c>
      <c r="CV11" s="25">
        <v>0</v>
      </c>
      <c r="CW11" s="25">
        <v>0</v>
      </c>
      <c r="CX11" s="25">
        <v>0</v>
      </c>
      <c r="CY11" s="25">
        <v>0</v>
      </c>
      <c r="CZ11" s="25">
        <v>0</v>
      </c>
      <c r="DA11" s="25">
        <v>0</v>
      </c>
      <c r="DB11" s="25">
        <v>0</v>
      </c>
      <c r="DC11" s="25">
        <v>0</v>
      </c>
      <c r="DD11" s="25">
        <v>0</v>
      </c>
      <c r="DE11" s="25">
        <v>0</v>
      </c>
      <c r="DF11" s="25">
        <v>0</v>
      </c>
      <c r="DG11" s="25">
        <v>0</v>
      </c>
      <c r="DH11" s="25">
        <v>0</v>
      </c>
      <c r="DI11" s="25">
        <v>1</v>
      </c>
      <c r="DJ11" s="25">
        <v>0</v>
      </c>
    </row>
    <row r="12" spans="1:114" s="25" customFormat="1" x14ac:dyDescent="0.25">
      <c r="A12" s="25">
        <v>11</v>
      </c>
      <c r="B12" s="1" t="s">
        <v>78</v>
      </c>
      <c r="C12" s="26" t="s">
        <v>214</v>
      </c>
      <c r="D12" t="s">
        <v>1798</v>
      </c>
      <c r="E12" s="25">
        <v>48.765300000000003</v>
      </c>
      <c r="F12" s="25" t="s">
        <v>1537</v>
      </c>
      <c r="G12" s="25" t="s">
        <v>13</v>
      </c>
      <c r="H12" s="25" t="s">
        <v>16</v>
      </c>
      <c r="I12" s="25">
        <v>0</v>
      </c>
      <c r="J12" s="25">
        <v>0</v>
      </c>
      <c r="K12" s="25">
        <v>0</v>
      </c>
      <c r="L12" s="25">
        <v>1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0</v>
      </c>
      <c r="AA12" s="25">
        <v>1</v>
      </c>
      <c r="AB12" s="25">
        <v>0</v>
      </c>
      <c r="AC12" s="25">
        <v>0</v>
      </c>
      <c r="AD12" s="25">
        <v>0</v>
      </c>
      <c r="AE12" s="25">
        <v>1</v>
      </c>
      <c r="AF12" s="25">
        <v>0</v>
      </c>
      <c r="AG12" s="25">
        <v>0</v>
      </c>
      <c r="AH12" s="25">
        <v>1</v>
      </c>
      <c r="AI12" s="25">
        <v>0</v>
      </c>
      <c r="AJ12" s="25">
        <v>0</v>
      </c>
      <c r="AK12" s="25">
        <v>0</v>
      </c>
      <c r="AL12" s="25">
        <v>0</v>
      </c>
      <c r="AM12" s="25">
        <v>0</v>
      </c>
      <c r="AN12" s="25">
        <v>1</v>
      </c>
      <c r="AO12" s="25">
        <v>1</v>
      </c>
      <c r="AP12" s="25">
        <v>0</v>
      </c>
      <c r="AQ12" s="25">
        <v>0</v>
      </c>
      <c r="AR12" s="25">
        <v>0</v>
      </c>
      <c r="AS12" s="25">
        <v>0</v>
      </c>
      <c r="AT12" s="25">
        <v>1</v>
      </c>
      <c r="AU12" s="25">
        <v>1</v>
      </c>
      <c r="AV12" s="25">
        <v>0</v>
      </c>
      <c r="AW12" s="25">
        <v>1</v>
      </c>
      <c r="AX12" s="25">
        <v>0</v>
      </c>
      <c r="AY12" s="25">
        <v>0</v>
      </c>
      <c r="AZ12" s="25">
        <v>0</v>
      </c>
      <c r="BA12" s="25">
        <v>0</v>
      </c>
      <c r="BB12" s="25">
        <v>0</v>
      </c>
      <c r="BC12" s="25">
        <v>0</v>
      </c>
      <c r="BD12" s="25">
        <v>0</v>
      </c>
      <c r="BE12" s="25">
        <v>0</v>
      </c>
      <c r="BF12" s="25">
        <v>0</v>
      </c>
      <c r="BG12" s="25">
        <v>0</v>
      </c>
      <c r="BH12" s="25">
        <v>1</v>
      </c>
      <c r="BI12" s="25">
        <v>0</v>
      </c>
      <c r="BJ12" s="25">
        <v>0</v>
      </c>
      <c r="BK12" s="25">
        <v>0</v>
      </c>
      <c r="BL12" s="25">
        <v>0</v>
      </c>
      <c r="BM12" s="25">
        <v>0</v>
      </c>
      <c r="BN12" s="25">
        <v>0</v>
      </c>
      <c r="BO12" s="25">
        <v>0</v>
      </c>
      <c r="BP12" s="25">
        <v>1</v>
      </c>
      <c r="BQ12" s="25">
        <v>0</v>
      </c>
      <c r="BR12" s="25">
        <v>0</v>
      </c>
      <c r="BS12" s="25">
        <v>0</v>
      </c>
      <c r="BT12" s="25">
        <v>0</v>
      </c>
      <c r="BU12" s="25">
        <v>0</v>
      </c>
      <c r="BV12" s="25">
        <v>0</v>
      </c>
      <c r="BW12" s="25">
        <v>1</v>
      </c>
      <c r="BX12" s="25">
        <v>0</v>
      </c>
      <c r="BY12" s="25">
        <v>0</v>
      </c>
      <c r="BZ12" s="25">
        <v>0</v>
      </c>
      <c r="CA12" s="25">
        <v>0</v>
      </c>
      <c r="CB12" s="25">
        <v>0</v>
      </c>
      <c r="CC12" s="25">
        <v>0</v>
      </c>
      <c r="CD12" s="25">
        <v>1</v>
      </c>
      <c r="CE12" s="25">
        <v>0</v>
      </c>
      <c r="CF12" s="25">
        <v>0</v>
      </c>
      <c r="CG12" s="25">
        <v>1</v>
      </c>
      <c r="CH12" s="25">
        <v>0</v>
      </c>
      <c r="CI12" s="25">
        <v>0</v>
      </c>
      <c r="CJ12" s="25">
        <v>1</v>
      </c>
      <c r="CK12" s="25">
        <v>0</v>
      </c>
      <c r="CL12" s="25">
        <v>0</v>
      </c>
      <c r="CM12" s="25">
        <v>0</v>
      </c>
      <c r="CN12" s="25">
        <v>1</v>
      </c>
      <c r="CO12" s="25">
        <v>0</v>
      </c>
      <c r="CP12" s="25">
        <v>0</v>
      </c>
      <c r="CQ12" s="25">
        <v>0</v>
      </c>
      <c r="CR12" s="25">
        <v>0</v>
      </c>
      <c r="CS12" s="25">
        <v>0</v>
      </c>
      <c r="CT12" s="25">
        <v>0</v>
      </c>
      <c r="CU12" s="25">
        <v>0</v>
      </c>
      <c r="CV12" s="25">
        <v>0</v>
      </c>
      <c r="CW12" s="25">
        <v>0</v>
      </c>
      <c r="CX12" s="25">
        <v>0</v>
      </c>
      <c r="CY12" s="25">
        <v>0</v>
      </c>
      <c r="CZ12" s="25">
        <v>0</v>
      </c>
      <c r="DA12" s="25">
        <v>0</v>
      </c>
      <c r="DB12" s="25">
        <v>0</v>
      </c>
      <c r="DC12" s="25">
        <v>0</v>
      </c>
      <c r="DD12" s="25">
        <v>0</v>
      </c>
      <c r="DE12" s="25">
        <v>0</v>
      </c>
      <c r="DF12" s="25">
        <v>0</v>
      </c>
      <c r="DG12" s="25">
        <v>0</v>
      </c>
      <c r="DH12" s="25">
        <v>0</v>
      </c>
      <c r="DI12" s="25">
        <v>1</v>
      </c>
      <c r="DJ12" s="25">
        <v>1</v>
      </c>
    </row>
    <row r="13" spans="1:114" s="25" customFormat="1" x14ac:dyDescent="0.25">
      <c r="A13" s="25">
        <v>12</v>
      </c>
      <c r="B13" t="s">
        <v>78</v>
      </c>
      <c r="C13" s="26" t="s">
        <v>79</v>
      </c>
      <c r="D13" t="s">
        <v>1798</v>
      </c>
      <c r="E13" s="25">
        <v>47.892800000000001</v>
      </c>
      <c r="F13" s="25" t="s">
        <v>1537</v>
      </c>
      <c r="G13" s="25" t="s">
        <v>13</v>
      </c>
      <c r="H13" s="25" t="s">
        <v>16</v>
      </c>
      <c r="I13" s="25">
        <v>0</v>
      </c>
      <c r="J13" s="25">
        <v>0</v>
      </c>
      <c r="K13" s="25">
        <v>0</v>
      </c>
      <c r="L13" s="25">
        <v>1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1</v>
      </c>
      <c r="Y13" s="25">
        <v>0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  <c r="AE13" s="25">
        <v>0</v>
      </c>
      <c r="AF13" s="25">
        <v>0</v>
      </c>
      <c r="AG13" s="25">
        <v>0</v>
      </c>
      <c r="AH13" s="25">
        <v>0</v>
      </c>
      <c r="AI13" s="25">
        <v>0</v>
      </c>
      <c r="AJ13" s="25">
        <v>1</v>
      </c>
      <c r="AK13" s="25">
        <v>0</v>
      </c>
      <c r="AL13" s="25">
        <v>0</v>
      </c>
      <c r="AM13" s="25">
        <v>0</v>
      </c>
      <c r="AN13" s="25">
        <v>0</v>
      </c>
      <c r="AO13" s="25">
        <v>1</v>
      </c>
      <c r="AP13" s="25">
        <v>0</v>
      </c>
      <c r="AQ13" s="25">
        <v>0</v>
      </c>
      <c r="AR13" s="25">
        <v>0</v>
      </c>
      <c r="AS13" s="25">
        <v>0</v>
      </c>
      <c r="AT13" s="25">
        <v>1</v>
      </c>
      <c r="AU13" s="25">
        <v>0</v>
      </c>
      <c r="AV13" s="25">
        <v>0</v>
      </c>
      <c r="AW13" s="25">
        <v>0</v>
      </c>
      <c r="AX13" s="25">
        <v>0</v>
      </c>
      <c r="AY13" s="25">
        <v>0</v>
      </c>
      <c r="AZ13" s="25">
        <v>0</v>
      </c>
      <c r="BA13" s="25">
        <v>0</v>
      </c>
      <c r="BB13" s="25">
        <v>0</v>
      </c>
      <c r="BC13" s="25">
        <v>0</v>
      </c>
      <c r="BD13" s="25">
        <v>0</v>
      </c>
      <c r="BE13" s="25">
        <v>0</v>
      </c>
      <c r="BF13" s="25">
        <v>0</v>
      </c>
      <c r="BG13" s="25">
        <v>0</v>
      </c>
      <c r="BH13" s="25">
        <v>0</v>
      </c>
      <c r="BI13" s="25">
        <v>0</v>
      </c>
      <c r="BJ13" s="25">
        <v>1</v>
      </c>
      <c r="BK13" s="25">
        <v>1</v>
      </c>
      <c r="BL13" s="25">
        <v>0</v>
      </c>
      <c r="BM13" s="25">
        <v>0</v>
      </c>
      <c r="BN13" s="25">
        <v>0</v>
      </c>
      <c r="BO13" s="25">
        <v>0</v>
      </c>
      <c r="BP13" s="25">
        <v>0</v>
      </c>
      <c r="BQ13" s="25">
        <v>0</v>
      </c>
      <c r="BR13" s="25">
        <v>0</v>
      </c>
      <c r="BS13" s="25">
        <v>0</v>
      </c>
      <c r="BT13" s="25">
        <v>0</v>
      </c>
      <c r="BU13" s="25">
        <v>0</v>
      </c>
      <c r="BV13" s="25">
        <v>0</v>
      </c>
      <c r="BW13" s="25">
        <v>0</v>
      </c>
      <c r="BX13" s="25">
        <v>0</v>
      </c>
      <c r="BY13" s="25">
        <v>0</v>
      </c>
      <c r="BZ13" s="25">
        <v>0</v>
      </c>
      <c r="CA13" s="25">
        <v>0</v>
      </c>
      <c r="CB13" s="25">
        <v>0</v>
      </c>
      <c r="CC13" s="25">
        <v>0</v>
      </c>
      <c r="CD13" s="25">
        <v>0</v>
      </c>
      <c r="CE13" s="25">
        <v>0</v>
      </c>
      <c r="CF13" s="25">
        <v>0</v>
      </c>
      <c r="CG13" s="25">
        <v>0</v>
      </c>
      <c r="CH13" s="25">
        <v>0</v>
      </c>
      <c r="CI13" s="25">
        <v>0</v>
      </c>
      <c r="CJ13" s="25">
        <v>0</v>
      </c>
      <c r="CK13" s="25">
        <v>0</v>
      </c>
      <c r="CL13" s="25">
        <v>0</v>
      </c>
      <c r="CM13" s="25">
        <v>0</v>
      </c>
      <c r="CN13" s="25">
        <v>0</v>
      </c>
      <c r="CO13" s="25">
        <v>0</v>
      </c>
      <c r="CP13" s="25">
        <v>0</v>
      </c>
      <c r="CQ13" s="25">
        <v>0</v>
      </c>
      <c r="CR13" s="25">
        <v>0</v>
      </c>
      <c r="CS13" s="25">
        <v>0</v>
      </c>
      <c r="CT13" s="25">
        <v>0</v>
      </c>
      <c r="CU13" s="25">
        <v>0</v>
      </c>
      <c r="CV13" s="25">
        <v>0</v>
      </c>
      <c r="CW13" s="25">
        <v>0</v>
      </c>
      <c r="CX13" s="25">
        <v>0</v>
      </c>
      <c r="CY13" s="25">
        <v>0</v>
      </c>
      <c r="CZ13" s="25">
        <v>0</v>
      </c>
      <c r="DA13" s="25">
        <v>0</v>
      </c>
      <c r="DB13" s="25">
        <v>0</v>
      </c>
      <c r="DC13" s="25">
        <v>0</v>
      </c>
      <c r="DD13" s="25">
        <v>0</v>
      </c>
      <c r="DE13" s="25">
        <v>0</v>
      </c>
      <c r="DF13" s="25">
        <v>0</v>
      </c>
      <c r="DG13" s="25">
        <v>0</v>
      </c>
      <c r="DH13" s="25">
        <v>0</v>
      </c>
      <c r="DI13" s="25">
        <v>1</v>
      </c>
      <c r="DJ13" s="25">
        <v>0</v>
      </c>
    </row>
    <row r="14" spans="1:114" s="25" customFormat="1" x14ac:dyDescent="0.25">
      <c r="A14" s="25">
        <v>13</v>
      </c>
      <c r="B14" t="s">
        <v>54</v>
      </c>
      <c r="C14" s="26" t="s">
        <v>53</v>
      </c>
      <c r="D14" t="s">
        <v>1802</v>
      </c>
      <c r="E14" s="25">
        <v>50.650599999999997</v>
      </c>
      <c r="F14" s="25" t="s">
        <v>1539</v>
      </c>
      <c r="G14" s="25" t="s">
        <v>13</v>
      </c>
      <c r="H14" s="25" t="s">
        <v>16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1</v>
      </c>
      <c r="W14" s="25">
        <v>0</v>
      </c>
      <c r="X14" s="25">
        <v>1</v>
      </c>
      <c r="Y14" s="25">
        <v>0</v>
      </c>
      <c r="Z14" s="25">
        <v>0</v>
      </c>
      <c r="AA14" s="25">
        <v>1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1</v>
      </c>
      <c r="AI14" s="25">
        <v>0</v>
      </c>
      <c r="AJ14" s="25">
        <v>1</v>
      </c>
      <c r="AK14" s="25">
        <v>0</v>
      </c>
      <c r="AL14" s="25">
        <v>0</v>
      </c>
      <c r="AM14" s="25">
        <v>0</v>
      </c>
      <c r="AN14" s="25">
        <v>0</v>
      </c>
      <c r="AO14" s="25">
        <v>1</v>
      </c>
      <c r="AP14" s="25">
        <v>0</v>
      </c>
      <c r="AQ14" s="25">
        <v>0</v>
      </c>
      <c r="AR14" s="25">
        <v>0</v>
      </c>
      <c r="AS14" s="25">
        <v>0</v>
      </c>
      <c r="AT14" s="25">
        <v>1</v>
      </c>
      <c r="AU14" s="25">
        <v>1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>
        <v>0</v>
      </c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1</v>
      </c>
      <c r="BK14" s="25">
        <v>1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1</v>
      </c>
      <c r="BW14" s="25">
        <v>0</v>
      </c>
      <c r="BX14" s="25">
        <v>0</v>
      </c>
      <c r="BY14" s="25">
        <v>0</v>
      </c>
      <c r="BZ14" s="25">
        <v>0</v>
      </c>
      <c r="CA14" s="25">
        <v>0</v>
      </c>
      <c r="CB14" s="25">
        <v>0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0</v>
      </c>
      <c r="CI14" s="25">
        <v>0</v>
      </c>
      <c r="CJ14" s="25">
        <v>0</v>
      </c>
      <c r="CK14" s="25">
        <v>0</v>
      </c>
      <c r="CL14" s="25">
        <v>0</v>
      </c>
      <c r="CM14" s="25">
        <v>0</v>
      </c>
      <c r="CN14" s="25">
        <v>1</v>
      </c>
      <c r="CO14" s="25">
        <v>0</v>
      </c>
      <c r="CP14" s="25">
        <v>0</v>
      </c>
      <c r="CQ14" s="25">
        <v>0</v>
      </c>
      <c r="CR14" s="25">
        <v>0</v>
      </c>
      <c r="CS14" s="25">
        <v>0</v>
      </c>
      <c r="CT14" s="25">
        <v>0</v>
      </c>
      <c r="CU14" s="25">
        <v>0</v>
      </c>
      <c r="CV14" s="25">
        <v>0</v>
      </c>
      <c r="CW14" s="25">
        <v>0</v>
      </c>
      <c r="CX14" s="25">
        <v>0</v>
      </c>
      <c r="CY14" s="25">
        <v>0</v>
      </c>
      <c r="CZ14" s="25">
        <v>0</v>
      </c>
      <c r="DA14" s="25">
        <v>0</v>
      </c>
      <c r="DB14" s="25">
        <v>0</v>
      </c>
      <c r="DC14" s="25">
        <v>0</v>
      </c>
      <c r="DD14" s="25">
        <v>0</v>
      </c>
      <c r="DE14" s="25">
        <v>0</v>
      </c>
      <c r="DF14" s="25">
        <v>0</v>
      </c>
      <c r="DG14" s="25">
        <v>0</v>
      </c>
      <c r="DH14" s="25">
        <v>0</v>
      </c>
      <c r="DI14" s="25">
        <v>1</v>
      </c>
      <c r="DJ14" s="25">
        <v>1</v>
      </c>
    </row>
    <row r="15" spans="1:114" s="25" customFormat="1" x14ac:dyDescent="0.25">
      <c r="A15" s="25">
        <v>14</v>
      </c>
      <c r="B15" t="s">
        <v>903</v>
      </c>
      <c r="C15" s="26" t="s">
        <v>901</v>
      </c>
      <c r="D15" t="s">
        <v>1802</v>
      </c>
      <c r="E15" s="25">
        <v>50.481999999999999</v>
      </c>
      <c r="F15" s="25" t="s">
        <v>1539</v>
      </c>
      <c r="G15" s="25" t="s">
        <v>13</v>
      </c>
      <c r="H15" s="25" t="s">
        <v>16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0</v>
      </c>
      <c r="AA15" s="25">
        <v>0</v>
      </c>
      <c r="AB15" s="25">
        <v>0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>
        <v>0</v>
      </c>
      <c r="AJ15" s="25">
        <v>0</v>
      </c>
      <c r="AK15" s="25">
        <v>0</v>
      </c>
      <c r="AL15" s="25">
        <v>0</v>
      </c>
      <c r="AM15" s="25">
        <v>0</v>
      </c>
      <c r="AN15" s="25">
        <v>0</v>
      </c>
      <c r="AO15" s="25">
        <v>0</v>
      </c>
      <c r="AP15" s="25">
        <v>0</v>
      </c>
      <c r="AQ15" s="25">
        <v>0</v>
      </c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>
        <v>0</v>
      </c>
      <c r="AZ15" s="25">
        <v>0</v>
      </c>
      <c r="BA15" s="25">
        <v>0</v>
      </c>
      <c r="BB15" s="25">
        <v>0</v>
      </c>
      <c r="BC15" s="25">
        <v>0</v>
      </c>
      <c r="BD15" s="25">
        <v>0</v>
      </c>
      <c r="BE15" s="25">
        <v>0</v>
      </c>
      <c r="BF15" s="25">
        <v>1</v>
      </c>
      <c r="BG15" s="25">
        <v>0</v>
      </c>
      <c r="BH15" s="25">
        <v>1</v>
      </c>
      <c r="BI15" s="25">
        <v>0</v>
      </c>
      <c r="BJ15" s="25">
        <v>0</v>
      </c>
      <c r="BK15" s="25">
        <v>0</v>
      </c>
      <c r="BL15" s="25">
        <v>0</v>
      </c>
      <c r="BM15" s="25">
        <v>0</v>
      </c>
      <c r="BN15" s="25">
        <v>0</v>
      </c>
      <c r="BO15" s="25">
        <v>0</v>
      </c>
      <c r="BP15" s="25">
        <v>0</v>
      </c>
      <c r="BQ15" s="25">
        <v>0</v>
      </c>
      <c r="BR15" s="25">
        <v>0</v>
      </c>
      <c r="BS15" s="25">
        <v>0</v>
      </c>
      <c r="BT15" s="25">
        <v>0</v>
      </c>
      <c r="BU15" s="25">
        <v>0</v>
      </c>
      <c r="BV15" s="25">
        <v>0</v>
      </c>
      <c r="BW15" s="25">
        <v>1</v>
      </c>
      <c r="BX15" s="25">
        <v>0</v>
      </c>
      <c r="BY15" s="25">
        <v>0</v>
      </c>
      <c r="BZ15" s="25">
        <v>0</v>
      </c>
      <c r="CA15" s="25">
        <v>0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1</v>
      </c>
      <c r="CH15" s="25">
        <v>1</v>
      </c>
      <c r="CI15" s="25">
        <v>0</v>
      </c>
      <c r="CJ15" s="25">
        <v>1</v>
      </c>
      <c r="CK15" s="25">
        <v>0</v>
      </c>
      <c r="CL15" s="25">
        <v>0</v>
      </c>
      <c r="CM15" s="25">
        <v>0</v>
      </c>
      <c r="CN15" s="25">
        <v>0</v>
      </c>
      <c r="CO15" s="25">
        <v>0</v>
      </c>
      <c r="CP15" s="25">
        <v>0</v>
      </c>
      <c r="CQ15" s="25">
        <v>0</v>
      </c>
      <c r="CR15" s="25">
        <v>0</v>
      </c>
      <c r="CS15" s="25">
        <v>0</v>
      </c>
      <c r="CT15" s="25">
        <v>0</v>
      </c>
      <c r="CU15" s="25">
        <v>0</v>
      </c>
      <c r="CV15" s="25">
        <v>0</v>
      </c>
      <c r="CW15" s="25">
        <v>0</v>
      </c>
      <c r="CX15" s="25">
        <v>0</v>
      </c>
      <c r="CY15" s="25">
        <v>0</v>
      </c>
      <c r="CZ15" s="25">
        <v>0</v>
      </c>
      <c r="DA15" s="25">
        <v>0</v>
      </c>
      <c r="DB15" s="25">
        <v>0</v>
      </c>
      <c r="DC15" s="25">
        <v>0</v>
      </c>
      <c r="DD15" s="25">
        <v>0</v>
      </c>
      <c r="DE15" s="25">
        <v>0</v>
      </c>
      <c r="DF15" s="25">
        <v>0</v>
      </c>
      <c r="DG15" s="25">
        <v>0</v>
      </c>
      <c r="DH15" s="25">
        <v>0</v>
      </c>
      <c r="DI15" s="25">
        <v>1</v>
      </c>
      <c r="DJ15" s="25">
        <v>1</v>
      </c>
    </row>
    <row r="16" spans="1:114" s="25" customFormat="1" x14ac:dyDescent="0.25">
      <c r="A16" s="25">
        <v>15</v>
      </c>
      <c r="B16" s="1" t="s">
        <v>170</v>
      </c>
      <c r="C16" s="26" t="s">
        <v>169</v>
      </c>
      <c r="D16" t="s">
        <v>1802</v>
      </c>
      <c r="E16" s="25">
        <v>47.158900000000003</v>
      </c>
      <c r="F16" s="25" t="s">
        <v>1539</v>
      </c>
      <c r="G16" s="25" t="s">
        <v>15</v>
      </c>
      <c r="H16" s="25" t="s">
        <v>16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1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5">
        <v>0</v>
      </c>
      <c r="AG16" s="25">
        <v>0</v>
      </c>
      <c r="AH16" s="25">
        <v>1</v>
      </c>
      <c r="AI16" s="25">
        <v>0</v>
      </c>
      <c r="AJ16" s="25">
        <v>1</v>
      </c>
      <c r="AK16" s="25">
        <v>0</v>
      </c>
      <c r="AL16" s="25">
        <v>0</v>
      </c>
      <c r="AM16" s="25">
        <v>0</v>
      </c>
      <c r="AN16" s="25">
        <v>0</v>
      </c>
      <c r="AO16" s="25">
        <v>1</v>
      </c>
      <c r="AP16" s="25">
        <v>0</v>
      </c>
      <c r="AQ16" s="25">
        <v>0</v>
      </c>
      <c r="AR16" s="25">
        <v>0</v>
      </c>
      <c r="AS16" s="25">
        <v>0</v>
      </c>
      <c r="AT16" s="25">
        <v>1</v>
      </c>
      <c r="AU16" s="25">
        <v>1</v>
      </c>
      <c r="AV16" s="25">
        <v>0</v>
      </c>
      <c r="AW16" s="25">
        <v>0</v>
      </c>
      <c r="AX16" s="25">
        <v>0</v>
      </c>
      <c r="AY16" s="25">
        <v>0</v>
      </c>
      <c r="AZ16" s="25">
        <v>0</v>
      </c>
      <c r="BA16" s="25">
        <v>0</v>
      </c>
      <c r="BB16" s="25">
        <v>0</v>
      </c>
      <c r="BC16" s="25">
        <v>0</v>
      </c>
      <c r="BD16" s="25">
        <v>0</v>
      </c>
      <c r="BE16" s="25">
        <v>0</v>
      </c>
      <c r="BF16" s="25">
        <v>0</v>
      </c>
      <c r="BG16" s="25">
        <v>0</v>
      </c>
      <c r="BH16" s="25">
        <v>0</v>
      </c>
      <c r="BI16" s="25">
        <v>0</v>
      </c>
      <c r="BJ16" s="25">
        <v>0</v>
      </c>
      <c r="BK16" s="25">
        <v>1</v>
      </c>
      <c r="BL16" s="25">
        <v>0</v>
      </c>
      <c r="BM16" s="25">
        <v>0</v>
      </c>
      <c r="BN16" s="25">
        <v>0</v>
      </c>
      <c r="BO16" s="25">
        <v>0</v>
      </c>
      <c r="BP16" s="25">
        <v>0</v>
      </c>
      <c r="BQ16" s="25">
        <v>0</v>
      </c>
      <c r="BR16" s="25">
        <v>0</v>
      </c>
      <c r="BS16" s="25">
        <v>0</v>
      </c>
      <c r="BT16" s="25">
        <v>0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25">
        <v>0</v>
      </c>
      <c r="CA16" s="25">
        <v>0</v>
      </c>
      <c r="CB16" s="25">
        <v>0</v>
      </c>
      <c r="CC16" s="25">
        <v>0</v>
      </c>
      <c r="CD16" s="25">
        <v>0</v>
      </c>
      <c r="CE16" s="25">
        <v>0</v>
      </c>
      <c r="CF16" s="25">
        <v>0</v>
      </c>
      <c r="CG16" s="25">
        <v>0</v>
      </c>
      <c r="CH16" s="25">
        <v>0</v>
      </c>
      <c r="CI16" s="25">
        <v>0</v>
      </c>
      <c r="CJ16" s="25">
        <v>0</v>
      </c>
      <c r="CK16" s="25">
        <v>0</v>
      </c>
      <c r="CL16" s="25">
        <v>0</v>
      </c>
      <c r="CM16" s="25">
        <v>0</v>
      </c>
      <c r="CN16" s="25">
        <v>0</v>
      </c>
      <c r="CO16" s="25">
        <v>0</v>
      </c>
      <c r="CP16" s="25">
        <v>0</v>
      </c>
      <c r="CQ16" s="25">
        <v>0</v>
      </c>
      <c r="CR16" s="25">
        <v>0</v>
      </c>
      <c r="CS16" s="25">
        <v>0</v>
      </c>
      <c r="CT16" s="25">
        <v>0</v>
      </c>
      <c r="CU16" s="25">
        <v>0</v>
      </c>
      <c r="CV16" s="25">
        <v>0</v>
      </c>
      <c r="CW16" s="25">
        <v>0</v>
      </c>
      <c r="CX16" s="25">
        <v>0</v>
      </c>
      <c r="CY16" s="25">
        <v>0</v>
      </c>
      <c r="CZ16" s="25">
        <v>0</v>
      </c>
      <c r="DA16" s="25">
        <v>0</v>
      </c>
      <c r="DB16" s="25">
        <v>0</v>
      </c>
      <c r="DC16" s="25">
        <v>0</v>
      </c>
      <c r="DD16" s="25">
        <v>0</v>
      </c>
      <c r="DE16" s="25">
        <v>0</v>
      </c>
      <c r="DF16" s="25">
        <v>0</v>
      </c>
      <c r="DG16" s="25">
        <v>0</v>
      </c>
      <c r="DH16" s="25">
        <v>0</v>
      </c>
      <c r="DI16" s="25">
        <v>0</v>
      </c>
      <c r="DJ16" s="25">
        <v>0</v>
      </c>
    </row>
    <row r="17" spans="1:114" s="25" customFormat="1" x14ac:dyDescent="0.25">
      <c r="A17" s="25">
        <v>16</v>
      </c>
      <c r="B17" t="s">
        <v>54</v>
      </c>
      <c r="C17" s="26" t="s">
        <v>1446</v>
      </c>
      <c r="D17" t="s">
        <v>1453</v>
      </c>
      <c r="E17" s="25">
        <v>41.306399999999996</v>
      </c>
      <c r="F17" s="25" t="s">
        <v>1537</v>
      </c>
      <c r="G17" s="25" t="s">
        <v>14</v>
      </c>
      <c r="H17" s="25" t="s">
        <v>17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1</v>
      </c>
      <c r="AB17" s="25">
        <v>0</v>
      </c>
      <c r="AC17" s="25">
        <v>0</v>
      </c>
      <c r="AD17" s="25">
        <v>0</v>
      </c>
      <c r="AE17" s="25">
        <v>0</v>
      </c>
      <c r="AF17" s="25">
        <v>1</v>
      </c>
      <c r="AG17" s="25">
        <v>0</v>
      </c>
      <c r="AH17" s="25">
        <v>0</v>
      </c>
      <c r="AI17" s="25">
        <v>0</v>
      </c>
      <c r="AJ17" s="25">
        <v>1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>
        <v>0</v>
      </c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1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  <c r="CX17" s="25">
        <v>0</v>
      </c>
      <c r="CY17" s="25">
        <v>0</v>
      </c>
      <c r="CZ17" s="25">
        <v>0</v>
      </c>
      <c r="DA17" s="25">
        <v>0</v>
      </c>
      <c r="DB17" s="25">
        <v>0</v>
      </c>
      <c r="DC17" s="25">
        <v>0</v>
      </c>
      <c r="DD17" s="25">
        <v>0</v>
      </c>
      <c r="DE17" s="25">
        <v>0</v>
      </c>
      <c r="DF17" s="25">
        <v>0</v>
      </c>
      <c r="DG17" s="25">
        <v>0</v>
      </c>
      <c r="DH17" s="25">
        <v>0</v>
      </c>
      <c r="DI17" s="25">
        <v>0</v>
      </c>
      <c r="DJ17" s="25">
        <v>0</v>
      </c>
    </row>
    <row r="18" spans="1:114" s="25" customFormat="1" x14ac:dyDescent="0.25">
      <c r="A18" s="25">
        <v>17</v>
      </c>
      <c r="B18" s="1" t="s">
        <v>1445</v>
      </c>
      <c r="C18" s="26" t="s">
        <v>583</v>
      </c>
      <c r="D18" t="s">
        <v>1453</v>
      </c>
      <c r="E18" s="25">
        <v>56.025199999999998</v>
      </c>
      <c r="F18" s="25" t="s">
        <v>1539</v>
      </c>
      <c r="G18" s="25" t="s">
        <v>14</v>
      </c>
      <c r="H18" s="25" t="s">
        <v>17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1</v>
      </c>
      <c r="Y18" s="25">
        <v>0</v>
      </c>
      <c r="Z18" s="25">
        <v>0</v>
      </c>
      <c r="AA18" s="25">
        <v>0</v>
      </c>
      <c r="AB18" s="25">
        <v>1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1</v>
      </c>
      <c r="AU18" s="25">
        <v>1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</row>
    <row r="19" spans="1:114" s="25" customFormat="1" x14ac:dyDescent="0.25">
      <c r="A19" s="25">
        <v>18</v>
      </c>
      <c r="B19" t="s">
        <v>54</v>
      </c>
      <c r="C19" s="26" t="s">
        <v>75</v>
      </c>
      <c r="D19" t="s">
        <v>1802</v>
      </c>
      <c r="E19" s="26">
        <v>52.2973</v>
      </c>
      <c r="F19" s="25" t="s">
        <v>1539</v>
      </c>
      <c r="G19" s="25" t="s">
        <v>15</v>
      </c>
      <c r="H19" s="25" t="s">
        <v>16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1</v>
      </c>
      <c r="AK19" s="25">
        <v>0</v>
      </c>
      <c r="AL19" s="25">
        <v>0</v>
      </c>
      <c r="AM19" s="25">
        <v>0</v>
      </c>
      <c r="AN19" s="25">
        <v>0</v>
      </c>
      <c r="AO19" s="25">
        <v>1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</row>
    <row r="20" spans="1:114" s="25" customFormat="1" x14ac:dyDescent="0.25">
      <c r="A20" s="25">
        <v>19</v>
      </c>
      <c r="B20" t="s">
        <v>54</v>
      </c>
      <c r="C20" s="26" t="s">
        <v>75</v>
      </c>
      <c r="D20" t="s">
        <v>1802</v>
      </c>
      <c r="E20" s="25">
        <v>52.207099999999997</v>
      </c>
      <c r="F20" s="25" t="s">
        <v>1539</v>
      </c>
      <c r="G20" s="25" t="s">
        <v>13</v>
      </c>
      <c r="H20" s="25" t="s">
        <v>16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1</v>
      </c>
      <c r="AP20" s="25">
        <v>0</v>
      </c>
      <c r="AQ20" s="25">
        <v>0</v>
      </c>
      <c r="AR20" s="25">
        <v>0</v>
      </c>
      <c r="AS20" s="25">
        <v>0</v>
      </c>
      <c r="AT20" s="25">
        <v>1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1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</row>
    <row r="21" spans="1:114" s="25" customFormat="1" x14ac:dyDescent="0.25">
      <c r="A21" s="25">
        <v>20</v>
      </c>
      <c r="B21" t="s">
        <v>54</v>
      </c>
      <c r="C21" s="26" t="s">
        <v>590</v>
      </c>
      <c r="D21" t="s">
        <v>1802</v>
      </c>
      <c r="E21" s="25">
        <v>51.452100000000002</v>
      </c>
      <c r="F21" s="25" t="s">
        <v>1539</v>
      </c>
      <c r="G21" s="25" t="s">
        <v>14</v>
      </c>
      <c r="H21" s="25" t="s">
        <v>18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v>0</v>
      </c>
      <c r="Y21" s="25">
        <v>0</v>
      </c>
      <c r="Z21" s="25">
        <v>0</v>
      </c>
      <c r="AA21" s="25">
        <v>0</v>
      </c>
      <c r="AB21" s="25">
        <v>0</v>
      </c>
      <c r="AC21" s="25">
        <v>0</v>
      </c>
      <c r="AD21" s="25">
        <v>0</v>
      </c>
      <c r="AE21" s="25">
        <v>0</v>
      </c>
      <c r="AF21" s="25">
        <v>0</v>
      </c>
      <c r="AG21" s="25">
        <v>0</v>
      </c>
      <c r="AH21" s="25">
        <v>0</v>
      </c>
      <c r="AI21" s="25">
        <v>0</v>
      </c>
      <c r="AJ21" s="25">
        <v>0</v>
      </c>
      <c r="AK21" s="25">
        <v>0</v>
      </c>
      <c r="AL21" s="25">
        <v>0</v>
      </c>
      <c r="AM21" s="25">
        <v>0</v>
      </c>
      <c r="AN21" s="25">
        <v>0</v>
      </c>
      <c r="AO21" s="25">
        <v>0</v>
      </c>
      <c r="AP21" s="25">
        <v>0</v>
      </c>
      <c r="AQ21" s="25">
        <v>0</v>
      </c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>
        <v>0</v>
      </c>
      <c r="AZ21" s="25">
        <v>0</v>
      </c>
      <c r="BA21" s="25">
        <v>0</v>
      </c>
      <c r="BB21" s="25">
        <v>0</v>
      </c>
      <c r="BC21" s="25">
        <v>0</v>
      </c>
      <c r="BD21" s="25">
        <v>0</v>
      </c>
      <c r="BE21" s="25">
        <v>0</v>
      </c>
      <c r="BF21" s="25">
        <v>0</v>
      </c>
      <c r="BG21" s="25">
        <v>0</v>
      </c>
      <c r="BH21" s="25">
        <v>0</v>
      </c>
      <c r="BI21" s="25">
        <v>0</v>
      </c>
      <c r="BJ21" s="25">
        <v>0</v>
      </c>
      <c r="BK21" s="25">
        <v>0</v>
      </c>
      <c r="BL21" s="25">
        <v>0</v>
      </c>
      <c r="BM21" s="25">
        <v>0</v>
      </c>
      <c r="BN21" s="25">
        <v>0</v>
      </c>
      <c r="BO21" s="25">
        <v>0</v>
      </c>
      <c r="BP21" s="25">
        <v>0</v>
      </c>
      <c r="BQ21" s="25">
        <v>0</v>
      </c>
      <c r="BR21" s="25">
        <v>0</v>
      </c>
      <c r="BS21" s="25">
        <v>1</v>
      </c>
      <c r="BT21" s="25">
        <v>0</v>
      </c>
      <c r="BU21" s="25">
        <v>0</v>
      </c>
      <c r="BV21" s="25">
        <v>0</v>
      </c>
      <c r="BW21" s="25">
        <v>1</v>
      </c>
      <c r="BX21" s="25">
        <v>0</v>
      </c>
      <c r="BY21" s="25">
        <v>0</v>
      </c>
      <c r="BZ21" s="25">
        <v>0</v>
      </c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0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1</v>
      </c>
      <c r="CV21" s="25">
        <v>0</v>
      </c>
      <c r="CW21" s="25">
        <v>0</v>
      </c>
      <c r="CX21" s="25">
        <v>0</v>
      </c>
      <c r="CY21" s="25">
        <v>0</v>
      </c>
      <c r="CZ21" s="25">
        <v>0</v>
      </c>
      <c r="DA21" s="25">
        <v>0</v>
      </c>
      <c r="DB21" s="25">
        <v>0</v>
      </c>
      <c r="DC21" s="25">
        <v>0</v>
      </c>
      <c r="DD21" s="25">
        <v>0</v>
      </c>
      <c r="DE21" s="25">
        <v>0</v>
      </c>
      <c r="DF21" s="25">
        <v>0</v>
      </c>
      <c r="DG21" s="25">
        <v>0</v>
      </c>
      <c r="DH21" s="25">
        <v>0</v>
      </c>
      <c r="DI21" s="25">
        <v>0</v>
      </c>
      <c r="DJ21" s="25">
        <v>0</v>
      </c>
    </row>
    <row r="22" spans="1:114" s="25" customFormat="1" x14ac:dyDescent="0.25">
      <c r="A22" s="25">
        <v>21</v>
      </c>
      <c r="B22" t="s">
        <v>54</v>
      </c>
      <c r="C22" s="26" t="s">
        <v>590</v>
      </c>
      <c r="D22" t="s">
        <v>1802</v>
      </c>
      <c r="E22" s="25">
        <v>51.452100000000002</v>
      </c>
      <c r="F22" s="25" t="s">
        <v>1539</v>
      </c>
      <c r="G22" s="25" t="s">
        <v>14</v>
      </c>
      <c r="H22" s="25" t="s">
        <v>17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0</v>
      </c>
      <c r="Y22" s="25">
        <v>0</v>
      </c>
      <c r="Z22" s="25">
        <v>0</v>
      </c>
      <c r="AA22" s="25">
        <v>1</v>
      </c>
      <c r="AB22" s="25">
        <v>0</v>
      </c>
      <c r="AC22" s="25">
        <v>0</v>
      </c>
      <c r="AD22" s="25">
        <v>0</v>
      </c>
      <c r="AE22" s="25">
        <v>0</v>
      </c>
      <c r="AF22" s="25">
        <v>1</v>
      </c>
      <c r="AG22" s="25">
        <v>0</v>
      </c>
      <c r="AH22" s="25">
        <v>0</v>
      </c>
      <c r="AI22" s="25">
        <v>0</v>
      </c>
      <c r="AJ22" s="25">
        <v>0</v>
      </c>
      <c r="AK22" s="25">
        <v>0</v>
      </c>
      <c r="AL22" s="25">
        <v>0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0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0</v>
      </c>
      <c r="BJ22" s="25">
        <v>0</v>
      </c>
      <c r="BK22" s="25">
        <v>0</v>
      </c>
      <c r="BL22" s="25">
        <v>0</v>
      </c>
      <c r="BM22" s="25">
        <v>0</v>
      </c>
      <c r="BN22" s="25">
        <v>0</v>
      </c>
      <c r="BO22" s="25">
        <v>0</v>
      </c>
      <c r="BP22" s="25">
        <v>0</v>
      </c>
      <c r="BQ22" s="25">
        <v>0</v>
      </c>
      <c r="BR22" s="25">
        <v>0</v>
      </c>
      <c r="BS22" s="25">
        <v>0</v>
      </c>
      <c r="BT22" s="25">
        <v>0</v>
      </c>
      <c r="BU22" s="25">
        <v>0</v>
      </c>
      <c r="BV22" s="25">
        <v>0</v>
      </c>
      <c r="BW22" s="25">
        <v>1</v>
      </c>
      <c r="BX22" s="25">
        <v>0</v>
      </c>
      <c r="BY22" s="25">
        <v>0</v>
      </c>
      <c r="BZ22" s="25">
        <v>0</v>
      </c>
      <c r="CA22" s="25">
        <v>0</v>
      </c>
      <c r="CB22" s="25">
        <v>0</v>
      </c>
      <c r="CC22" s="25">
        <v>0</v>
      </c>
      <c r="CD22" s="25">
        <v>0</v>
      </c>
      <c r="CE22" s="25">
        <v>0</v>
      </c>
      <c r="CF22" s="25">
        <v>0</v>
      </c>
      <c r="CG22" s="25">
        <v>0</v>
      </c>
      <c r="CH22" s="25">
        <v>0</v>
      </c>
      <c r="CI22" s="25">
        <v>0</v>
      </c>
      <c r="CJ22" s="25">
        <v>0</v>
      </c>
      <c r="CK22" s="25">
        <v>0</v>
      </c>
      <c r="CL22" s="25">
        <v>0</v>
      </c>
      <c r="CM22" s="25">
        <v>0</v>
      </c>
      <c r="CN22" s="25">
        <v>1</v>
      </c>
      <c r="CO22" s="25">
        <v>0</v>
      </c>
      <c r="CP22" s="25">
        <v>0</v>
      </c>
      <c r="CQ22" s="25">
        <v>0</v>
      </c>
      <c r="CR22" s="25">
        <v>0</v>
      </c>
      <c r="CS22" s="25">
        <v>0</v>
      </c>
      <c r="CT22" s="25">
        <v>0</v>
      </c>
      <c r="CU22" s="25">
        <v>0</v>
      </c>
      <c r="CV22" s="25">
        <v>0</v>
      </c>
      <c r="CW22" s="25">
        <v>0</v>
      </c>
      <c r="CX22" s="25">
        <v>0</v>
      </c>
      <c r="CY22" s="25">
        <v>0</v>
      </c>
      <c r="CZ22" s="25">
        <v>0</v>
      </c>
      <c r="DA22" s="25">
        <v>0</v>
      </c>
      <c r="DB22" s="25">
        <v>1</v>
      </c>
      <c r="DC22" s="25">
        <v>0</v>
      </c>
      <c r="DD22" s="25">
        <v>0</v>
      </c>
      <c r="DE22" s="25">
        <v>0</v>
      </c>
      <c r="DF22" s="25">
        <v>0</v>
      </c>
      <c r="DG22" s="25">
        <v>0</v>
      </c>
      <c r="DH22" s="25">
        <v>0</v>
      </c>
      <c r="DI22" s="25">
        <v>0</v>
      </c>
      <c r="DJ22" s="25">
        <v>0</v>
      </c>
    </row>
    <row r="23" spans="1:114" s="25" customFormat="1" x14ac:dyDescent="0.25">
      <c r="A23" s="25">
        <v>22</v>
      </c>
      <c r="B23" t="s">
        <v>54</v>
      </c>
      <c r="C23" s="26" t="s">
        <v>590</v>
      </c>
      <c r="D23" t="s">
        <v>1802</v>
      </c>
      <c r="E23" s="25">
        <v>50.506100000000004</v>
      </c>
      <c r="F23" s="25" t="s">
        <v>1539</v>
      </c>
      <c r="G23" s="25" t="s">
        <v>15</v>
      </c>
      <c r="H23" s="25" t="s">
        <v>18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1</v>
      </c>
      <c r="AB23" s="25">
        <v>0</v>
      </c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1</v>
      </c>
      <c r="AJ23" s="25">
        <v>1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0</v>
      </c>
      <c r="BD23" s="25">
        <v>1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1</v>
      </c>
      <c r="BM23" s="25">
        <v>1</v>
      </c>
      <c r="BN23" s="25">
        <v>0</v>
      </c>
      <c r="BO23" s="25">
        <v>0</v>
      </c>
      <c r="BP23" s="25">
        <v>1</v>
      </c>
      <c r="BQ23" s="25">
        <v>0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1</v>
      </c>
      <c r="BX23" s="25">
        <v>0</v>
      </c>
      <c r="BY23" s="25">
        <v>0</v>
      </c>
      <c r="BZ23" s="25">
        <v>0</v>
      </c>
      <c r="CA23" s="25">
        <v>0</v>
      </c>
      <c r="CB23" s="25">
        <v>0</v>
      </c>
      <c r="CC23" s="25">
        <v>0</v>
      </c>
      <c r="CD23" s="25">
        <v>0</v>
      </c>
      <c r="CE23" s="25">
        <v>0</v>
      </c>
      <c r="CF23" s="25">
        <v>0</v>
      </c>
      <c r="CG23" s="25">
        <v>0</v>
      </c>
      <c r="CH23" s="25">
        <v>0</v>
      </c>
      <c r="CI23" s="25">
        <v>0</v>
      </c>
      <c r="CJ23" s="25">
        <v>0</v>
      </c>
      <c r="CK23" s="25">
        <v>0</v>
      </c>
      <c r="CL23" s="25">
        <v>0</v>
      </c>
      <c r="CM23" s="25">
        <v>0</v>
      </c>
      <c r="CN23" s="25">
        <v>0</v>
      </c>
      <c r="CO23" s="25">
        <v>0</v>
      </c>
      <c r="CP23" s="25">
        <v>0</v>
      </c>
      <c r="CQ23" s="25">
        <v>0</v>
      </c>
      <c r="CR23" s="25">
        <v>0</v>
      </c>
      <c r="CS23" s="25">
        <v>0</v>
      </c>
      <c r="CT23" s="25">
        <v>0</v>
      </c>
      <c r="CU23" s="25">
        <v>0</v>
      </c>
      <c r="CV23" s="25">
        <v>0</v>
      </c>
      <c r="CW23" s="25">
        <v>0</v>
      </c>
      <c r="CX23" s="25">
        <v>0</v>
      </c>
      <c r="CY23" s="25">
        <v>0</v>
      </c>
      <c r="CZ23" s="25">
        <v>0</v>
      </c>
      <c r="DA23" s="25">
        <v>0</v>
      </c>
      <c r="DB23" s="25">
        <v>0</v>
      </c>
      <c r="DC23" s="25">
        <v>0</v>
      </c>
      <c r="DD23" s="25">
        <v>0</v>
      </c>
      <c r="DE23" s="25">
        <v>0</v>
      </c>
      <c r="DF23" s="25">
        <v>0</v>
      </c>
      <c r="DG23" s="25">
        <v>0</v>
      </c>
      <c r="DH23" s="25">
        <v>0</v>
      </c>
      <c r="DI23" s="25">
        <v>0</v>
      </c>
      <c r="DJ23" s="25">
        <v>1</v>
      </c>
    </row>
    <row r="24" spans="1:114" s="25" customFormat="1" x14ac:dyDescent="0.25">
      <c r="A24" s="25">
        <v>23</v>
      </c>
      <c r="B24" s="1" t="s">
        <v>54</v>
      </c>
      <c r="C24" s="26" t="s">
        <v>284</v>
      </c>
      <c r="D24" t="s">
        <v>1798</v>
      </c>
      <c r="E24" s="25">
        <v>44.0824</v>
      </c>
      <c r="F24" s="25" t="s">
        <v>1537</v>
      </c>
      <c r="G24" s="25" t="s">
        <v>13</v>
      </c>
      <c r="H24" s="25" t="s">
        <v>17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5">
        <v>0</v>
      </c>
      <c r="Y24" s="25">
        <v>0</v>
      </c>
      <c r="Z24" s="25">
        <v>0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5">
        <v>0</v>
      </c>
      <c r="AG24" s="25">
        <v>0</v>
      </c>
      <c r="AH24" s="25">
        <v>0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5">
        <v>0</v>
      </c>
      <c r="AO24" s="25">
        <v>0</v>
      </c>
      <c r="AP24" s="25">
        <v>0</v>
      </c>
      <c r="AQ24" s="25">
        <v>0</v>
      </c>
      <c r="AR24" s="25">
        <v>0</v>
      </c>
      <c r="AS24" s="25">
        <v>0</v>
      </c>
      <c r="AT24" s="25">
        <v>0</v>
      </c>
      <c r="AU24" s="25">
        <v>1</v>
      </c>
      <c r="AV24" s="25">
        <v>0</v>
      </c>
      <c r="AW24" s="25">
        <v>0</v>
      </c>
      <c r="AX24" s="25">
        <v>0</v>
      </c>
      <c r="AY24" s="25">
        <v>0</v>
      </c>
      <c r="AZ24" s="25">
        <v>0</v>
      </c>
      <c r="BA24" s="25">
        <v>0</v>
      </c>
      <c r="BB24" s="25">
        <v>0</v>
      </c>
      <c r="BC24" s="25">
        <v>0</v>
      </c>
      <c r="BD24" s="25">
        <v>0</v>
      </c>
      <c r="BE24" s="25">
        <v>0</v>
      </c>
      <c r="BF24" s="25">
        <v>0</v>
      </c>
      <c r="BG24" s="25">
        <v>0</v>
      </c>
      <c r="BH24" s="25">
        <v>0</v>
      </c>
      <c r="BI24" s="25">
        <v>0</v>
      </c>
      <c r="BJ24" s="25">
        <v>0</v>
      </c>
      <c r="BK24" s="25">
        <v>0</v>
      </c>
      <c r="BL24" s="25">
        <v>0</v>
      </c>
      <c r="BM24" s="25">
        <v>0</v>
      </c>
      <c r="BN24" s="25">
        <v>0</v>
      </c>
      <c r="BO24" s="25">
        <v>0</v>
      </c>
      <c r="BP24" s="25">
        <v>0</v>
      </c>
      <c r="BQ24" s="25">
        <v>0</v>
      </c>
      <c r="BR24" s="25">
        <v>0</v>
      </c>
      <c r="BS24" s="25">
        <v>0</v>
      </c>
      <c r="BT24" s="25">
        <v>0</v>
      </c>
      <c r="BU24" s="25">
        <v>0</v>
      </c>
      <c r="BV24" s="25">
        <v>0</v>
      </c>
      <c r="BW24" s="25">
        <v>0</v>
      </c>
      <c r="BX24" s="25">
        <v>0</v>
      </c>
      <c r="BY24" s="25">
        <v>0</v>
      </c>
      <c r="BZ24" s="25">
        <v>0</v>
      </c>
      <c r="CA24" s="25">
        <v>0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v>0</v>
      </c>
      <c r="CL24" s="25">
        <v>0</v>
      </c>
      <c r="CM24" s="25">
        <v>0</v>
      </c>
      <c r="CN24" s="25">
        <v>0</v>
      </c>
      <c r="CO24" s="25">
        <v>0</v>
      </c>
      <c r="CP24" s="25">
        <v>0</v>
      </c>
      <c r="CQ24" s="25">
        <v>0</v>
      </c>
      <c r="CR24" s="25">
        <v>0</v>
      </c>
      <c r="CS24" s="25">
        <v>0</v>
      </c>
      <c r="CT24" s="25">
        <v>0</v>
      </c>
      <c r="CU24" s="25">
        <v>0</v>
      </c>
      <c r="CV24" s="25">
        <v>0</v>
      </c>
      <c r="CW24" s="25">
        <v>0</v>
      </c>
      <c r="CX24" s="25">
        <v>0</v>
      </c>
      <c r="CY24" s="25">
        <v>0</v>
      </c>
      <c r="CZ24" s="25">
        <v>0</v>
      </c>
      <c r="DA24" s="25">
        <v>0</v>
      </c>
      <c r="DB24" s="25">
        <v>0</v>
      </c>
      <c r="DC24" s="25">
        <v>0</v>
      </c>
      <c r="DD24" s="25">
        <v>0</v>
      </c>
      <c r="DE24" s="25">
        <v>0</v>
      </c>
      <c r="DF24" s="25">
        <v>0</v>
      </c>
      <c r="DG24" s="25">
        <v>0</v>
      </c>
      <c r="DH24" s="25">
        <v>0</v>
      </c>
      <c r="DI24" s="25">
        <v>1</v>
      </c>
      <c r="DJ24" s="25">
        <v>0</v>
      </c>
    </row>
    <row r="25" spans="1:114" s="25" customFormat="1" x14ac:dyDescent="0.25">
      <c r="A25" s="25">
        <v>24</v>
      </c>
      <c r="B25" s="1" t="s">
        <v>54</v>
      </c>
      <c r="C25" s="26" t="s">
        <v>284</v>
      </c>
      <c r="D25" t="s">
        <v>1798</v>
      </c>
      <c r="E25" s="25">
        <v>43.872300000000003</v>
      </c>
      <c r="F25" s="25" t="s">
        <v>1537</v>
      </c>
      <c r="G25" s="25" t="s">
        <v>14</v>
      </c>
      <c r="H25" s="25" t="s">
        <v>17</v>
      </c>
      <c r="I25" s="25">
        <v>0</v>
      </c>
      <c r="J25" s="25">
        <v>0</v>
      </c>
      <c r="K25" s="25">
        <v>0</v>
      </c>
      <c r="L25" s="25">
        <v>1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1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1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1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1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</row>
    <row r="26" spans="1:114" s="25" customFormat="1" x14ac:dyDescent="0.25">
      <c r="A26" s="25">
        <v>25</v>
      </c>
      <c r="B26" s="1" t="s">
        <v>177</v>
      </c>
      <c r="C26" s="26" t="s">
        <v>175</v>
      </c>
      <c r="D26" t="s">
        <v>1802</v>
      </c>
      <c r="E26" s="25">
        <v>52.6342</v>
      </c>
      <c r="F26" s="25" t="s">
        <v>1539</v>
      </c>
      <c r="G26" s="25" t="s">
        <v>15</v>
      </c>
      <c r="H26" s="25" t="s">
        <v>17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1</v>
      </c>
      <c r="AB26" s="25">
        <v>0</v>
      </c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>
        <v>0</v>
      </c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>
        <v>0</v>
      </c>
      <c r="CA26" s="25">
        <v>0</v>
      </c>
      <c r="CB26" s="25">
        <v>0</v>
      </c>
      <c r="CC26" s="25">
        <v>0</v>
      </c>
      <c r="CD26" s="25">
        <v>0</v>
      </c>
      <c r="CE26" s="25">
        <v>0</v>
      </c>
      <c r="CF26" s="25">
        <v>0</v>
      </c>
      <c r="CG26" s="25">
        <v>0</v>
      </c>
      <c r="CH26" s="25">
        <v>0</v>
      </c>
      <c r="CI26" s="25">
        <v>0</v>
      </c>
      <c r="CJ26" s="25">
        <v>0</v>
      </c>
      <c r="CK26" s="25">
        <v>0</v>
      </c>
      <c r="CL26" s="25">
        <v>0</v>
      </c>
      <c r="CM26" s="25">
        <v>0</v>
      </c>
      <c r="CN26" s="25">
        <v>0</v>
      </c>
      <c r="CO26" s="25">
        <v>0</v>
      </c>
      <c r="CP26" s="25">
        <v>0</v>
      </c>
      <c r="CQ26" s="25">
        <v>0</v>
      </c>
      <c r="CR26" s="25">
        <v>0</v>
      </c>
      <c r="CS26" s="25">
        <v>0</v>
      </c>
      <c r="CT26" s="25">
        <v>0</v>
      </c>
      <c r="CU26" s="25">
        <v>0</v>
      </c>
      <c r="CV26" s="25">
        <v>0</v>
      </c>
      <c r="CW26" s="25">
        <v>0</v>
      </c>
      <c r="CX26" s="25">
        <v>0</v>
      </c>
      <c r="CY26" s="25">
        <v>0</v>
      </c>
      <c r="CZ26" s="25">
        <v>0</v>
      </c>
      <c r="DA26" s="25">
        <v>0</v>
      </c>
      <c r="DB26" s="25">
        <v>0</v>
      </c>
      <c r="DC26" s="25">
        <v>0</v>
      </c>
      <c r="DD26" s="25">
        <v>0</v>
      </c>
      <c r="DE26" s="25">
        <v>0</v>
      </c>
      <c r="DF26" s="25">
        <v>0</v>
      </c>
      <c r="DG26" s="25">
        <v>0</v>
      </c>
      <c r="DH26" s="25">
        <v>0</v>
      </c>
      <c r="DI26" s="25">
        <v>0</v>
      </c>
      <c r="DJ26" s="25">
        <v>1</v>
      </c>
    </row>
    <row r="27" spans="1:114" s="25" customFormat="1" x14ac:dyDescent="0.25">
      <c r="A27" s="25">
        <v>26</v>
      </c>
      <c r="B27" t="s">
        <v>112</v>
      </c>
      <c r="C27" s="26" t="s">
        <v>111</v>
      </c>
      <c r="D27" t="s">
        <v>1796</v>
      </c>
      <c r="E27" s="25">
        <v>36.376399999999997</v>
      </c>
      <c r="F27" s="25" t="s">
        <v>1537</v>
      </c>
      <c r="G27" s="25" t="s">
        <v>14</v>
      </c>
      <c r="H27" s="25" t="s">
        <v>17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1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1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1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1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1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1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</row>
    <row r="28" spans="1:114" s="25" customFormat="1" x14ac:dyDescent="0.25">
      <c r="A28" s="25">
        <v>27</v>
      </c>
      <c r="B28" t="s">
        <v>223</v>
      </c>
      <c r="C28" s="26" t="s">
        <v>968</v>
      </c>
      <c r="D28" t="s">
        <v>1798</v>
      </c>
      <c r="E28" s="25">
        <v>42.697899999999997</v>
      </c>
      <c r="F28" s="25" t="s">
        <v>1537</v>
      </c>
      <c r="G28" s="25" t="s">
        <v>13</v>
      </c>
      <c r="H28" s="25" t="s">
        <v>17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1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1</v>
      </c>
      <c r="AI28" s="25">
        <v>0</v>
      </c>
      <c r="AJ28" s="25">
        <v>1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1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1</v>
      </c>
      <c r="BA28" s="25">
        <v>0</v>
      </c>
      <c r="BB28" s="25">
        <v>0</v>
      </c>
      <c r="BC28" s="25">
        <v>0</v>
      </c>
      <c r="BD28" s="25">
        <v>1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  <c r="BP28" s="25">
        <v>1</v>
      </c>
      <c r="BQ28" s="25">
        <v>0</v>
      </c>
      <c r="BR28" s="25">
        <v>0</v>
      </c>
      <c r="BS28" s="25">
        <v>0</v>
      </c>
      <c r="BT28" s="25">
        <v>0</v>
      </c>
      <c r="BU28" s="25">
        <v>0</v>
      </c>
      <c r="BV28" s="25">
        <v>0</v>
      </c>
      <c r="BW28" s="25">
        <v>0</v>
      </c>
      <c r="BX28" s="25">
        <v>0</v>
      </c>
      <c r="BY28" s="25">
        <v>0</v>
      </c>
      <c r="BZ28" s="25">
        <v>0</v>
      </c>
      <c r="CA28" s="25">
        <v>0</v>
      </c>
      <c r="CB28" s="25">
        <v>0</v>
      </c>
      <c r="CC28" s="25">
        <v>0</v>
      </c>
      <c r="CD28" s="25">
        <v>0</v>
      </c>
      <c r="CE28" s="25">
        <v>0</v>
      </c>
      <c r="CF28" s="25">
        <v>0</v>
      </c>
      <c r="CG28" s="25">
        <v>0</v>
      </c>
      <c r="CH28" s="25">
        <v>0</v>
      </c>
      <c r="CI28" s="25">
        <v>0</v>
      </c>
      <c r="CJ28" s="25">
        <v>0</v>
      </c>
      <c r="CK28" s="25">
        <v>0</v>
      </c>
      <c r="CL28" s="25">
        <v>0</v>
      </c>
      <c r="CM28" s="25">
        <v>0</v>
      </c>
      <c r="CN28" s="25">
        <v>1</v>
      </c>
      <c r="CO28" s="25">
        <v>0</v>
      </c>
      <c r="CP28" s="25">
        <v>0</v>
      </c>
      <c r="CQ28" s="25">
        <v>0</v>
      </c>
      <c r="CR28" s="25">
        <v>0</v>
      </c>
      <c r="CS28" s="25">
        <v>0</v>
      </c>
      <c r="CT28" s="25">
        <v>0</v>
      </c>
      <c r="CU28" s="25">
        <v>0</v>
      </c>
      <c r="CV28" s="25">
        <v>0</v>
      </c>
      <c r="CW28" s="25">
        <v>0</v>
      </c>
      <c r="CX28" s="25">
        <v>0</v>
      </c>
      <c r="CY28" s="25">
        <v>0</v>
      </c>
      <c r="CZ28" s="25">
        <v>0</v>
      </c>
      <c r="DA28" s="25">
        <v>0</v>
      </c>
      <c r="DB28" s="25">
        <v>0</v>
      </c>
      <c r="DC28" s="25">
        <v>0</v>
      </c>
      <c r="DD28" s="25">
        <v>0</v>
      </c>
      <c r="DE28" s="25">
        <v>0</v>
      </c>
      <c r="DF28" s="25">
        <v>0</v>
      </c>
      <c r="DG28" s="25">
        <v>0</v>
      </c>
      <c r="DH28" s="25">
        <v>0</v>
      </c>
      <c r="DI28" s="25">
        <v>0</v>
      </c>
      <c r="DJ28" s="25">
        <v>1</v>
      </c>
    </row>
    <row r="29" spans="1:114" s="25" customFormat="1" x14ac:dyDescent="0.25">
      <c r="A29" s="25">
        <v>28</v>
      </c>
      <c r="B29" t="s">
        <v>223</v>
      </c>
      <c r="C29" s="26" t="s">
        <v>1447</v>
      </c>
      <c r="D29" t="s">
        <v>1802</v>
      </c>
      <c r="E29" s="25">
        <v>57.529600000000002</v>
      </c>
      <c r="F29" s="25" t="s">
        <v>1539</v>
      </c>
      <c r="G29" s="25" t="s">
        <v>13</v>
      </c>
      <c r="H29" s="25" t="s">
        <v>16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>
        <v>0</v>
      </c>
      <c r="AC29" s="25">
        <v>0</v>
      </c>
      <c r="AD29" s="25">
        <v>0</v>
      </c>
      <c r="AE29" s="25">
        <v>0</v>
      </c>
      <c r="AF29" s="25">
        <v>0</v>
      </c>
      <c r="AG29" s="25">
        <v>1</v>
      </c>
      <c r="AH29" s="25">
        <v>1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1</v>
      </c>
      <c r="AR29" s="25">
        <v>0</v>
      </c>
      <c r="AS29" s="25">
        <v>0</v>
      </c>
      <c r="AT29" s="25">
        <v>1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1</v>
      </c>
      <c r="BA29" s="25">
        <v>0</v>
      </c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1</v>
      </c>
      <c r="BM29" s="25">
        <v>0</v>
      </c>
      <c r="BN29" s="25">
        <v>0</v>
      </c>
      <c r="BO29" s="25">
        <v>0</v>
      </c>
      <c r="BP29" s="25">
        <v>1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>
        <v>0</v>
      </c>
      <c r="CA29" s="25">
        <v>0</v>
      </c>
      <c r="CB29" s="25">
        <v>0</v>
      </c>
      <c r="CC29" s="25">
        <v>0</v>
      </c>
      <c r="CD29" s="25">
        <v>0</v>
      </c>
      <c r="CE29" s="25">
        <v>0</v>
      </c>
      <c r="CF29" s="25">
        <v>0</v>
      </c>
      <c r="CG29" s="25">
        <v>0</v>
      </c>
      <c r="CH29" s="25">
        <v>0</v>
      </c>
      <c r="CI29" s="25">
        <v>0</v>
      </c>
      <c r="CJ29" s="25">
        <v>0</v>
      </c>
      <c r="CK29" s="25">
        <v>0</v>
      </c>
      <c r="CL29" s="25">
        <v>0</v>
      </c>
      <c r="CM29" s="25">
        <v>0</v>
      </c>
      <c r="CN29" s="25">
        <v>0</v>
      </c>
      <c r="CO29" s="25">
        <v>0</v>
      </c>
      <c r="CP29" s="25">
        <v>0</v>
      </c>
      <c r="CQ29" s="25">
        <v>0</v>
      </c>
      <c r="CR29" s="25">
        <v>0</v>
      </c>
      <c r="CS29" s="25">
        <v>0</v>
      </c>
      <c r="CT29" s="25">
        <v>0</v>
      </c>
      <c r="CU29" s="25">
        <v>0</v>
      </c>
      <c r="CV29" s="25">
        <v>0</v>
      </c>
      <c r="CW29" s="25">
        <v>0</v>
      </c>
      <c r="CX29" s="25">
        <v>0</v>
      </c>
      <c r="CY29" s="25">
        <v>0</v>
      </c>
      <c r="CZ29" s="25">
        <v>0</v>
      </c>
      <c r="DA29" s="25">
        <v>0</v>
      </c>
      <c r="DB29" s="25">
        <v>0</v>
      </c>
      <c r="DC29" s="25">
        <v>0</v>
      </c>
      <c r="DD29" s="25">
        <v>0</v>
      </c>
      <c r="DE29" s="25">
        <v>0</v>
      </c>
      <c r="DF29" s="25">
        <v>0</v>
      </c>
      <c r="DG29" s="25">
        <v>0</v>
      </c>
      <c r="DH29" s="25">
        <v>0</v>
      </c>
      <c r="DI29" s="25">
        <v>0</v>
      </c>
      <c r="DJ29" s="25">
        <v>1</v>
      </c>
    </row>
    <row r="30" spans="1:114" s="25" customFormat="1" x14ac:dyDescent="0.25">
      <c r="A30" s="25">
        <v>29</v>
      </c>
      <c r="B30" t="s">
        <v>223</v>
      </c>
      <c r="C30" s="26" t="s">
        <v>1053</v>
      </c>
      <c r="D30" t="s">
        <v>1798</v>
      </c>
      <c r="E30" s="25">
        <v>49.540300000000002</v>
      </c>
      <c r="F30" s="25" t="s">
        <v>1539</v>
      </c>
      <c r="G30" s="25" t="s">
        <v>13</v>
      </c>
      <c r="H30" s="25" t="s">
        <v>17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0</v>
      </c>
      <c r="W30" s="25">
        <v>1</v>
      </c>
      <c r="X30" s="25">
        <v>0</v>
      </c>
      <c r="Y30" s="25">
        <v>0</v>
      </c>
      <c r="Z30" s="25">
        <v>0</v>
      </c>
      <c r="AA30" s="25">
        <v>1</v>
      </c>
      <c r="AB30" s="25">
        <v>0</v>
      </c>
      <c r="AC30" s="25">
        <v>0</v>
      </c>
      <c r="AD30" s="25">
        <v>0</v>
      </c>
      <c r="AE30" s="25">
        <v>0</v>
      </c>
      <c r="AF30" s="25">
        <v>0</v>
      </c>
      <c r="AG30" s="25">
        <v>0</v>
      </c>
      <c r="AH30" s="25">
        <v>1</v>
      </c>
      <c r="AI30" s="25">
        <v>0</v>
      </c>
      <c r="AJ30" s="25">
        <v>1</v>
      </c>
      <c r="AK30" s="25">
        <v>0</v>
      </c>
      <c r="AL30" s="25">
        <v>0</v>
      </c>
      <c r="AM30" s="25">
        <v>0</v>
      </c>
      <c r="AN30" s="25">
        <v>0</v>
      </c>
      <c r="AO30" s="25">
        <v>0</v>
      </c>
      <c r="AP30" s="25">
        <v>0</v>
      </c>
      <c r="AQ30" s="25">
        <v>0</v>
      </c>
      <c r="AR30" s="25">
        <v>0</v>
      </c>
      <c r="AS30" s="25">
        <v>0</v>
      </c>
      <c r="AT30" s="25">
        <v>0</v>
      </c>
      <c r="AU30" s="25">
        <v>0</v>
      </c>
      <c r="AV30" s="25">
        <v>0</v>
      </c>
      <c r="AW30" s="25">
        <v>0</v>
      </c>
      <c r="AX30" s="25">
        <v>0</v>
      </c>
      <c r="AY30" s="25">
        <v>0</v>
      </c>
      <c r="AZ30" s="25">
        <v>0</v>
      </c>
      <c r="BA30" s="25">
        <v>0</v>
      </c>
      <c r="BB30" s="25">
        <v>0</v>
      </c>
      <c r="BC30" s="25">
        <v>0</v>
      </c>
      <c r="BD30" s="25">
        <v>0</v>
      </c>
      <c r="BE30" s="25">
        <v>0</v>
      </c>
      <c r="BF30" s="25">
        <v>0</v>
      </c>
      <c r="BG30" s="25">
        <v>0</v>
      </c>
      <c r="BH30" s="25">
        <v>0</v>
      </c>
      <c r="BI30" s="25">
        <v>0</v>
      </c>
      <c r="BJ30" s="25">
        <v>0</v>
      </c>
      <c r="BK30" s="25">
        <v>0</v>
      </c>
      <c r="BL30" s="25">
        <v>0</v>
      </c>
      <c r="BM30" s="25">
        <v>0</v>
      </c>
      <c r="BN30" s="25">
        <v>0</v>
      </c>
      <c r="BO30" s="25">
        <v>0</v>
      </c>
      <c r="BP30" s="25">
        <v>0</v>
      </c>
      <c r="BQ30" s="25">
        <v>0</v>
      </c>
      <c r="BR30" s="25">
        <v>0</v>
      </c>
      <c r="BS30" s="25">
        <v>0</v>
      </c>
      <c r="BT30" s="25">
        <v>0</v>
      </c>
      <c r="BU30" s="25">
        <v>0</v>
      </c>
      <c r="BV30" s="25">
        <v>0</v>
      </c>
      <c r="BW30" s="25">
        <v>0</v>
      </c>
      <c r="BX30" s="25">
        <v>0</v>
      </c>
      <c r="BY30" s="25">
        <v>0</v>
      </c>
      <c r="BZ30" s="25">
        <v>0</v>
      </c>
      <c r="CA30" s="25">
        <v>0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v>0</v>
      </c>
      <c r="CL30" s="25">
        <v>0</v>
      </c>
      <c r="CM30" s="25">
        <v>0</v>
      </c>
      <c r="CN30" s="25">
        <v>1</v>
      </c>
      <c r="CO30" s="25">
        <v>0</v>
      </c>
      <c r="CP30" s="25">
        <v>0</v>
      </c>
      <c r="CQ30" s="25">
        <v>0</v>
      </c>
      <c r="CR30" s="25">
        <v>0</v>
      </c>
      <c r="CS30" s="25">
        <v>0</v>
      </c>
      <c r="CT30" s="25">
        <v>0</v>
      </c>
      <c r="CU30" s="25">
        <v>0</v>
      </c>
      <c r="CV30" s="25">
        <v>0</v>
      </c>
      <c r="CW30" s="25">
        <v>0</v>
      </c>
      <c r="CX30" s="25">
        <v>0</v>
      </c>
      <c r="CY30" s="25">
        <v>0</v>
      </c>
      <c r="CZ30" s="25">
        <v>0</v>
      </c>
      <c r="DA30" s="25">
        <v>0</v>
      </c>
      <c r="DB30" s="25">
        <v>0</v>
      </c>
      <c r="DC30" s="25">
        <v>0</v>
      </c>
      <c r="DD30" s="25">
        <v>0</v>
      </c>
      <c r="DE30" s="25">
        <v>0</v>
      </c>
      <c r="DF30" s="25">
        <v>0</v>
      </c>
      <c r="DG30" s="25">
        <v>0</v>
      </c>
      <c r="DH30" s="25">
        <v>0</v>
      </c>
      <c r="DI30" s="25">
        <v>0</v>
      </c>
      <c r="DJ30" s="25">
        <v>1</v>
      </c>
    </row>
    <row r="31" spans="1:114" s="25" customFormat="1" x14ac:dyDescent="0.25">
      <c r="A31" s="25">
        <v>30</v>
      </c>
      <c r="B31" s="1" t="s">
        <v>223</v>
      </c>
      <c r="C31" s="26" t="s">
        <v>1053</v>
      </c>
      <c r="D31" t="s">
        <v>1798</v>
      </c>
      <c r="E31" s="25">
        <v>50.980400000000003</v>
      </c>
      <c r="F31" s="25" t="s">
        <v>1539</v>
      </c>
      <c r="G31" s="25" t="s">
        <v>13</v>
      </c>
      <c r="H31" s="25" t="s">
        <v>16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0</v>
      </c>
      <c r="W31" s="25">
        <v>0</v>
      </c>
      <c r="X31" s="25">
        <v>1</v>
      </c>
      <c r="Y31" s="25">
        <v>0</v>
      </c>
      <c r="Z31" s="25">
        <v>0</v>
      </c>
      <c r="AA31" s="25">
        <v>1</v>
      </c>
      <c r="AB31" s="25">
        <v>0</v>
      </c>
      <c r="AC31" s="25">
        <v>0</v>
      </c>
      <c r="AD31" s="25">
        <v>0</v>
      </c>
      <c r="AE31" s="25">
        <v>0</v>
      </c>
      <c r="AF31" s="25">
        <v>0</v>
      </c>
      <c r="AG31" s="25">
        <v>0</v>
      </c>
      <c r="AH31" s="25">
        <v>1</v>
      </c>
      <c r="AI31" s="25">
        <v>0</v>
      </c>
      <c r="AJ31" s="25">
        <v>1</v>
      </c>
      <c r="AK31" s="25">
        <v>0</v>
      </c>
      <c r="AL31" s="25">
        <v>0</v>
      </c>
      <c r="AM31" s="25">
        <v>0</v>
      </c>
      <c r="AN31" s="25">
        <v>0</v>
      </c>
      <c r="AO31" s="25">
        <v>1</v>
      </c>
      <c r="AP31" s="25">
        <v>0</v>
      </c>
      <c r="AQ31" s="25">
        <v>1</v>
      </c>
      <c r="AR31" s="25">
        <v>0</v>
      </c>
      <c r="AS31" s="25">
        <v>0</v>
      </c>
      <c r="AT31" s="25">
        <v>1</v>
      </c>
      <c r="AU31" s="25">
        <v>0</v>
      </c>
      <c r="AV31" s="25">
        <v>0</v>
      </c>
      <c r="AW31" s="25">
        <v>0</v>
      </c>
      <c r="AX31" s="25">
        <v>0</v>
      </c>
      <c r="AY31" s="25">
        <v>0</v>
      </c>
      <c r="AZ31" s="25">
        <v>0</v>
      </c>
      <c r="BA31" s="25">
        <v>0</v>
      </c>
      <c r="BB31" s="25">
        <v>0</v>
      </c>
      <c r="BC31" s="25">
        <v>0</v>
      </c>
      <c r="BD31" s="25">
        <v>0</v>
      </c>
      <c r="BE31" s="25">
        <v>0</v>
      </c>
      <c r="BF31" s="25">
        <v>0</v>
      </c>
      <c r="BG31" s="25">
        <v>0</v>
      </c>
      <c r="BH31" s="25">
        <v>0</v>
      </c>
      <c r="BI31" s="25">
        <v>0</v>
      </c>
      <c r="BJ31" s="25">
        <v>0</v>
      </c>
      <c r="BK31" s="25">
        <v>0</v>
      </c>
      <c r="BL31" s="25">
        <v>0</v>
      </c>
      <c r="BM31" s="25">
        <v>0</v>
      </c>
      <c r="BN31" s="25">
        <v>0</v>
      </c>
      <c r="BO31" s="25">
        <v>0</v>
      </c>
      <c r="BP31" s="25">
        <v>0</v>
      </c>
      <c r="BQ31" s="25">
        <v>0</v>
      </c>
      <c r="BR31" s="25">
        <v>0</v>
      </c>
      <c r="BS31" s="25">
        <v>0</v>
      </c>
      <c r="BT31" s="25">
        <v>0</v>
      </c>
      <c r="BU31" s="25">
        <v>0</v>
      </c>
      <c r="BV31" s="25">
        <v>0</v>
      </c>
      <c r="BW31" s="25">
        <v>0</v>
      </c>
      <c r="BX31" s="25">
        <v>0</v>
      </c>
      <c r="BY31" s="25">
        <v>0</v>
      </c>
      <c r="BZ31" s="25">
        <v>0</v>
      </c>
      <c r="CA31" s="25">
        <v>0</v>
      </c>
      <c r="CB31" s="25">
        <v>0</v>
      </c>
      <c r="CC31" s="25">
        <v>0</v>
      </c>
      <c r="CD31" s="25">
        <v>0</v>
      </c>
      <c r="CE31" s="25">
        <v>0</v>
      </c>
      <c r="CF31" s="25">
        <v>0</v>
      </c>
      <c r="CG31" s="25">
        <v>0</v>
      </c>
      <c r="CH31" s="25">
        <v>0</v>
      </c>
      <c r="CI31" s="25">
        <v>0</v>
      </c>
      <c r="CJ31" s="25">
        <v>0</v>
      </c>
      <c r="CK31" s="25">
        <v>0</v>
      </c>
      <c r="CL31" s="25">
        <v>0</v>
      </c>
      <c r="CM31" s="25">
        <v>0</v>
      </c>
      <c r="CN31" s="25">
        <v>1</v>
      </c>
      <c r="CO31" s="25">
        <v>0</v>
      </c>
      <c r="CP31" s="25">
        <v>0</v>
      </c>
      <c r="CQ31" s="25">
        <v>0</v>
      </c>
      <c r="CR31" s="25">
        <v>0</v>
      </c>
      <c r="CS31" s="25">
        <v>0</v>
      </c>
      <c r="CT31" s="25">
        <v>0</v>
      </c>
      <c r="CU31" s="25">
        <v>0</v>
      </c>
      <c r="CV31" s="25">
        <v>0</v>
      </c>
      <c r="CW31" s="25">
        <v>0</v>
      </c>
      <c r="CX31" s="25">
        <v>0</v>
      </c>
      <c r="CY31" s="25">
        <v>0</v>
      </c>
      <c r="CZ31" s="25">
        <v>0</v>
      </c>
      <c r="DA31" s="25">
        <v>0</v>
      </c>
      <c r="DB31" s="25">
        <v>0</v>
      </c>
      <c r="DC31" s="25">
        <v>0</v>
      </c>
      <c r="DD31" s="25">
        <v>0</v>
      </c>
      <c r="DE31" s="25">
        <v>0</v>
      </c>
      <c r="DF31" s="25">
        <v>0</v>
      </c>
      <c r="DG31" s="25">
        <v>0</v>
      </c>
      <c r="DH31" s="25">
        <v>0</v>
      </c>
      <c r="DI31" s="25">
        <v>1</v>
      </c>
      <c r="DJ31" s="25">
        <v>0</v>
      </c>
    </row>
    <row r="32" spans="1:114" s="25" customFormat="1" x14ac:dyDescent="0.25">
      <c r="A32" s="25">
        <v>31</v>
      </c>
      <c r="B32" s="1" t="s">
        <v>223</v>
      </c>
      <c r="C32" s="26" t="s">
        <v>1052</v>
      </c>
      <c r="D32" t="s">
        <v>1798</v>
      </c>
      <c r="E32" s="25">
        <v>51.956099999999999</v>
      </c>
      <c r="F32" s="25" t="s">
        <v>1539</v>
      </c>
      <c r="G32" s="25" t="s">
        <v>15</v>
      </c>
      <c r="H32" s="25" t="s">
        <v>17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1</v>
      </c>
      <c r="X32" s="25">
        <v>0</v>
      </c>
      <c r="Y32" s="25">
        <v>0</v>
      </c>
      <c r="Z32" s="25">
        <v>0</v>
      </c>
      <c r="AA32" s="25">
        <v>1</v>
      </c>
      <c r="AB32" s="25">
        <v>0</v>
      </c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1</v>
      </c>
      <c r="AI32" s="25">
        <v>0</v>
      </c>
      <c r="AJ32" s="25">
        <v>1</v>
      </c>
      <c r="AK32" s="25">
        <v>0</v>
      </c>
      <c r="AL32" s="25">
        <v>0</v>
      </c>
      <c r="AM32" s="25">
        <v>1</v>
      </c>
      <c r="AN32" s="25">
        <v>1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1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>
        <v>0</v>
      </c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1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>
        <v>0</v>
      </c>
      <c r="CA32" s="25">
        <v>0</v>
      </c>
      <c r="CB32" s="25">
        <v>0</v>
      </c>
      <c r="CC32" s="25">
        <v>0</v>
      </c>
      <c r="CD32" s="25">
        <v>0</v>
      </c>
      <c r="CE32" s="25">
        <v>0</v>
      </c>
      <c r="CF32" s="25">
        <v>0</v>
      </c>
      <c r="CG32" s="25">
        <v>1</v>
      </c>
      <c r="CH32" s="25">
        <v>0</v>
      </c>
      <c r="CI32" s="25">
        <v>0</v>
      </c>
      <c r="CJ32" s="25">
        <v>0</v>
      </c>
      <c r="CK32" s="25">
        <v>0</v>
      </c>
      <c r="CL32" s="25">
        <v>0</v>
      </c>
      <c r="CM32" s="25">
        <v>0</v>
      </c>
      <c r="CN32" s="25">
        <v>0</v>
      </c>
      <c r="CO32" s="25">
        <v>0</v>
      </c>
      <c r="CP32" s="25">
        <v>0</v>
      </c>
      <c r="CQ32" s="25">
        <v>0</v>
      </c>
      <c r="CR32" s="25">
        <v>0</v>
      </c>
      <c r="CS32" s="25">
        <v>0</v>
      </c>
      <c r="CT32" s="25">
        <v>0</v>
      </c>
      <c r="CU32" s="25">
        <v>0</v>
      </c>
      <c r="CV32" s="25">
        <v>0</v>
      </c>
      <c r="CW32" s="25">
        <v>0</v>
      </c>
      <c r="CX32" s="25">
        <v>0</v>
      </c>
      <c r="CY32" s="25">
        <v>0</v>
      </c>
      <c r="CZ32" s="25">
        <v>0</v>
      </c>
      <c r="DA32" s="25">
        <v>0</v>
      </c>
      <c r="DB32" s="25">
        <v>0</v>
      </c>
      <c r="DC32" s="25">
        <v>0</v>
      </c>
      <c r="DD32" s="25">
        <v>0</v>
      </c>
      <c r="DE32" s="25">
        <v>0</v>
      </c>
      <c r="DF32" s="25">
        <v>0</v>
      </c>
      <c r="DG32" s="25">
        <v>0</v>
      </c>
      <c r="DH32" s="25">
        <v>0</v>
      </c>
      <c r="DI32" s="25">
        <v>1</v>
      </c>
      <c r="DJ32" s="25">
        <v>1</v>
      </c>
    </row>
    <row r="33" spans="1:114" s="25" customFormat="1" x14ac:dyDescent="0.25">
      <c r="A33" s="25">
        <v>32</v>
      </c>
      <c r="B33" t="s">
        <v>223</v>
      </c>
      <c r="C33" s="26" t="s">
        <v>1052</v>
      </c>
      <c r="D33" t="s">
        <v>1798</v>
      </c>
      <c r="E33" s="26">
        <v>51.956000000000003</v>
      </c>
      <c r="F33" s="25" t="s">
        <v>1539</v>
      </c>
      <c r="G33" s="26" t="s">
        <v>13</v>
      </c>
      <c r="H33" s="25" t="s">
        <v>16</v>
      </c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0</v>
      </c>
      <c r="W33" s="25">
        <v>0</v>
      </c>
      <c r="X33" s="25">
        <v>1</v>
      </c>
      <c r="Y33" s="25">
        <v>0</v>
      </c>
      <c r="Z33" s="25">
        <v>0</v>
      </c>
      <c r="AA33" s="25">
        <v>1</v>
      </c>
      <c r="AB33" s="25">
        <v>0</v>
      </c>
      <c r="AC33" s="25">
        <v>0</v>
      </c>
      <c r="AD33" s="25">
        <v>0</v>
      </c>
      <c r="AE33" s="25">
        <v>0</v>
      </c>
      <c r="AF33" s="25">
        <v>0</v>
      </c>
      <c r="AG33" s="25">
        <v>0</v>
      </c>
      <c r="AH33" s="25">
        <v>1</v>
      </c>
      <c r="AI33" s="25">
        <v>0</v>
      </c>
      <c r="AJ33" s="25">
        <v>1</v>
      </c>
      <c r="AK33" s="25">
        <v>0</v>
      </c>
      <c r="AL33" s="25">
        <v>0</v>
      </c>
      <c r="AM33" s="25">
        <v>0</v>
      </c>
      <c r="AN33" s="25">
        <v>1</v>
      </c>
      <c r="AO33" s="25">
        <v>0</v>
      </c>
      <c r="AP33" s="25">
        <v>0</v>
      </c>
      <c r="AQ33" s="25">
        <v>1</v>
      </c>
      <c r="AR33" s="25">
        <v>0</v>
      </c>
      <c r="AS33" s="25">
        <v>0</v>
      </c>
      <c r="AT33" s="25">
        <v>1</v>
      </c>
      <c r="AU33" s="25">
        <v>0</v>
      </c>
      <c r="AV33" s="25">
        <v>0</v>
      </c>
      <c r="AW33" s="25">
        <v>0</v>
      </c>
      <c r="AX33" s="25">
        <v>0</v>
      </c>
      <c r="AY33" s="25">
        <v>0</v>
      </c>
      <c r="AZ33" s="25">
        <v>0</v>
      </c>
      <c r="BA33" s="25">
        <v>0</v>
      </c>
      <c r="BB33" s="25">
        <v>0</v>
      </c>
      <c r="BC33" s="25">
        <v>0</v>
      </c>
      <c r="BD33" s="25">
        <v>0</v>
      </c>
      <c r="BE33" s="25">
        <v>0</v>
      </c>
      <c r="BF33" s="25">
        <v>0</v>
      </c>
      <c r="BG33" s="25">
        <v>0</v>
      </c>
      <c r="BH33" s="25">
        <v>0</v>
      </c>
      <c r="BI33" s="25">
        <v>0</v>
      </c>
      <c r="BJ33" s="25">
        <v>1</v>
      </c>
      <c r="BK33" s="25">
        <v>0</v>
      </c>
      <c r="BL33" s="25">
        <v>0</v>
      </c>
      <c r="BM33" s="25">
        <v>0</v>
      </c>
      <c r="BN33" s="25">
        <v>0</v>
      </c>
      <c r="BO33" s="25">
        <v>0</v>
      </c>
      <c r="BP33" s="25">
        <v>0</v>
      </c>
      <c r="BQ33" s="25">
        <v>0</v>
      </c>
      <c r="BR33" s="25">
        <v>1</v>
      </c>
      <c r="BS33" s="25">
        <v>0</v>
      </c>
      <c r="BT33" s="25">
        <v>0</v>
      </c>
      <c r="BU33" s="25">
        <v>0</v>
      </c>
      <c r="BV33" s="25">
        <v>0</v>
      </c>
      <c r="BW33" s="25">
        <v>0</v>
      </c>
      <c r="BX33" s="25">
        <v>0</v>
      </c>
      <c r="BY33" s="25">
        <v>0</v>
      </c>
      <c r="BZ33" s="25">
        <v>0</v>
      </c>
      <c r="CA33" s="25">
        <v>0</v>
      </c>
      <c r="CB33" s="25">
        <v>0</v>
      </c>
      <c r="CC33" s="25">
        <v>0</v>
      </c>
      <c r="CD33" s="25">
        <v>0</v>
      </c>
      <c r="CE33" s="25">
        <v>0</v>
      </c>
      <c r="CF33" s="25">
        <v>0</v>
      </c>
      <c r="CG33" s="25">
        <v>1</v>
      </c>
      <c r="CH33" s="25">
        <v>0</v>
      </c>
      <c r="CI33" s="25">
        <v>0</v>
      </c>
      <c r="CJ33" s="25">
        <v>0</v>
      </c>
      <c r="CK33" s="25">
        <v>0</v>
      </c>
      <c r="CL33" s="25">
        <v>0</v>
      </c>
      <c r="CM33" s="25">
        <v>0</v>
      </c>
      <c r="CN33" s="25">
        <v>1</v>
      </c>
      <c r="CO33" s="25">
        <v>0</v>
      </c>
      <c r="CP33" s="25">
        <v>0</v>
      </c>
      <c r="CQ33" s="25">
        <v>0</v>
      </c>
      <c r="CR33" s="25">
        <v>0</v>
      </c>
      <c r="CS33" s="25">
        <v>0</v>
      </c>
      <c r="CT33" s="25">
        <v>0</v>
      </c>
      <c r="CU33" s="25">
        <v>0</v>
      </c>
      <c r="CV33" s="25">
        <v>0</v>
      </c>
      <c r="CW33" s="25">
        <v>0</v>
      </c>
      <c r="CX33" s="25">
        <v>0</v>
      </c>
      <c r="CY33" s="25">
        <v>0</v>
      </c>
      <c r="CZ33" s="25">
        <v>0</v>
      </c>
      <c r="DA33" s="25">
        <v>0</v>
      </c>
      <c r="DB33" s="25">
        <v>0</v>
      </c>
      <c r="DC33" s="25">
        <v>0</v>
      </c>
      <c r="DD33" s="25">
        <v>0</v>
      </c>
      <c r="DE33" s="25">
        <v>0</v>
      </c>
      <c r="DF33" s="25">
        <v>0</v>
      </c>
      <c r="DG33" s="25">
        <v>0</v>
      </c>
      <c r="DH33" s="25">
        <v>0</v>
      </c>
      <c r="DI33" s="25">
        <v>1</v>
      </c>
      <c r="DJ33" s="25">
        <v>1</v>
      </c>
    </row>
    <row r="34" spans="1:114" s="25" customFormat="1" x14ac:dyDescent="0.25">
      <c r="A34" s="25">
        <v>33</v>
      </c>
      <c r="B34" t="s">
        <v>223</v>
      </c>
      <c r="C34" s="26" t="s">
        <v>1052</v>
      </c>
      <c r="D34" t="s">
        <v>1798</v>
      </c>
      <c r="E34" s="25">
        <v>52.483899999999998</v>
      </c>
      <c r="F34" s="25" t="s">
        <v>1539</v>
      </c>
      <c r="G34" s="25" t="s">
        <v>15</v>
      </c>
      <c r="H34" s="25" t="s">
        <v>16</v>
      </c>
      <c r="I34" s="25">
        <v>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1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1</v>
      </c>
      <c r="AI34" s="25">
        <v>0</v>
      </c>
      <c r="AJ34" s="25">
        <v>1</v>
      </c>
      <c r="AK34" s="25">
        <v>0</v>
      </c>
      <c r="AL34" s="25">
        <v>0</v>
      </c>
      <c r="AM34" s="25">
        <v>0</v>
      </c>
      <c r="AN34" s="25">
        <v>1</v>
      </c>
      <c r="AO34" s="25">
        <v>1</v>
      </c>
      <c r="AP34" s="25">
        <v>0</v>
      </c>
      <c r="AQ34" s="25">
        <v>0</v>
      </c>
      <c r="AR34" s="25">
        <v>0</v>
      </c>
      <c r="AS34" s="25">
        <v>0</v>
      </c>
      <c r="AT34" s="25">
        <v>1</v>
      </c>
      <c r="AU34" s="25">
        <v>1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1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1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1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1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1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1</v>
      </c>
      <c r="DH34" s="25">
        <v>0</v>
      </c>
      <c r="DI34" s="25">
        <v>1</v>
      </c>
      <c r="DJ34" s="25">
        <v>1</v>
      </c>
    </row>
    <row r="35" spans="1:114" s="25" customFormat="1" x14ac:dyDescent="0.25">
      <c r="A35" s="25">
        <v>34</v>
      </c>
      <c r="B35" t="s">
        <v>142</v>
      </c>
      <c r="C35" s="26" t="s">
        <v>141</v>
      </c>
      <c r="D35" t="s">
        <v>1796</v>
      </c>
      <c r="E35" s="25">
        <v>25.666599999999999</v>
      </c>
      <c r="F35" s="25" t="s">
        <v>1537</v>
      </c>
      <c r="G35" s="25" t="s">
        <v>15</v>
      </c>
      <c r="H35" s="25" t="s">
        <v>17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1</v>
      </c>
      <c r="Y35" s="25">
        <v>0</v>
      </c>
      <c r="Z35" s="25">
        <v>0</v>
      </c>
      <c r="AA35" s="25">
        <v>0</v>
      </c>
      <c r="AB35" s="25">
        <v>0</v>
      </c>
      <c r="AC35" s="25">
        <v>0</v>
      </c>
      <c r="AD35" s="25">
        <v>0</v>
      </c>
      <c r="AE35" s="25">
        <v>0</v>
      </c>
      <c r="AF35" s="25">
        <v>0</v>
      </c>
      <c r="AG35" s="25">
        <v>0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1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1</v>
      </c>
      <c r="AV35" s="25">
        <v>0</v>
      </c>
      <c r="AW35" s="25">
        <v>0</v>
      </c>
      <c r="AX35" s="25">
        <v>0</v>
      </c>
      <c r="AY35" s="25">
        <v>0</v>
      </c>
      <c r="AZ35" s="25">
        <v>0</v>
      </c>
      <c r="BA35" s="25">
        <v>0</v>
      </c>
      <c r="BB35" s="25">
        <v>0</v>
      </c>
      <c r="BC35" s="25">
        <v>0</v>
      </c>
      <c r="BD35" s="25">
        <v>0</v>
      </c>
      <c r="BE35" s="25">
        <v>0</v>
      </c>
      <c r="BF35" s="25">
        <v>0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0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0</v>
      </c>
      <c r="BW35" s="25">
        <v>1</v>
      </c>
      <c r="BX35" s="25">
        <v>0</v>
      </c>
      <c r="BY35" s="25">
        <v>0</v>
      </c>
      <c r="BZ35" s="25">
        <v>0</v>
      </c>
      <c r="CA35" s="25">
        <v>0</v>
      </c>
      <c r="CB35" s="25">
        <v>0</v>
      </c>
      <c r="CC35" s="25">
        <v>0</v>
      </c>
      <c r="CD35" s="25">
        <v>1</v>
      </c>
      <c r="CE35" s="25">
        <v>0</v>
      </c>
      <c r="CF35" s="25">
        <v>0</v>
      </c>
      <c r="CG35" s="25">
        <v>0</v>
      </c>
      <c r="CH35" s="25">
        <v>0</v>
      </c>
      <c r="CI35" s="25">
        <v>0</v>
      </c>
      <c r="CJ35" s="25">
        <v>0</v>
      </c>
      <c r="CK35" s="25">
        <v>0</v>
      </c>
      <c r="CL35" s="25">
        <v>0</v>
      </c>
      <c r="CM35" s="25">
        <v>0</v>
      </c>
      <c r="CN35" s="25">
        <v>0</v>
      </c>
      <c r="CO35" s="25">
        <v>0</v>
      </c>
      <c r="CP35" s="25">
        <v>0</v>
      </c>
      <c r="CQ35" s="25">
        <v>0</v>
      </c>
      <c r="CR35" s="25">
        <v>0</v>
      </c>
      <c r="CS35" s="25">
        <v>0</v>
      </c>
      <c r="CT35" s="25">
        <v>0</v>
      </c>
      <c r="CU35" s="25">
        <v>0</v>
      </c>
      <c r="CV35" s="25">
        <v>0</v>
      </c>
      <c r="CW35" s="25">
        <v>0</v>
      </c>
      <c r="CX35" s="25">
        <v>0</v>
      </c>
      <c r="CY35" s="25">
        <v>0</v>
      </c>
      <c r="CZ35" s="25">
        <v>0</v>
      </c>
      <c r="DA35" s="25">
        <v>0</v>
      </c>
      <c r="DB35" s="25">
        <v>0</v>
      </c>
      <c r="DC35" s="25">
        <v>0</v>
      </c>
      <c r="DD35" s="25">
        <v>0</v>
      </c>
      <c r="DE35" s="25">
        <v>0</v>
      </c>
      <c r="DF35" s="25">
        <v>0</v>
      </c>
      <c r="DG35" s="25">
        <v>0</v>
      </c>
      <c r="DH35" s="25">
        <v>0</v>
      </c>
      <c r="DI35" s="25">
        <v>0</v>
      </c>
      <c r="DJ35" s="25">
        <v>0</v>
      </c>
    </row>
    <row r="36" spans="1:114" s="25" customFormat="1" x14ac:dyDescent="0.25">
      <c r="A36" s="25">
        <v>35</v>
      </c>
      <c r="B36" t="s">
        <v>142</v>
      </c>
      <c r="C36" s="26" t="s">
        <v>141</v>
      </c>
      <c r="D36" t="s">
        <v>1796</v>
      </c>
      <c r="E36" s="25">
        <v>25.666599999999999</v>
      </c>
      <c r="F36" s="25" t="s">
        <v>1537</v>
      </c>
      <c r="G36" s="25" t="s">
        <v>14</v>
      </c>
      <c r="H36" s="25" t="s">
        <v>17</v>
      </c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0</v>
      </c>
      <c r="W36" s="25">
        <v>0</v>
      </c>
      <c r="X36" s="25">
        <v>0</v>
      </c>
      <c r="Y36" s="25">
        <v>0</v>
      </c>
      <c r="Z36" s="25">
        <v>0</v>
      </c>
      <c r="AA36" s="25">
        <v>1</v>
      </c>
      <c r="AB36" s="25">
        <v>0</v>
      </c>
      <c r="AC36" s="25">
        <v>0</v>
      </c>
      <c r="AD36" s="25">
        <v>0</v>
      </c>
      <c r="AE36" s="25">
        <v>0</v>
      </c>
      <c r="AF36" s="25">
        <v>0</v>
      </c>
      <c r="AG36" s="25">
        <v>0</v>
      </c>
      <c r="AH36" s="25">
        <v>1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>
        <v>0</v>
      </c>
      <c r="AV36" s="25">
        <v>0</v>
      </c>
      <c r="AW36" s="25">
        <v>0</v>
      </c>
      <c r="AX36" s="25">
        <v>0</v>
      </c>
      <c r="AY36" s="25">
        <v>0</v>
      </c>
      <c r="AZ36" s="25">
        <v>0</v>
      </c>
      <c r="BA36" s="25">
        <v>0</v>
      </c>
      <c r="BB36" s="25">
        <v>0</v>
      </c>
      <c r="BC36" s="25">
        <v>0</v>
      </c>
      <c r="BD36" s="25">
        <v>0</v>
      </c>
      <c r="BE36" s="25">
        <v>0</v>
      </c>
      <c r="BF36" s="25">
        <v>0</v>
      </c>
      <c r="BG36" s="25">
        <v>0</v>
      </c>
      <c r="BH36" s="25">
        <v>0</v>
      </c>
      <c r="BI36" s="25">
        <v>0</v>
      </c>
      <c r="BJ36" s="25">
        <v>0</v>
      </c>
      <c r="BK36" s="25">
        <v>0</v>
      </c>
      <c r="BL36" s="25">
        <v>0</v>
      </c>
      <c r="BM36" s="25">
        <v>0</v>
      </c>
      <c r="BN36" s="25">
        <v>0</v>
      </c>
      <c r="BO36" s="25">
        <v>0</v>
      </c>
      <c r="BP36" s="25">
        <v>1</v>
      </c>
      <c r="BQ36" s="25">
        <v>0</v>
      </c>
      <c r="BR36" s="25">
        <v>0</v>
      </c>
      <c r="BS36" s="25">
        <v>0</v>
      </c>
      <c r="BT36" s="25">
        <v>0</v>
      </c>
      <c r="BU36" s="25">
        <v>0</v>
      </c>
      <c r="BV36" s="25">
        <v>0</v>
      </c>
      <c r="BW36" s="25">
        <v>0</v>
      </c>
      <c r="BX36" s="25">
        <v>0</v>
      </c>
      <c r="BY36" s="25">
        <v>0</v>
      </c>
      <c r="BZ36" s="25">
        <v>0</v>
      </c>
      <c r="CA36" s="25">
        <v>0</v>
      </c>
      <c r="CB36" s="25">
        <v>0</v>
      </c>
      <c r="CC36" s="25">
        <v>0</v>
      </c>
      <c r="CD36" s="25">
        <v>0</v>
      </c>
      <c r="CE36" s="25">
        <v>0</v>
      </c>
      <c r="CF36" s="25">
        <v>0</v>
      </c>
      <c r="CG36" s="25">
        <v>0</v>
      </c>
      <c r="CH36" s="25">
        <v>0</v>
      </c>
      <c r="CI36" s="25">
        <v>0</v>
      </c>
      <c r="CJ36" s="25">
        <v>0</v>
      </c>
      <c r="CK36" s="25">
        <v>0</v>
      </c>
      <c r="CL36" s="25">
        <v>0</v>
      </c>
      <c r="CM36" s="25">
        <v>0</v>
      </c>
      <c r="CN36" s="25">
        <v>1</v>
      </c>
      <c r="CO36" s="25">
        <v>0</v>
      </c>
      <c r="CP36" s="25">
        <v>0</v>
      </c>
      <c r="CQ36" s="25">
        <v>0</v>
      </c>
      <c r="CR36" s="25">
        <v>0</v>
      </c>
      <c r="CS36" s="25">
        <v>0</v>
      </c>
      <c r="CT36" s="25">
        <v>0</v>
      </c>
      <c r="CU36" s="25">
        <v>1</v>
      </c>
      <c r="CV36" s="25">
        <v>0</v>
      </c>
      <c r="CW36" s="25">
        <v>0</v>
      </c>
      <c r="CX36" s="25">
        <v>1</v>
      </c>
      <c r="CY36" s="25">
        <v>0</v>
      </c>
      <c r="CZ36" s="25">
        <v>0</v>
      </c>
      <c r="DA36" s="25">
        <v>0</v>
      </c>
      <c r="DB36" s="25">
        <v>0</v>
      </c>
      <c r="DC36" s="25">
        <v>0</v>
      </c>
      <c r="DD36" s="25">
        <v>0</v>
      </c>
      <c r="DE36" s="25">
        <v>0</v>
      </c>
      <c r="DF36" s="25">
        <v>0</v>
      </c>
      <c r="DG36" s="25">
        <v>0</v>
      </c>
      <c r="DH36" s="25">
        <v>0</v>
      </c>
      <c r="DI36" s="25">
        <v>0</v>
      </c>
      <c r="DJ36" s="25">
        <v>0</v>
      </c>
    </row>
    <row r="37" spans="1:114" s="25" customFormat="1" x14ac:dyDescent="0.25">
      <c r="A37" s="25">
        <v>36</v>
      </c>
      <c r="B37" s="1" t="s">
        <v>194</v>
      </c>
      <c r="C37" s="26" t="s">
        <v>351</v>
      </c>
      <c r="D37" t="s">
        <v>1802</v>
      </c>
      <c r="E37" s="25">
        <v>9.1718499999999992</v>
      </c>
      <c r="F37" s="25" t="s">
        <v>1537</v>
      </c>
      <c r="G37" s="25" t="s">
        <v>14</v>
      </c>
      <c r="H37" s="25" t="s">
        <v>17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1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</row>
    <row r="38" spans="1:114" s="25" customFormat="1" x14ac:dyDescent="0.25">
      <c r="A38" s="25">
        <v>37</v>
      </c>
      <c r="B38" s="1" t="s">
        <v>194</v>
      </c>
      <c r="C38" s="26" t="s">
        <v>404</v>
      </c>
      <c r="D38" t="s">
        <v>1800</v>
      </c>
      <c r="E38" s="25">
        <v>15.0939</v>
      </c>
      <c r="F38" s="25" t="s">
        <v>1538</v>
      </c>
      <c r="G38" s="25" t="s">
        <v>15</v>
      </c>
      <c r="H38" s="25" t="s">
        <v>16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0</v>
      </c>
      <c r="Y38" s="25">
        <v>0</v>
      </c>
      <c r="Z38" s="25">
        <v>0</v>
      </c>
      <c r="AA38" s="25">
        <v>0</v>
      </c>
      <c r="AB38" s="25">
        <v>0</v>
      </c>
      <c r="AC38" s="25">
        <v>0</v>
      </c>
      <c r="AD38" s="25">
        <v>0</v>
      </c>
      <c r="AE38" s="25">
        <v>0</v>
      </c>
      <c r="AF38" s="25">
        <v>0</v>
      </c>
      <c r="AG38" s="25">
        <v>0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0</v>
      </c>
      <c r="AP38" s="25">
        <v>0</v>
      </c>
      <c r="AQ38" s="25">
        <v>0</v>
      </c>
      <c r="AR38" s="25">
        <v>0</v>
      </c>
      <c r="AS38" s="25">
        <v>0</v>
      </c>
      <c r="AT38" s="25">
        <v>0</v>
      </c>
      <c r="AU38" s="25">
        <v>0</v>
      </c>
      <c r="AV38" s="25">
        <v>0</v>
      </c>
      <c r="AW38" s="25">
        <v>0</v>
      </c>
      <c r="AX38" s="25">
        <v>0</v>
      </c>
      <c r="AY38" s="25">
        <v>0</v>
      </c>
      <c r="AZ38" s="25">
        <v>0</v>
      </c>
      <c r="BA38" s="25">
        <v>0</v>
      </c>
      <c r="BB38" s="25">
        <v>0</v>
      </c>
      <c r="BC38" s="25">
        <v>0</v>
      </c>
      <c r="BD38" s="25">
        <v>0</v>
      </c>
      <c r="BE38" s="25">
        <v>0</v>
      </c>
      <c r="BF38" s="25">
        <v>0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0</v>
      </c>
      <c r="BO38" s="25">
        <v>0</v>
      </c>
      <c r="BP38" s="25">
        <v>0</v>
      </c>
      <c r="BQ38" s="25">
        <v>0</v>
      </c>
      <c r="BR38" s="25">
        <v>0</v>
      </c>
      <c r="BS38" s="25">
        <v>0</v>
      </c>
      <c r="BT38" s="25">
        <v>0</v>
      </c>
      <c r="BU38" s="25">
        <v>0</v>
      </c>
      <c r="BV38" s="25">
        <v>0</v>
      </c>
      <c r="BW38" s="25">
        <v>0</v>
      </c>
      <c r="BX38" s="25">
        <v>0</v>
      </c>
      <c r="BY38" s="25">
        <v>0</v>
      </c>
      <c r="BZ38" s="25">
        <v>0</v>
      </c>
      <c r="CA38" s="25">
        <v>0</v>
      </c>
      <c r="CB38" s="25">
        <v>0</v>
      </c>
      <c r="CC38" s="25">
        <v>0</v>
      </c>
      <c r="CD38" s="25">
        <v>1</v>
      </c>
      <c r="CE38" s="25">
        <v>0</v>
      </c>
      <c r="CF38" s="25">
        <v>0</v>
      </c>
      <c r="CG38" s="25">
        <v>0</v>
      </c>
      <c r="CH38" s="25">
        <v>0</v>
      </c>
      <c r="CI38" s="25">
        <v>0</v>
      </c>
      <c r="CJ38" s="25">
        <v>0</v>
      </c>
      <c r="CK38" s="25">
        <v>0</v>
      </c>
      <c r="CL38" s="25">
        <v>0</v>
      </c>
      <c r="CM38" s="25">
        <v>0</v>
      </c>
      <c r="CN38" s="25">
        <v>1</v>
      </c>
      <c r="CO38" s="25">
        <v>0</v>
      </c>
      <c r="CP38" s="25">
        <v>0</v>
      </c>
      <c r="CQ38" s="25">
        <v>0</v>
      </c>
      <c r="CR38" s="25">
        <v>0</v>
      </c>
      <c r="CS38" s="25">
        <v>0</v>
      </c>
      <c r="CT38" s="25">
        <v>0</v>
      </c>
      <c r="CU38" s="25">
        <v>0</v>
      </c>
      <c r="CV38" s="25">
        <v>0</v>
      </c>
      <c r="CW38" s="25">
        <v>0</v>
      </c>
      <c r="CX38" s="25">
        <v>0</v>
      </c>
      <c r="CY38" s="25">
        <v>0</v>
      </c>
      <c r="CZ38" s="25">
        <v>0</v>
      </c>
      <c r="DA38" s="25">
        <v>0</v>
      </c>
      <c r="DB38" s="25">
        <v>0</v>
      </c>
      <c r="DC38" s="25">
        <v>0</v>
      </c>
      <c r="DD38" s="25">
        <v>0</v>
      </c>
      <c r="DE38" s="25">
        <v>0</v>
      </c>
      <c r="DF38" s="25">
        <v>0</v>
      </c>
      <c r="DG38" s="25">
        <v>0</v>
      </c>
      <c r="DH38" s="25">
        <v>0</v>
      </c>
      <c r="DI38" s="25">
        <v>0</v>
      </c>
      <c r="DJ38" s="25">
        <v>0</v>
      </c>
    </row>
    <row r="39" spans="1:114" s="25" customFormat="1" x14ac:dyDescent="0.25">
      <c r="A39" s="25">
        <v>38</v>
      </c>
      <c r="B39" s="1" t="s">
        <v>194</v>
      </c>
      <c r="C39" s="26" t="s">
        <v>193</v>
      </c>
      <c r="D39" t="s">
        <v>1802</v>
      </c>
      <c r="E39" s="25">
        <v>9.1188900000000004</v>
      </c>
      <c r="F39" s="25" t="s">
        <v>1537</v>
      </c>
      <c r="G39" s="25" t="s">
        <v>14</v>
      </c>
      <c r="H39" s="25" t="s">
        <v>17</v>
      </c>
      <c r="I39" s="25">
        <v>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0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  <c r="AE39" s="25">
        <v>0</v>
      </c>
      <c r="AF39" s="25">
        <v>0</v>
      </c>
      <c r="AG39" s="25">
        <v>0</v>
      </c>
      <c r="AH39" s="25">
        <v>1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5">
        <v>0</v>
      </c>
      <c r="AO39" s="25">
        <v>0</v>
      </c>
      <c r="AP39" s="25">
        <v>0</v>
      </c>
      <c r="AQ39" s="25">
        <v>0</v>
      </c>
      <c r="AR39" s="25">
        <v>0</v>
      </c>
      <c r="AS39" s="25">
        <v>0</v>
      </c>
      <c r="AT39" s="25">
        <v>0</v>
      </c>
      <c r="AU39" s="25">
        <v>0</v>
      </c>
      <c r="AV39" s="25">
        <v>0</v>
      </c>
      <c r="AW39" s="25">
        <v>0</v>
      </c>
      <c r="AX39" s="25">
        <v>0</v>
      </c>
      <c r="AY39" s="25">
        <v>0</v>
      </c>
      <c r="AZ39" s="25">
        <v>0</v>
      </c>
      <c r="BA39" s="25">
        <v>0</v>
      </c>
      <c r="BB39" s="25">
        <v>0</v>
      </c>
      <c r="BC39" s="25">
        <v>0</v>
      </c>
      <c r="BD39" s="25">
        <v>0</v>
      </c>
      <c r="BE39" s="25">
        <v>0</v>
      </c>
      <c r="BF39" s="25">
        <v>0</v>
      </c>
      <c r="BG39" s="25">
        <v>0</v>
      </c>
      <c r="BH39" s="25">
        <v>0</v>
      </c>
      <c r="BI39" s="25">
        <v>0</v>
      </c>
      <c r="BJ39" s="25">
        <v>0</v>
      </c>
      <c r="BK39" s="25">
        <v>0</v>
      </c>
      <c r="BL39" s="25">
        <v>0</v>
      </c>
      <c r="BM39" s="25">
        <v>0</v>
      </c>
      <c r="BN39" s="25">
        <v>0</v>
      </c>
      <c r="BO39" s="25">
        <v>0</v>
      </c>
      <c r="BP39" s="25">
        <v>0</v>
      </c>
      <c r="BQ39" s="25">
        <v>0</v>
      </c>
      <c r="BR39" s="25">
        <v>0</v>
      </c>
      <c r="BS39" s="25">
        <v>0</v>
      </c>
      <c r="BT39" s="25">
        <v>0</v>
      </c>
      <c r="BU39" s="25">
        <v>0</v>
      </c>
      <c r="BV39" s="25">
        <v>0</v>
      </c>
      <c r="BW39" s="25">
        <v>0</v>
      </c>
      <c r="BX39" s="25">
        <v>0</v>
      </c>
      <c r="BY39" s="25">
        <v>0</v>
      </c>
      <c r="BZ39" s="25">
        <v>0</v>
      </c>
      <c r="CA39" s="25">
        <v>0</v>
      </c>
      <c r="CB39" s="25">
        <v>0</v>
      </c>
      <c r="CC39" s="25">
        <v>0</v>
      </c>
      <c r="CD39" s="25">
        <v>0</v>
      </c>
      <c r="CE39" s="25">
        <v>0</v>
      </c>
      <c r="CF39" s="25">
        <v>0</v>
      </c>
      <c r="CG39" s="25">
        <v>0</v>
      </c>
      <c r="CH39" s="25">
        <v>0</v>
      </c>
      <c r="CI39" s="25">
        <v>0</v>
      </c>
      <c r="CJ39" s="25">
        <v>0</v>
      </c>
      <c r="CK39" s="25">
        <v>0</v>
      </c>
      <c r="CL39" s="25">
        <v>0</v>
      </c>
      <c r="CM39" s="25">
        <v>0</v>
      </c>
      <c r="CN39" s="25">
        <v>0</v>
      </c>
      <c r="CO39" s="25">
        <v>0</v>
      </c>
      <c r="CP39" s="25">
        <v>0</v>
      </c>
      <c r="CQ39" s="25">
        <v>0</v>
      </c>
      <c r="CR39" s="25">
        <v>0</v>
      </c>
      <c r="CS39" s="25">
        <v>0</v>
      </c>
      <c r="CT39" s="25">
        <v>0</v>
      </c>
      <c r="CU39" s="25">
        <v>0</v>
      </c>
      <c r="CV39" s="25">
        <v>0</v>
      </c>
      <c r="CW39" s="25">
        <v>0</v>
      </c>
      <c r="CX39" s="25">
        <v>0</v>
      </c>
      <c r="CY39" s="25">
        <v>0</v>
      </c>
      <c r="CZ39" s="25">
        <v>0</v>
      </c>
      <c r="DA39" s="25">
        <v>0</v>
      </c>
      <c r="DB39" s="25">
        <v>0</v>
      </c>
      <c r="DC39" s="25">
        <v>0</v>
      </c>
      <c r="DD39" s="25">
        <v>0</v>
      </c>
      <c r="DE39" s="25">
        <v>0</v>
      </c>
      <c r="DF39" s="25">
        <v>0</v>
      </c>
      <c r="DG39" s="25">
        <v>0</v>
      </c>
      <c r="DH39" s="25">
        <v>0</v>
      </c>
      <c r="DI39" s="25">
        <v>0</v>
      </c>
      <c r="DJ39" s="25">
        <v>0</v>
      </c>
    </row>
    <row r="40" spans="1:114" s="25" customFormat="1" x14ac:dyDescent="0.25">
      <c r="A40" s="25">
        <v>39</v>
      </c>
      <c r="B40" s="1" t="s">
        <v>194</v>
      </c>
      <c r="C40" s="26" t="s">
        <v>193</v>
      </c>
      <c r="D40" t="s">
        <v>1802</v>
      </c>
      <c r="E40" s="25">
        <v>9.1188900000000004</v>
      </c>
      <c r="F40" s="25" t="s">
        <v>1537</v>
      </c>
      <c r="G40" s="25" t="s">
        <v>13</v>
      </c>
      <c r="H40" s="25" t="s">
        <v>17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1</v>
      </c>
      <c r="P40" s="25">
        <v>0</v>
      </c>
      <c r="Q40" s="25">
        <v>0</v>
      </c>
      <c r="R40" s="25">
        <v>1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1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1</v>
      </c>
      <c r="AI40" s="25">
        <v>0</v>
      </c>
      <c r="AJ40" s="25">
        <v>0</v>
      </c>
      <c r="AK40" s="25">
        <v>0</v>
      </c>
      <c r="AL40" s="25">
        <v>0</v>
      </c>
      <c r="AM40" s="25">
        <v>0</v>
      </c>
      <c r="AN40" s="25">
        <v>0</v>
      </c>
      <c r="AO40" s="25">
        <v>1</v>
      </c>
      <c r="AP40" s="25">
        <v>0</v>
      </c>
      <c r="AQ40" s="25">
        <v>0</v>
      </c>
      <c r="AR40" s="25">
        <v>0</v>
      </c>
      <c r="AS40" s="25">
        <v>0</v>
      </c>
      <c r="AT40" s="25">
        <v>0</v>
      </c>
      <c r="AU40" s="25">
        <v>0</v>
      </c>
      <c r="AV40" s="25">
        <v>0</v>
      </c>
      <c r="AW40" s="25">
        <v>0</v>
      </c>
      <c r="AX40" s="25">
        <v>0</v>
      </c>
      <c r="AY40" s="25">
        <v>0</v>
      </c>
      <c r="AZ40" s="25">
        <v>0</v>
      </c>
      <c r="BA40" s="25">
        <v>0</v>
      </c>
      <c r="BB40" s="25">
        <v>0</v>
      </c>
      <c r="BC40" s="25">
        <v>0</v>
      </c>
      <c r="BD40" s="25">
        <v>1</v>
      </c>
      <c r="BE40" s="25">
        <v>0</v>
      </c>
      <c r="BF40" s="25">
        <v>0</v>
      </c>
      <c r="BG40" s="25">
        <v>0</v>
      </c>
      <c r="BH40" s="25">
        <v>0</v>
      </c>
      <c r="BI40" s="25">
        <v>0</v>
      </c>
      <c r="BJ40" s="25">
        <v>0</v>
      </c>
      <c r="BK40" s="25">
        <v>0</v>
      </c>
      <c r="BL40" s="25">
        <v>0</v>
      </c>
      <c r="BM40" s="25">
        <v>0</v>
      </c>
      <c r="BN40" s="25">
        <v>0</v>
      </c>
      <c r="BO40" s="25">
        <v>0</v>
      </c>
      <c r="BP40" s="25">
        <v>0</v>
      </c>
      <c r="BQ40" s="25">
        <v>0</v>
      </c>
      <c r="BR40" s="25">
        <v>0</v>
      </c>
      <c r="BS40" s="25">
        <v>0</v>
      </c>
      <c r="BT40" s="25">
        <v>0</v>
      </c>
      <c r="BU40" s="25">
        <v>0</v>
      </c>
      <c r="BV40" s="25">
        <v>0</v>
      </c>
      <c r="BW40" s="25">
        <v>0</v>
      </c>
      <c r="BX40" s="25">
        <v>0</v>
      </c>
      <c r="BY40" s="25">
        <v>0</v>
      </c>
      <c r="BZ40" s="25">
        <v>0</v>
      </c>
      <c r="CA40" s="25">
        <v>0</v>
      </c>
      <c r="CB40" s="25">
        <v>0</v>
      </c>
      <c r="CC40" s="25">
        <v>0</v>
      </c>
      <c r="CD40" s="25">
        <v>0</v>
      </c>
      <c r="CE40" s="25">
        <v>0</v>
      </c>
      <c r="CF40" s="25">
        <v>0</v>
      </c>
      <c r="CG40" s="25">
        <v>0</v>
      </c>
      <c r="CH40" s="25">
        <v>0</v>
      </c>
      <c r="CI40" s="25">
        <v>0</v>
      </c>
      <c r="CJ40" s="25">
        <v>0</v>
      </c>
      <c r="CK40" s="25">
        <v>0</v>
      </c>
      <c r="CL40" s="25">
        <v>0</v>
      </c>
      <c r="CM40" s="25">
        <v>0</v>
      </c>
      <c r="CN40" s="25">
        <v>0</v>
      </c>
      <c r="CO40" s="25">
        <v>0</v>
      </c>
      <c r="CP40" s="25">
        <v>0</v>
      </c>
      <c r="CQ40" s="25">
        <v>0</v>
      </c>
      <c r="CR40" s="25">
        <v>0</v>
      </c>
      <c r="CS40" s="25">
        <v>0</v>
      </c>
      <c r="CT40" s="25">
        <v>0</v>
      </c>
      <c r="CU40" s="25">
        <v>0</v>
      </c>
      <c r="CV40" s="25">
        <v>0</v>
      </c>
      <c r="CW40" s="25">
        <v>0</v>
      </c>
      <c r="CX40" s="25">
        <v>0</v>
      </c>
      <c r="CY40" s="25">
        <v>0</v>
      </c>
      <c r="CZ40" s="25">
        <v>0</v>
      </c>
      <c r="DA40" s="25">
        <v>0</v>
      </c>
      <c r="DB40" s="25">
        <v>0</v>
      </c>
      <c r="DC40" s="25">
        <v>0</v>
      </c>
      <c r="DD40" s="25">
        <v>0</v>
      </c>
      <c r="DE40" s="25">
        <v>0</v>
      </c>
      <c r="DF40" s="25">
        <v>0</v>
      </c>
      <c r="DG40" s="25">
        <v>0</v>
      </c>
      <c r="DH40" s="25">
        <v>0</v>
      </c>
      <c r="DI40" s="25">
        <v>0</v>
      </c>
      <c r="DJ40" s="25">
        <v>0</v>
      </c>
    </row>
    <row r="41" spans="1:114" s="25" customFormat="1" x14ac:dyDescent="0.25">
      <c r="A41" s="25">
        <v>40</v>
      </c>
      <c r="B41" s="1" t="s">
        <v>194</v>
      </c>
      <c r="C41" s="26" t="s">
        <v>193</v>
      </c>
      <c r="D41" t="s">
        <v>1802</v>
      </c>
      <c r="E41" s="25">
        <v>9.1188900000000004</v>
      </c>
      <c r="F41" s="25" t="s">
        <v>1537</v>
      </c>
      <c r="G41" s="25" t="s">
        <v>13</v>
      </c>
      <c r="H41" s="25" t="s">
        <v>16</v>
      </c>
      <c r="I41" s="25">
        <v>0</v>
      </c>
      <c r="J41" s="25">
        <v>0</v>
      </c>
      <c r="K41" s="25">
        <v>0</v>
      </c>
      <c r="L41" s="25">
        <v>0</v>
      </c>
      <c r="M41" s="25">
        <v>1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1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5">
        <v>0</v>
      </c>
      <c r="AO41" s="25">
        <v>1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0</v>
      </c>
      <c r="AZ41" s="25">
        <v>0</v>
      </c>
      <c r="BA41" s="25">
        <v>0</v>
      </c>
      <c r="BB41" s="25">
        <v>0</v>
      </c>
      <c r="BC41" s="25">
        <v>0</v>
      </c>
      <c r="BD41" s="25">
        <v>1</v>
      </c>
      <c r="BE41" s="25">
        <v>1</v>
      </c>
      <c r="BF41" s="25">
        <v>0</v>
      </c>
      <c r="BG41" s="25">
        <v>0</v>
      </c>
      <c r="BH41" s="25">
        <v>0</v>
      </c>
      <c r="BI41" s="25">
        <v>0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0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0</v>
      </c>
      <c r="BY41" s="25">
        <v>0</v>
      </c>
      <c r="BZ41" s="25">
        <v>0</v>
      </c>
      <c r="CA41" s="25">
        <v>0</v>
      </c>
      <c r="CB41" s="25">
        <v>0</v>
      </c>
      <c r="CC41" s="25">
        <v>0</v>
      </c>
      <c r="CD41" s="25">
        <v>1</v>
      </c>
      <c r="CE41" s="25">
        <v>0</v>
      </c>
      <c r="CF41" s="25">
        <v>1</v>
      </c>
      <c r="CG41" s="25">
        <v>0</v>
      </c>
      <c r="CH41" s="25">
        <v>0</v>
      </c>
      <c r="CI41" s="25">
        <v>0</v>
      </c>
      <c r="CJ41" s="25">
        <v>0</v>
      </c>
      <c r="CK41" s="25">
        <v>1</v>
      </c>
      <c r="CL41" s="25">
        <v>0</v>
      </c>
      <c r="CM41" s="25">
        <v>0</v>
      </c>
      <c r="CN41" s="25">
        <v>0</v>
      </c>
      <c r="CO41" s="25">
        <v>0</v>
      </c>
      <c r="CP41" s="25">
        <v>0</v>
      </c>
      <c r="CQ41" s="25">
        <v>0</v>
      </c>
      <c r="CR41" s="25">
        <v>0</v>
      </c>
      <c r="CS41" s="25">
        <v>0</v>
      </c>
      <c r="CT41" s="25">
        <v>1</v>
      </c>
      <c r="CU41" s="25">
        <v>1</v>
      </c>
      <c r="CV41" s="25">
        <v>0</v>
      </c>
      <c r="CW41" s="25">
        <v>0</v>
      </c>
      <c r="CX41" s="25">
        <v>0</v>
      </c>
      <c r="CY41" s="25">
        <v>0</v>
      </c>
      <c r="CZ41" s="25">
        <v>0</v>
      </c>
      <c r="DA41" s="25">
        <v>0</v>
      </c>
      <c r="DB41" s="25">
        <v>0</v>
      </c>
      <c r="DC41" s="25">
        <v>0</v>
      </c>
      <c r="DD41" s="25">
        <v>0</v>
      </c>
      <c r="DE41" s="25">
        <v>0</v>
      </c>
      <c r="DF41" s="25">
        <v>0</v>
      </c>
      <c r="DG41" s="25">
        <v>0</v>
      </c>
      <c r="DH41" s="25">
        <v>0</v>
      </c>
      <c r="DI41" s="25">
        <v>1</v>
      </c>
      <c r="DJ41" s="25">
        <v>0</v>
      </c>
    </row>
    <row r="42" spans="1:114" s="25" customFormat="1" x14ac:dyDescent="0.25">
      <c r="A42" s="25">
        <v>41</v>
      </c>
      <c r="B42" t="s">
        <v>194</v>
      </c>
      <c r="C42" s="26" t="s">
        <v>1079</v>
      </c>
      <c r="D42" t="s">
        <v>1802</v>
      </c>
      <c r="E42" s="25">
        <v>9.0982099999999999</v>
      </c>
      <c r="F42" s="25" t="s">
        <v>1537</v>
      </c>
      <c r="G42" s="25" t="s">
        <v>14</v>
      </c>
      <c r="H42" s="25" t="s">
        <v>18</v>
      </c>
      <c r="I42" s="25">
        <v>0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0</v>
      </c>
      <c r="W42" s="25">
        <v>0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  <c r="AE42" s="25">
        <v>0</v>
      </c>
      <c r="AF42" s="25">
        <v>0</v>
      </c>
      <c r="AG42" s="25">
        <v>0</v>
      </c>
      <c r="AH42" s="25">
        <v>1</v>
      </c>
      <c r="AI42" s="25">
        <v>0</v>
      </c>
      <c r="AJ42" s="25">
        <v>0</v>
      </c>
      <c r="AK42" s="25">
        <v>0</v>
      </c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0</v>
      </c>
      <c r="AR42" s="25">
        <v>0</v>
      </c>
      <c r="AS42" s="25">
        <v>0</v>
      </c>
      <c r="AT42" s="25">
        <v>0</v>
      </c>
      <c r="AU42" s="25">
        <v>0</v>
      </c>
      <c r="AV42" s="25">
        <v>0</v>
      </c>
      <c r="AW42" s="25">
        <v>0</v>
      </c>
      <c r="AX42" s="25">
        <v>0</v>
      </c>
      <c r="AY42" s="25">
        <v>0</v>
      </c>
      <c r="AZ42" s="25">
        <v>0</v>
      </c>
      <c r="BA42" s="25">
        <v>0</v>
      </c>
      <c r="BB42" s="25">
        <v>0</v>
      </c>
      <c r="BC42" s="25">
        <v>0</v>
      </c>
      <c r="BD42" s="25">
        <v>0</v>
      </c>
      <c r="BE42" s="25">
        <v>0</v>
      </c>
      <c r="BF42" s="25">
        <v>0</v>
      </c>
      <c r="BG42" s="25">
        <v>0</v>
      </c>
      <c r="BH42" s="25">
        <v>0</v>
      </c>
      <c r="BI42" s="25">
        <v>0</v>
      </c>
      <c r="BJ42" s="25">
        <v>0</v>
      </c>
      <c r="BK42" s="25">
        <v>0</v>
      </c>
      <c r="BL42" s="25">
        <v>0</v>
      </c>
      <c r="BM42" s="25">
        <v>0</v>
      </c>
      <c r="BN42" s="25">
        <v>0</v>
      </c>
      <c r="BO42" s="25">
        <v>0</v>
      </c>
      <c r="BP42" s="25">
        <v>0</v>
      </c>
      <c r="BQ42" s="25">
        <v>0</v>
      </c>
      <c r="BR42" s="25">
        <v>0</v>
      </c>
      <c r="BS42" s="25">
        <v>0</v>
      </c>
      <c r="BT42" s="25">
        <v>0</v>
      </c>
      <c r="BU42" s="25">
        <v>0</v>
      </c>
      <c r="BV42" s="25">
        <v>0</v>
      </c>
      <c r="BW42" s="25">
        <v>0</v>
      </c>
      <c r="BX42" s="25">
        <v>0</v>
      </c>
      <c r="BY42" s="25">
        <v>0</v>
      </c>
      <c r="BZ42" s="25">
        <v>0</v>
      </c>
      <c r="CA42" s="25">
        <v>0</v>
      </c>
      <c r="CB42" s="25">
        <v>0</v>
      </c>
      <c r="CC42" s="25">
        <v>0</v>
      </c>
      <c r="CD42" s="25">
        <v>0</v>
      </c>
      <c r="CE42" s="25">
        <v>0</v>
      </c>
      <c r="CF42" s="25">
        <v>0</v>
      </c>
      <c r="CG42" s="25">
        <v>0</v>
      </c>
      <c r="CH42" s="25">
        <v>0</v>
      </c>
      <c r="CI42" s="25">
        <v>0</v>
      </c>
      <c r="CJ42" s="25">
        <v>0</v>
      </c>
      <c r="CK42" s="25">
        <v>0</v>
      </c>
      <c r="CL42" s="25">
        <v>0</v>
      </c>
      <c r="CM42" s="25">
        <v>0</v>
      </c>
      <c r="CN42" s="25">
        <v>0</v>
      </c>
      <c r="CO42" s="25">
        <v>0</v>
      </c>
      <c r="CP42" s="25">
        <v>0</v>
      </c>
      <c r="CQ42" s="25">
        <v>0</v>
      </c>
      <c r="CR42" s="25">
        <v>0</v>
      </c>
      <c r="CS42" s="25">
        <v>0</v>
      </c>
      <c r="CT42" s="25">
        <v>0</v>
      </c>
      <c r="CU42" s="25">
        <v>0</v>
      </c>
      <c r="CV42" s="25">
        <v>0</v>
      </c>
      <c r="CW42" s="25">
        <v>0</v>
      </c>
      <c r="CX42" s="25">
        <v>0</v>
      </c>
      <c r="CY42" s="25">
        <v>0</v>
      </c>
      <c r="CZ42" s="25">
        <v>0</v>
      </c>
      <c r="DA42" s="25">
        <v>0</v>
      </c>
      <c r="DB42" s="25">
        <v>0</v>
      </c>
      <c r="DC42" s="25">
        <v>0</v>
      </c>
      <c r="DD42" s="25">
        <v>0</v>
      </c>
      <c r="DE42" s="25">
        <v>0</v>
      </c>
      <c r="DF42" s="25">
        <v>0</v>
      </c>
      <c r="DG42" s="25">
        <v>0</v>
      </c>
      <c r="DH42" s="25">
        <v>0</v>
      </c>
      <c r="DI42" s="25">
        <v>0</v>
      </c>
      <c r="DJ42" s="25">
        <v>0</v>
      </c>
    </row>
    <row r="43" spans="1:114" s="25" customFormat="1" x14ac:dyDescent="0.25">
      <c r="A43" s="25">
        <v>42</v>
      </c>
      <c r="B43" s="1" t="s">
        <v>194</v>
      </c>
      <c r="C43" s="26" t="s">
        <v>407</v>
      </c>
      <c r="D43" t="s">
        <v>1802</v>
      </c>
      <c r="E43" s="25">
        <v>9.4312299999999993</v>
      </c>
      <c r="F43" s="25" t="s">
        <v>1537</v>
      </c>
      <c r="G43" s="25" t="s">
        <v>15</v>
      </c>
      <c r="H43" s="25" t="s">
        <v>16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5">
        <v>0</v>
      </c>
      <c r="AG43" s="25">
        <v>0</v>
      </c>
      <c r="AH43" s="25">
        <v>0</v>
      </c>
      <c r="AI43" s="25">
        <v>0</v>
      </c>
      <c r="AJ43" s="25">
        <v>0</v>
      </c>
      <c r="AK43" s="25">
        <v>0</v>
      </c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>
        <v>0</v>
      </c>
      <c r="AV43" s="25">
        <v>0</v>
      </c>
      <c r="AW43" s="25">
        <v>0</v>
      </c>
      <c r="AX43" s="25">
        <v>0</v>
      </c>
      <c r="AY43" s="25">
        <v>0</v>
      </c>
      <c r="AZ43" s="25">
        <v>0</v>
      </c>
      <c r="BA43" s="25">
        <v>0</v>
      </c>
      <c r="BB43" s="25">
        <v>0</v>
      </c>
      <c r="BC43" s="25">
        <v>0</v>
      </c>
      <c r="BD43" s="25">
        <v>1</v>
      </c>
      <c r="BE43" s="25">
        <v>0</v>
      </c>
      <c r="BF43" s="25">
        <v>0</v>
      </c>
      <c r="BG43" s="25">
        <v>0</v>
      </c>
      <c r="BH43" s="25">
        <v>0</v>
      </c>
      <c r="BI43" s="25">
        <v>0</v>
      </c>
      <c r="BJ43" s="25">
        <v>0</v>
      </c>
      <c r="BK43" s="25">
        <v>0</v>
      </c>
      <c r="BL43" s="25">
        <v>0</v>
      </c>
      <c r="BM43" s="25">
        <v>0</v>
      </c>
      <c r="BN43" s="25">
        <v>0</v>
      </c>
      <c r="BO43" s="25">
        <v>0</v>
      </c>
      <c r="BP43" s="25">
        <v>0</v>
      </c>
      <c r="BQ43" s="25">
        <v>0</v>
      </c>
      <c r="BR43" s="25">
        <v>0</v>
      </c>
      <c r="BS43" s="25">
        <v>0</v>
      </c>
      <c r="BT43" s="25">
        <v>0</v>
      </c>
      <c r="BU43" s="25">
        <v>0</v>
      </c>
      <c r="BV43" s="25">
        <v>0</v>
      </c>
      <c r="BW43" s="25">
        <v>0</v>
      </c>
      <c r="BX43" s="25">
        <v>0</v>
      </c>
      <c r="BY43" s="25">
        <v>0</v>
      </c>
      <c r="BZ43" s="25">
        <v>0</v>
      </c>
      <c r="CA43" s="25">
        <v>0</v>
      </c>
      <c r="CB43" s="25">
        <v>0</v>
      </c>
      <c r="CC43" s="25">
        <v>0</v>
      </c>
      <c r="CD43" s="25">
        <v>0</v>
      </c>
      <c r="CE43" s="25">
        <v>0</v>
      </c>
      <c r="CF43" s="25">
        <v>0</v>
      </c>
      <c r="CG43" s="25">
        <v>0</v>
      </c>
      <c r="CH43" s="25">
        <v>0</v>
      </c>
      <c r="CI43" s="25">
        <v>0</v>
      </c>
      <c r="CJ43" s="25">
        <v>0</v>
      </c>
      <c r="CK43" s="25">
        <v>0</v>
      </c>
      <c r="CL43" s="25">
        <v>0</v>
      </c>
      <c r="CM43" s="25">
        <v>0</v>
      </c>
      <c r="CN43" s="25">
        <v>0</v>
      </c>
      <c r="CO43" s="25">
        <v>0</v>
      </c>
      <c r="CP43" s="25">
        <v>0</v>
      </c>
      <c r="CQ43" s="25">
        <v>0</v>
      </c>
      <c r="CR43" s="25">
        <v>0</v>
      </c>
      <c r="CS43" s="25">
        <v>0</v>
      </c>
      <c r="CT43" s="25">
        <v>0</v>
      </c>
      <c r="CU43" s="25">
        <v>0</v>
      </c>
      <c r="CV43" s="25">
        <v>0</v>
      </c>
      <c r="CW43" s="25">
        <v>0</v>
      </c>
      <c r="CX43" s="25">
        <v>0</v>
      </c>
      <c r="CY43" s="25">
        <v>0</v>
      </c>
      <c r="CZ43" s="25">
        <v>0</v>
      </c>
      <c r="DA43" s="25">
        <v>0</v>
      </c>
      <c r="DB43" s="25">
        <v>0</v>
      </c>
      <c r="DC43" s="25">
        <v>0</v>
      </c>
      <c r="DD43" s="25">
        <v>0</v>
      </c>
      <c r="DE43" s="25">
        <v>0</v>
      </c>
      <c r="DF43" s="25">
        <v>0</v>
      </c>
      <c r="DG43" s="25">
        <v>0</v>
      </c>
      <c r="DH43" s="25">
        <v>0</v>
      </c>
      <c r="DI43" s="25">
        <v>0</v>
      </c>
      <c r="DJ43" s="25">
        <v>0</v>
      </c>
    </row>
    <row r="44" spans="1:114" s="25" customFormat="1" x14ac:dyDescent="0.25">
      <c r="A44" s="25">
        <v>43</v>
      </c>
      <c r="B44" s="1" t="s">
        <v>152</v>
      </c>
      <c r="C44" s="26" t="s">
        <v>150</v>
      </c>
      <c r="D44" t="s">
        <v>1802</v>
      </c>
      <c r="E44" s="25">
        <v>9.0821900000000007</v>
      </c>
      <c r="F44" s="25" t="s">
        <v>1537</v>
      </c>
      <c r="G44" s="25" t="s">
        <v>15</v>
      </c>
      <c r="H44" s="25" t="s">
        <v>17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1</v>
      </c>
      <c r="AB44" s="25">
        <v>0</v>
      </c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1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>
        <v>0</v>
      </c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>
        <v>0</v>
      </c>
      <c r="CA44" s="25">
        <v>0</v>
      </c>
      <c r="CB44" s="25">
        <v>0</v>
      </c>
      <c r="CC44" s="25">
        <v>0</v>
      </c>
      <c r="CD44" s="25">
        <v>0</v>
      </c>
      <c r="CE44" s="25">
        <v>0</v>
      </c>
      <c r="CF44" s="25">
        <v>0</v>
      </c>
      <c r="CG44" s="25">
        <v>0</v>
      </c>
      <c r="CH44" s="25">
        <v>0</v>
      </c>
      <c r="CI44" s="25">
        <v>0</v>
      </c>
      <c r="CJ44" s="25">
        <v>0</v>
      </c>
      <c r="CK44" s="25">
        <v>0</v>
      </c>
      <c r="CL44" s="25">
        <v>0</v>
      </c>
      <c r="CM44" s="25">
        <v>0</v>
      </c>
      <c r="CN44" s="25">
        <v>1</v>
      </c>
      <c r="CO44" s="25">
        <v>0</v>
      </c>
      <c r="CP44" s="25">
        <v>0</v>
      </c>
      <c r="CQ44" s="25">
        <v>0</v>
      </c>
      <c r="CR44" s="25">
        <v>0</v>
      </c>
      <c r="CS44" s="25">
        <v>0</v>
      </c>
      <c r="CT44" s="25">
        <v>0</v>
      </c>
      <c r="CU44" s="25">
        <v>0</v>
      </c>
      <c r="CV44" s="25">
        <v>0</v>
      </c>
      <c r="CW44" s="25">
        <v>0</v>
      </c>
      <c r="CX44" s="25">
        <v>0</v>
      </c>
      <c r="CY44" s="25">
        <v>0</v>
      </c>
      <c r="CZ44" s="25">
        <v>0</v>
      </c>
      <c r="DA44" s="25">
        <v>0</v>
      </c>
      <c r="DB44" s="25">
        <v>1</v>
      </c>
      <c r="DC44" s="25">
        <v>0</v>
      </c>
      <c r="DD44" s="25">
        <v>0</v>
      </c>
      <c r="DE44" s="25">
        <v>0</v>
      </c>
      <c r="DF44" s="25">
        <v>0</v>
      </c>
      <c r="DG44" s="25">
        <v>0</v>
      </c>
      <c r="DH44" s="25">
        <v>0</v>
      </c>
      <c r="DI44" s="25">
        <v>0</v>
      </c>
      <c r="DJ44" s="25">
        <v>0</v>
      </c>
    </row>
    <row r="45" spans="1:114" s="25" customFormat="1" x14ac:dyDescent="0.25">
      <c r="A45" s="25">
        <v>44</v>
      </c>
      <c r="B45" s="1" t="s">
        <v>152</v>
      </c>
      <c r="C45" s="26" t="s">
        <v>150</v>
      </c>
      <c r="D45" t="s">
        <v>1802</v>
      </c>
      <c r="E45" s="25">
        <v>9.0821900000000007</v>
      </c>
      <c r="F45" s="25" t="s">
        <v>1537</v>
      </c>
      <c r="G45" s="25" t="s">
        <v>14</v>
      </c>
      <c r="H45" s="25" t="s">
        <v>17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1</v>
      </c>
      <c r="W45" s="25">
        <v>0</v>
      </c>
      <c r="X45" s="25">
        <v>0</v>
      </c>
      <c r="Y45" s="25">
        <v>0</v>
      </c>
      <c r="Z45" s="25">
        <v>1</v>
      </c>
      <c r="AA45" s="25">
        <v>1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1</v>
      </c>
      <c r="AI45" s="25">
        <v>0</v>
      </c>
      <c r="AJ45" s="25">
        <v>1</v>
      </c>
      <c r="AK45" s="25">
        <v>0</v>
      </c>
      <c r="AL45" s="25">
        <v>0</v>
      </c>
      <c r="AM45" s="25">
        <v>0</v>
      </c>
      <c r="AN45" s="25">
        <v>1</v>
      </c>
      <c r="AO45" s="25">
        <v>1</v>
      </c>
      <c r="AP45" s="25">
        <v>0</v>
      </c>
      <c r="AQ45" s="25">
        <v>0</v>
      </c>
      <c r="AR45" s="25">
        <v>0</v>
      </c>
      <c r="AS45" s="25">
        <v>1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  <c r="BP45" s="25">
        <v>1</v>
      </c>
      <c r="BQ45" s="25">
        <v>0</v>
      </c>
      <c r="BR45" s="25">
        <v>0</v>
      </c>
      <c r="BS45" s="25">
        <v>0</v>
      </c>
      <c r="BT45" s="25">
        <v>0</v>
      </c>
      <c r="BU45" s="25">
        <v>0</v>
      </c>
      <c r="BV45" s="25">
        <v>0</v>
      </c>
      <c r="BW45" s="25">
        <v>0</v>
      </c>
      <c r="BX45" s="25">
        <v>0</v>
      </c>
      <c r="BY45" s="25">
        <v>0</v>
      </c>
      <c r="BZ45" s="25">
        <v>0</v>
      </c>
      <c r="CA45" s="25">
        <v>0</v>
      </c>
      <c r="CB45" s="25">
        <v>0</v>
      </c>
      <c r="CC45" s="25">
        <v>0</v>
      </c>
      <c r="CD45" s="25">
        <v>0</v>
      </c>
      <c r="CE45" s="25">
        <v>0</v>
      </c>
      <c r="CF45" s="25">
        <v>1</v>
      </c>
      <c r="CG45" s="25">
        <v>0</v>
      </c>
      <c r="CH45" s="25">
        <v>0</v>
      </c>
      <c r="CI45" s="25">
        <v>0</v>
      </c>
      <c r="CJ45" s="25">
        <v>0</v>
      </c>
      <c r="CK45" s="25">
        <v>0</v>
      </c>
      <c r="CL45" s="25">
        <v>0</v>
      </c>
      <c r="CM45" s="25">
        <v>0</v>
      </c>
      <c r="CN45" s="25">
        <v>1</v>
      </c>
      <c r="CO45" s="25">
        <v>0</v>
      </c>
      <c r="CP45" s="25">
        <v>0</v>
      </c>
      <c r="CQ45" s="25">
        <v>0</v>
      </c>
      <c r="CR45" s="25">
        <v>0</v>
      </c>
      <c r="CS45" s="25">
        <v>0</v>
      </c>
      <c r="CT45" s="25">
        <v>0</v>
      </c>
      <c r="CU45" s="25">
        <v>0</v>
      </c>
      <c r="CV45" s="25">
        <v>0</v>
      </c>
      <c r="CW45" s="25">
        <v>0</v>
      </c>
      <c r="CX45" s="25">
        <v>0</v>
      </c>
      <c r="CY45" s="25">
        <v>1</v>
      </c>
      <c r="CZ45" s="25">
        <v>0</v>
      </c>
      <c r="DA45" s="25">
        <v>0</v>
      </c>
      <c r="DB45" s="25">
        <v>0</v>
      </c>
      <c r="DC45" s="25">
        <v>0</v>
      </c>
      <c r="DD45" s="25">
        <v>0</v>
      </c>
      <c r="DE45" s="25">
        <v>0</v>
      </c>
      <c r="DF45" s="25">
        <v>0</v>
      </c>
      <c r="DG45" s="25">
        <v>0</v>
      </c>
      <c r="DH45" s="25">
        <v>0</v>
      </c>
      <c r="DI45" s="25">
        <v>0</v>
      </c>
      <c r="DJ45" s="25">
        <v>0</v>
      </c>
    </row>
    <row r="46" spans="1:114" s="25" customFormat="1" x14ac:dyDescent="0.25">
      <c r="A46" s="25">
        <v>45</v>
      </c>
      <c r="B46" s="1" t="s">
        <v>152</v>
      </c>
      <c r="C46" s="26" t="s">
        <v>375</v>
      </c>
      <c r="D46" t="s">
        <v>1802</v>
      </c>
      <c r="E46" s="25">
        <v>9.1339100000000002</v>
      </c>
      <c r="F46" s="25" t="s">
        <v>1537</v>
      </c>
      <c r="G46" s="25" t="s">
        <v>15</v>
      </c>
      <c r="H46" s="25" t="s">
        <v>16</v>
      </c>
      <c r="I46" s="25">
        <v>0</v>
      </c>
      <c r="J46" s="25">
        <v>0</v>
      </c>
      <c r="K46" s="25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1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  <c r="AD46" s="25">
        <v>0</v>
      </c>
      <c r="AE46" s="25">
        <v>0</v>
      </c>
      <c r="AF46" s="25">
        <v>0</v>
      </c>
      <c r="AG46" s="25">
        <v>0</v>
      </c>
      <c r="AH46" s="25">
        <v>0</v>
      </c>
      <c r="AI46" s="25">
        <v>0</v>
      </c>
      <c r="AJ46" s="25">
        <v>0</v>
      </c>
      <c r="AK46" s="25">
        <v>0</v>
      </c>
      <c r="AL46" s="25">
        <v>0</v>
      </c>
      <c r="AM46" s="25">
        <v>0</v>
      </c>
      <c r="AN46" s="25">
        <v>0</v>
      </c>
      <c r="AO46" s="25">
        <v>0</v>
      </c>
      <c r="AP46" s="25">
        <v>0</v>
      </c>
      <c r="AQ46" s="25">
        <v>0</v>
      </c>
      <c r="AR46" s="25">
        <v>0</v>
      </c>
      <c r="AS46" s="25">
        <v>0</v>
      </c>
      <c r="AT46" s="25">
        <v>0</v>
      </c>
      <c r="AU46" s="25">
        <v>0</v>
      </c>
      <c r="AV46" s="25">
        <v>0</v>
      </c>
      <c r="AW46" s="25">
        <v>0</v>
      </c>
      <c r="AX46" s="25">
        <v>0</v>
      </c>
      <c r="AY46" s="25">
        <v>0</v>
      </c>
      <c r="AZ46" s="25">
        <v>0</v>
      </c>
      <c r="BA46" s="25">
        <v>0</v>
      </c>
      <c r="BB46" s="25">
        <v>0</v>
      </c>
      <c r="BC46" s="25">
        <v>0</v>
      </c>
      <c r="BD46" s="25">
        <v>0</v>
      </c>
      <c r="BE46" s="25">
        <v>0</v>
      </c>
      <c r="BF46" s="25">
        <v>0</v>
      </c>
      <c r="BG46" s="25">
        <v>0</v>
      </c>
      <c r="BH46" s="25">
        <v>0</v>
      </c>
      <c r="BI46" s="25">
        <v>0</v>
      </c>
      <c r="BJ46" s="25">
        <v>0</v>
      </c>
      <c r="BK46" s="25">
        <v>0</v>
      </c>
      <c r="BL46" s="25">
        <v>0</v>
      </c>
      <c r="BM46" s="25">
        <v>0</v>
      </c>
      <c r="BN46" s="25">
        <v>0</v>
      </c>
      <c r="BO46" s="25">
        <v>0</v>
      </c>
      <c r="BP46" s="25">
        <v>0</v>
      </c>
      <c r="BQ46" s="25">
        <v>0</v>
      </c>
      <c r="BR46" s="25">
        <v>0</v>
      </c>
      <c r="BS46" s="25">
        <v>0</v>
      </c>
      <c r="BT46" s="25">
        <v>0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25">
        <v>0</v>
      </c>
      <c r="CA46" s="25">
        <v>0</v>
      </c>
      <c r="CB46" s="25">
        <v>0</v>
      </c>
      <c r="CC46" s="25">
        <v>0</v>
      </c>
      <c r="CD46" s="25">
        <v>0</v>
      </c>
      <c r="CE46" s="25">
        <v>0</v>
      </c>
      <c r="CF46" s="25">
        <v>0</v>
      </c>
      <c r="CG46" s="25">
        <v>0</v>
      </c>
      <c r="CH46" s="25">
        <v>0</v>
      </c>
      <c r="CI46" s="25">
        <v>0</v>
      </c>
      <c r="CJ46" s="25">
        <v>0</v>
      </c>
      <c r="CK46" s="25">
        <v>0</v>
      </c>
      <c r="CL46" s="25">
        <v>0</v>
      </c>
      <c r="CM46" s="25">
        <v>0</v>
      </c>
      <c r="CN46" s="25">
        <v>0</v>
      </c>
      <c r="CO46" s="25">
        <v>0</v>
      </c>
      <c r="CP46" s="25">
        <v>0</v>
      </c>
      <c r="CQ46" s="25">
        <v>0</v>
      </c>
      <c r="CR46" s="25">
        <v>0</v>
      </c>
      <c r="CS46" s="25">
        <v>0</v>
      </c>
      <c r="CT46" s="25">
        <v>0</v>
      </c>
      <c r="CU46" s="25">
        <v>0</v>
      </c>
      <c r="CV46" s="25">
        <v>0</v>
      </c>
      <c r="CW46" s="25">
        <v>0</v>
      </c>
      <c r="CX46" s="25">
        <v>0</v>
      </c>
      <c r="CY46" s="25">
        <v>0</v>
      </c>
      <c r="CZ46" s="25">
        <v>0</v>
      </c>
      <c r="DA46" s="25">
        <v>0</v>
      </c>
      <c r="DB46" s="25">
        <v>0</v>
      </c>
      <c r="DC46" s="25">
        <v>0</v>
      </c>
      <c r="DD46" s="25">
        <v>0</v>
      </c>
      <c r="DE46" s="25">
        <v>0</v>
      </c>
      <c r="DF46" s="25">
        <v>0</v>
      </c>
      <c r="DG46" s="25">
        <v>0</v>
      </c>
      <c r="DH46" s="25">
        <v>0</v>
      </c>
      <c r="DI46" s="25">
        <v>0</v>
      </c>
      <c r="DJ46" s="25">
        <v>0</v>
      </c>
    </row>
    <row r="47" spans="1:114" s="25" customFormat="1" x14ac:dyDescent="0.25">
      <c r="A47" s="25">
        <v>46</v>
      </c>
      <c r="B47" s="1" t="s">
        <v>152</v>
      </c>
      <c r="C47" s="26" t="s">
        <v>375</v>
      </c>
      <c r="D47" t="s">
        <v>1802</v>
      </c>
      <c r="E47" s="25">
        <v>8.5446100000000005</v>
      </c>
      <c r="F47" s="25" t="s">
        <v>1537</v>
      </c>
      <c r="G47" s="25" t="s">
        <v>15</v>
      </c>
      <c r="H47" s="25" t="s">
        <v>17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1</v>
      </c>
      <c r="Z47" s="25">
        <v>0</v>
      </c>
      <c r="AA47" s="25">
        <v>0</v>
      </c>
      <c r="AB47" s="25">
        <v>0</v>
      </c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>
        <v>0</v>
      </c>
      <c r="CA47" s="25">
        <v>0</v>
      </c>
      <c r="CB47" s="25">
        <v>0</v>
      </c>
      <c r="CC47" s="25">
        <v>0</v>
      </c>
      <c r="CD47" s="25">
        <v>0</v>
      </c>
      <c r="CE47" s="25">
        <v>0</v>
      </c>
      <c r="CF47" s="25">
        <v>0</v>
      </c>
      <c r="CG47" s="25">
        <v>0</v>
      </c>
      <c r="CH47" s="25">
        <v>0</v>
      </c>
      <c r="CI47" s="25">
        <v>0</v>
      </c>
      <c r="CJ47" s="25">
        <v>0</v>
      </c>
      <c r="CK47" s="25">
        <v>0</v>
      </c>
      <c r="CL47" s="25">
        <v>0</v>
      </c>
      <c r="CM47" s="25">
        <v>0</v>
      </c>
      <c r="CN47" s="25">
        <v>0</v>
      </c>
      <c r="CO47" s="25">
        <v>0</v>
      </c>
      <c r="CP47" s="25">
        <v>0</v>
      </c>
      <c r="CQ47" s="25">
        <v>0</v>
      </c>
      <c r="CR47" s="25">
        <v>0</v>
      </c>
      <c r="CS47" s="25">
        <v>0</v>
      </c>
      <c r="CT47" s="25">
        <v>0</v>
      </c>
      <c r="CU47" s="25">
        <v>0</v>
      </c>
      <c r="CV47" s="25">
        <v>0</v>
      </c>
      <c r="CW47" s="25">
        <v>0</v>
      </c>
      <c r="CX47" s="25">
        <v>0</v>
      </c>
      <c r="CY47" s="25">
        <v>0</v>
      </c>
      <c r="CZ47" s="25">
        <v>0</v>
      </c>
      <c r="DA47" s="25">
        <v>0</v>
      </c>
      <c r="DB47" s="25">
        <v>0</v>
      </c>
      <c r="DC47" s="25">
        <v>0</v>
      </c>
      <c r="DD47" s="25">
        <v>0</v>
      </c>
      <c r="DE47" s="25">
        <v>0</v>
      </c>
      <c r="DF47" s="25">
        <v>0</v>
      </c>
      <c r="DG47" s="25">
        <v>0</v>
      </c>
      <c r="DH47" s="25">
        <v>0</v>
      </c>
      <c r="DI47" s="25">
        <v>0</v>
      </c>
      <c r="DJ47" s="25">
        <v>0</v>
      </c>
    </row>
    <row r="48" spans="1:114" s="25" customFormat="1" x14ac:dyDescent="0.25">
      <c r="A48" s="25">
        <v>47</v>
      </c>
      <c r="B48" s="1" t="s">
        <v>152</v>
      </c>
      <c r="C48" s="26" t="s">
        <v>375</v>
      </c>
      <c r="D48" t="s">
        <v>1802</v>
      </c>
      <c r="E48" s="25">
        <v>8.5446100000000005</v>
      </c>
      <c r="F48" s="25" t="s">
        <v>1537</v>
      </c>
      <c r="G48" s="25" t="s">
        <v>14</v>
      </c>
      <c r="H48" s="25" t="s">
        <v>17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1</v>
      </c>
      <c r="AB48" s="25">
        <v>0</v>
      </c>
      <c r="AC48" s="25">
        <v>0</v>
      </c>
      <c r="AD48" s="25">
        <v>0</v>
      </c>
      <c r="AE48" s="25">
        <v>0</v>
      </c>
      <c r="AF48" s="25">
        <v>1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1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  <c r="BP48" s="25">
        <v>0</v>
      </c>
      <c r="BQ48" s="25">
        <v>0</v>
      </c>
      <c r="BR48" s="25">
        <v>0</v>
      </c>
      <c r="BS48" s="25">
        <v>0</v>
      </c>
      <c r="BT48" s="25">
        <v>0</v>
      </c>
      <c r="BU48" s="25">
        <v>0</v>
      </c>
      <c r="BV48" s="25">
        <v>0</v>
      </c>
      <c r="BW48" s="25">
        <v>1</v>
      </c>
      <c r="BX48" s="25">
        <v>0</v>
      </c>
      <c r="BY48" s="25">
        <v>0</v>
      </c>
      <c r="BZ48" s="25">
        <v>0</v>
      </c>
      <c r="CA48" s="25">
        <v>0</v>
      </c>
      <c r="CB48" s="25">
        <v>0</v>
      </c>
      <c r="CC48" s="25">
        <v>0</v>
      </c>
      <c r="CD48" s="25">
        <v>1</v>
      </c>
      <c r="CE48" s="25">
        <v>0</v>
      </c>
      <c r="CF48" s="25">
        <v>0</v>
      </c>
      <c r="CG48" s="25">
        <v>0</v>
      </c>
      <c r="CH48" s="25">
        <v>0</v>
      </c>
      <c r="CI48" s="25">
        <v>0</v>
      </c>
      <c r="CJ48" s="25">
        <v>0</v>
      </c>
      <c r="CK48" s="25">
        <v>0</v>
      </c>
      <c r="CL48" s="25">
        <v>0</v>
      </c>
      <c r="CM48" s="25">
        <v>0</v>
      </c>
      <c r="CN48" s="25">
        <v>1</v>
      </c>
      <c r="CO48" s="25">
        <v>0</v>
      </c>
      <c r="CP48" s="25">
        <v>0</v>
      </c>
      <c r="CQ48" s="25">
        <v>0</v>
      </c>
      <c r="CR48" s="25">
        <v>0</v>
      </c>
      <c r="CS48" s="25">
        <v>0</v>
      </c>
      <c r="CT48" s="25">
        <v>0</v>
      </c>
      <c r="CU48" s="25">
        <v>0</v>
      </c>
      <c r="CV48" s="25">
        <v>0</v>
      </c>
      <c r="CW48" s="25">
        <v>0</v>
      </c>
      <c r="CX48" s="25">
        <v>0</v>
      </c>
      <c r="CY48" s="25">
        <v>0</v>
      </c>
      <c r="CZ48" s="25">
        <v>0</v>
      </c>
      <c r="DA48" s="25">
        <v>0</v>
      </c>
      <c r="DB48" s="25">
        <v>1</v>
      </c>
      <c r="DC48" s="25">
        <v>0</v>
      </c>
      <c r="DD48" s="25">
        <v>0</v>
      </c>
      <c r="DE48" s="25">
        <v>0</v>
      </c>
      <c r="DF48" s="25">
        <v>1</v>
      </c>
      <c r="DG48" s="25">
        <v>0</v>
      </c>
      <c r="DH48" s="25">
        <v>0</v>
      </c>
      <c r="DI48" s="25">
        <v>1</v>
      </c>
      <c r="DJ48" s="25">
        <v>0</v>
      </c>
    </row>
    <row r="49" spans="1:114" s="25" customFormat="1" x14ac:dyDescent="0.25">
      <c r="A49" s="25">
        <v>48</v>
      </c>
      <c r="B49" s="1" t="s">
        <v>194</v>
      </c>
      <c r="C49" s="26" t="s">
        <v>1060</v>
      </c>
      <c r="D49" t="s">
        <v>1802</v>
      </c>
      <c r="E49" s="25">
        <v>9.1274800000000003</v>
      </c>
      <c r="F49" s="25" t="s">
        <v>1537</v>
      </c>
      <c r="G49" s="25" t="s">
        <v>14</v>
      </c>
      <c r="H49" s="25" t="s">
        <v>17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1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1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1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  <c r="BP49" s="25">
        <v>0</v>
      </c>
      <c r="BQ49" s="25">
        <v>0</v>
      </c>
      <c r="BR49" s="25">
        <v>0</v>
      </c>
      <c r="BS49" s="25">
        <v>0</v>
      </c>
      <c r="BT49" s="25">
        <v>0</v>
      </c>
      <c r="BU49" s="25">
        <v>0</v>
      </c>
      <c r="BV49" s="25">
        <v>0</v>
      </c>
      <c r="BW49" s="25">
        <v>0</v>
      </c>
      <c r="BX49" s="25">
        <v>0</v>
      </c>
      <c r="BY49" s="25">
        <v>0</v>
      </c>
      <c r="BZ49" s="25">
        <v>0</v>
      </c>
      <c r="CA49" s="25">
        <v>0</v>
      </c>
      <c r="CB49" s="25">
        <v>0</v>
      </c>
      <c r="CC49" s="25">
        <v>0</v>
      </c>
      <c r="CD49" s="25">
        <v>0</v>
      </c>
      <c r="CE49" s="25">
        <v>0</v>
      </c>
      <c r="CF49" s="25">
        <v>0</v>
      </c>
      <c r="CG49" s="25">
        <v>0</v>
      </c>
      <c r="CH49" s="25">
        <v>0</v>
      </c>
      <c r="CI49" s="25">
        <v>0</v>
      </c>
      <c r="CJ49" s="25">
        <v>0</v>
      </c>
      <c r="CK49" s="25">
        <v>0</v>
      </c>
      <c r="CL49" s="25">
        <v>0</v>
      </c>
      <c r="CM49" s="25">
        <v>0</v>
      </c>
      <c r="CN49" s="25">
        <v>0</v>
      </c>
      <c r="CO49" s="25">
        <v>0</v>
      </c>
      <c r="CP49" s="25">
        <v>0</v>
      </c>
      <c r="CQ49" s="25">
        <v>0</v>
      </c>
      <c r="CR49" s="25">
        <v>0</v>
      </c>
      <c r="CS49" s="25">
        <v>0</v>
      </c>
      <c r="CT49" s="25">
        <v>0</v>
      </c>
      <c r="CU49" s="25">
        <v>0</v>
      </c>
      <c r="CV49" s="25">
        <v>0</v>
      </c>
      <c r="CW49" s="25">
        <v>0</v>
      </c>
      <c r="CX49" s="25">
        <v>0</v>
      </c>
      <c r="CY49" s="25">
        <v>0</v>
      </c>
      <c r="CZ49" s="25">
        <v>0</v>
      </c>
      <c r="DA49" s="25">
        <v>0</v>
      </c>
      <c r="DB49" s="25">
        <v>0</v>
      </c>
      <c r="DC49" s="25">
        <v>0</v>
      </c>
      <c r="DD49" s="25">
        <v>0</v>
      </c>
      <c r="DE49" s="25">
        <v>0</v>
      </c>
      <c r="DF49" s="25">
        <v>0</v>
      </c>
      <c r="DG49" s="25">
        <v>0</v>
      </c>
      <c r="DH49" s="25">
        <v>0</v>
      </c>
      <c r="DI49" s="25">
        <v>0</v>
      </c>
      <c r="DJ49" s="25">
        <v>0</v>
      </c>
    </row>
    <row r="50" spans="1:114" s="25" customFormat="1" x14ac:dyDescent="0.25">
      <c r="A50" s="25">
        <v>49</v>
      </c>
      <c r="B50" s="1" t="s">
        <v>194</v>
      </c>
      <c r="C50" s="26" t="s">
        <v>277</v>
      </c>
      <c r="D50" t="s">
        <v>1802</v>
      </c>
      <c r="E50" s="25">
        <v>9.3554200000000005</v>
      </c>
      <c r="F50" s="25" t="s">
        <v>1537</v>
      </c>
      <c r="G50" s="25" t="s">
        <v>14</v>
      </c>
      <c r="H50" s="25" t="s">
        <v>17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1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0</v>
      </c>
      <c r="BW50" s="25">
        <v>0</v>
      </c>
      <c r="BX50" s="25">
        <v>0</v>
      </c>
      <c r="BY50" s="25">
        <v>0</v>
      </c>
      <c r="BZ50" s="25">
        <v>0</v>
      </c>
      <c r="CA50" s="25">
        <v>0</v>
      </c>
      <c r="CB50" s="25">
        <v>0</v>
      </c>
      <c r="CC50" s="25">
        <v>0</v>
      </c>
      <c r="CD50" s="25">
        <v>1</v>
      </c>
      <c r="CE50" s="25">
        <v>0</v>
      </c>
      <c r="CF50" s="25">
        <v>0</v>
      </c>
      <c r="CG50" s="25">
        <v>0</v>
      </c>
      <c r="CH50" s="25">
        <v>0</v>
      </c>
      <c r="CI50" s="25">
        <v>0</v>
      </c>
      <c r="CJ50" s="25">
        <v>0</v>
      </c>
      <c r="CK50" s="25">
        <v>0</v>
      </c>
      <c r="CL50" s="25">
        <v>0</v>
      </c>
      <c r="CM50" s="25">
        <v>0</v>
      </c>
      <c r="CN50" s="25">
        <v>0</v>
      </c>
      <c r="CO50" s="25">
        <v>0</v>
      </c>
      <c r="CP50" s="25">
        <v>0</v>
      </c>
      <c r="CQ50" s="25">
        <v>0</v>
      </c>
      <c r="CR50" s="25">
        <v>0</v>
      </c>
      <c r="CS50" s="25">
        <v>0</v>
      </c>
      <c r="CT50" s="25">
        <v>0</v>
      </c>
      <c r="CU50" s="25">
        <v>0</v>
      </c>
      <c r="CV50" s="25">
        <v>0</v>
      </c>
      <c r="CW50" s="25">
        <v>0</v>
      </c>
      <c r="CX50" s="25">
        <v>0</v>
      </c>
      <c r="CY50" s="25">
        <v>0</v>
      </c>
      <c r="CZ50" s="25">
        <v>0</v>
      </c>
      <c r="DA50" s="25">
        <v>0</v>
      </c>
      <c r="DB50" s="25">
        <v>0</v>
      </c>
      <c r="DC50" s="25">
        <v>0</v>
      </c>
      <c r="DD50" s="25">
        <v>0</v>
      </c>
      <c r="DE50" s="25">
        <v>0</v>
      </c>
      <c r="DF50" s="25">
        <v>0</v>
      </c>
      <c r="DG50" s="25">
        <v>0</v>
      </c>
      <c r="DH50" s="25">
        <v>0</v>
      </c>
      <c r="DI50" s="25">
        <v>0</v>
      </c>
      <c r="DJ50" s="25">
        <v>0</v>
      </c>
    </row>
    <row r="51" spans="1:114" s="25" customFormat="1" x14ac:dyDescent="0.25">
      <c r="A51" s="25">
        <v>50</v>
      </c>
      <c r="B51" s="1" t="s">
        <v>194</v>
      </c>
      <c r="C51" s="26" t="s">
        <v>277</v>
      </c>
      <c r="D51" t="s">
        <v>1802</v>
      </c>
      <c r="E51" s="25">
        <v>9.3554200000000005</v>
      </c>
      <c r="F51" s="25" t="s">
        <v>1537</v>
      </c>
      <c r="G51" s="25" t="s">
        <v>13</v>
      </c>
      <c r="H51" s="25" t="s">
        <v>17</v>
      </c>
      <c r="I51" s="25">
        <v>0</v>
      </c>
      <c r="J51" s="25">
        <v>0</v>
      </c>
      <c r="K51" s="25">
        <v>0</v>
      </c>
      <c r="L51" s="25">
        <v>0</v>
      </c>
      <c r="M51" s="25">
        <v>1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1</v>
      </c>
      <c r="Y51" s="25">
        <v>0</v>
      </c>
      <c r="Z51" s="25">
        <v>1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1</v>
      </c>
      <c r="AG51" s="25">
        <v>0</v>
      </c>
      <c r="AH51" s="25">
        <v>1</v>
      </c>
      <c r="AI51" s="25">
        <v>1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1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1</v>
      </c>
      <c r="BE51" s="25">
        <v>0</v>
      </c>
      <c r="BF51" s="25">
        <v>0</v>
      </c>
      <c r="BG51" s="25">
        <v>0</v>
      </c>
      <c r="BH51" s="25">
        <v>1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  <c r="BP51" s="25">
        <v>0</v>
      </c>
      <c r="BQ51" s="25">
        <v>0</v>
      </c>
      <c r="BR51" s="25">
        <v>0</v>
      </c>
      <c r="BS51" s="25">
        <v>0</v>
      </c>
      <c r="BT51" s="25">
        <v>0</v>
      </c>
      <c r="BU51" s="25">
        <v>0</v>
      </c>
      <c r="BV51" s="25">
        <v>0</v>
      </c>
      <c r="BW51" s="25">
        <v>0</v>
      </c>
      <c r="BX51" s="25">
        <v>0</v>
      </c>
      <c r="BY51" s="25">
        <v>0</v>
      </c>
      <c r="BZ51" s="25">
        <v>0</v>
      </c>
      <c r="CA51" s="25">
        <v>0</v>
      </c>
      <c r="CB51" s="25">
        <v>0</v>
      </c>
      <c r="CC51" s="25">
        <v>0</v>
      </c>
      <c r="CD51" s="25">
        <v>1</v>
      </c>
      <c r="CE51" s="25">
        <v>0</v>
      </c>
      <c r="CF51" s="25">
        <v>0</v>
      </c>
      <c r="CG51" s="25">
        <v>0</v>
      </c>
      <c r="CH51" s="25">
        <v>0</v>
      </c>
      <c r="CI51" s="25">
        <v>0</v>
      </c>
      <c r="CJ51" s="25">
        <v>0</v>
      </c>
      <c r="CK51" s="25">
        <v>0</v>
      </c>
      <c r="CL51" s="25">
        <v>0</v>
      </c>
      <c r="CM51" s="25">
        <v>0</v>
      </c>
      <c r="CN51" s="25">
        <v>0</v>
      </c>
      <c r="CO51" s="25">
        <v>0</v>
      </c>
      <c r="CP51" s="25">
        <v>0</v>
      </c>
      <c r="CQ51" s="25">
        <v>0</v>
      </c>
      <c r="CR51" s="25">
        <v>0</v>
      </c>
      <c r="CS51" s="25">
        <v>0</v>
      </c>
      <c r="CT51" s="25">
        <v>0</v>
      </c>
      <c r="CU51" s="25">
        <v>0</v>
      </c>
      <c r="CV51" s="25">
        <v>0</v>
      </c>
      <c r="CW51" s="25">
        <v>0</v>
      </c>
      <c r="CX51" s="25">
        <v>0</v>
      </c>
      <c r="CY51" s="25">
        <v>0</v>
      </c>
      <c r="CZ51" s="25">
        <v>0</v>
      </c>
      <c r="DA51" s="25">
        <v>0</v>
      </c>
      <c r="DB51" s="25">
        <v>1</v>
      </c>
      <c r="DC51" s="25">
        <v>0</v>
      </c>
      <c r="DD51" s="25">
        <v>0</v>
      </c>
      <c r="DE51" s="25">
        <v>0</v>
      </c>
      <c r="DF51" s="25">
        <v>0</v>
      </c>
      <c r="DG51" s="25">
        <v>0</v>
      </c>
      <c r="DH51" s="25">
        <v>0</v>
      </c>
      <c r="DI51" s="25">
        <v>0</v>
      </c>
      <c r="DJ51" s="25">
        <v>0</v>
      </c>
    </row>
    <row r="52" spans="1:114" s="25" customFormat="1" x14ac:dyDescent="0.25">
      <c r="A52" s="25">
        <v>51</v>
      </c>
      <c r="B52" s="1" t="s">
        <v>814</v>
      </c>
      <c r="C52" s="26" t="s">
        <v>1105</v>
      </c>
      <c r="D52" t="s">
        <v>1798</v>
      </c>
      <c r="E52" s="25">
        <v>4.5778499999999998</v>
      </c>
      <c r="F52" s="25" t="s">
        <v>1538</v>
      </c>
      <c r="G52" s="25" t="s">
        <v>15</v>
      </c>
      <c r="H52" s="25" t="s">
        <v>17</v>
      </c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0</v>
      </c>
      <c r="W52" s="25">
        <v>0</v>
      </c>
      <c r="X52" s="25">
        <v>0</v>
      </c>
      <c r="Y52" s="25">
        <v>0</v>
      </c>
      <c r="Z52" s="25">
        <v>0</v>
      </c>
      <c r="AA52" s="25">
        <v>1</v>
      </c>
      <c r="AB52" s="25">
        <v>0</v>
      </c>
      <c r="AC52" s="25">
        <v>0</v>
      </c>
      <c r="AD52" s="25">
        <v>0</v>
      </c>
      <c r="AE52" s="25">
        <v>0</v>
      </c>
      <c r="AF52" s="25">
        <v>0</v>
      </c>
      <c r="AG52" s="25">
        <v>0</v>
      </c>
      <c r="AH52" s="25">
        <v>0</v>
      </c>
      <c r="AI52" s="25">
        <v>0</v>
      </c>
      <c r="AJ52" s="25">
        <v>0</v>
      </c>
      <c r="AK52" s="25">
        <v>0</v>
      </c>
      <c r="AL52" s="25">
        <v>0</v>
      </c>
      <c r="AM52" s="25">
        <v>0</v>
      </c>
      <c r="AN52" s="25">
        <v>0</v>
      </c>
      <c r="AO52" s="25">
        <v>0</v>
      </c>
      <c r="AP52" s="25">
        <v>0</v>
      </c>
      <c r="AQ52" s="25">
        <v>0</v>
      </c>
      <c r="AR52" s="25">
        <v>0</v>
      </c>
      <c r="AS52" s="25">
        <v>0</v>
      </c>
      <c r="AT52" s="25">
        <v>0</v>
      </c>
      <c r="AU52" s="25">
        <v>0</v>
      </c>
      <c r="AV52" s="25">
        <v>0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0</v>
      </c>
      <c r="BC52" s="25">
        <v>0</v>
      </c>
      <c r="BD52" s="25">
        <v>0</v>
      </c>
      <c r="BE52" s="25">
        <v>0</v>
      </c>
      <c r="BF52" s="25">
        <v>0</v>
      </c>
      <c r="BG52" s="25">
        <v>0</v>
      </c>
      <c r="BH52" s="25">
        <v>0</v>
      </c>
      <c r="BI52" s="25">
        <v>0</v>
      </c>
      <c r="BJ52" s="25">
        <v>0</v>
      </c>
      <c r="BK52" s="25">
        <v>0</v>
      </c>
      <c r="BL52" s="25">
        <v>0</v>
      </c>
      <c r="BM52" s="25">
        <v>0</v>
      </c>
      <c r="BN52" s="25">
        <v>0</v>
      </c>
      <c r="BO52" s="25">
        <v>0</v>
      </c>
      <c r="BP52" s="25">
        <v>0</v>
      </c>
      <c r="BQ52" s="25">
        <v>0</v>
      </c>
      <c r="BR52" s="25">
        <v>0</v>
      </c>
      <c r="BS52" s="25">
        <v>0</v>
      </c>
      <c r="BT52" s="25">
        <v>0</v>
      </c>
      <c r="BU52" s="25">
        <v>0</v>
      </c>
      <c r="BV52" s="25">
        <v>0</v>
      </c>
      <c r="BW52" s="25">
        <v>0</v>
      </c>
      <c r="BX52" s="25">
        <v>0</v>
      </c>
      <c r="BY52" s="25">
        <v>0</v>
      </c>
      <c r="BZ52" s="25">
        <v>0</v>
      </c>
      <c r="CA52" s="25">
        <v>0</v>
      </c>
      <c r="CB52" s="25">
        <v>0</v>
      </c>
      <c r="CC52" s="25">
        <v>0</v>
      </c>
      <c r="CD52" s="25">
        <v>0</v>
      </c>
      <c r="CE52" s="25">
        <v>0</v>
      </c>
      <c r="CF52" s="25">
        <v>0</v>
      </c>
      <c r="CG52" s="25">
        <v>0</v>
      </c>
      <c r="CH52" s="25">
        <v>0</v>
      </c>
      <c r="CI52" s="25">
        <v>0</v>
      </c>
      <c r="CJ52" s="25">
        <v>0</v>
      </c>
      <c r="CK52" s="25">
        <v>0</v>
      </c>
      <c r="CL52" s="25">
        <v>0</v>
      </c>
      <c r="CM52" s="25">
        <v>0</v>
      </c>
      <c r="CN52" s="25">
        <v>0</v>
      </c>
      <c r="CO52" s="25">
        <v>0</v>
      </c>
      <c r="CP52" s="25">
        <v>0</v>
      </c>
      <c r="CQ52" s="25">
        <v>0</v>
      </c>
      <c r="CR52" s="25">
        <v>0</v>
      </c>
      <c r="CS52" s="25">
        <v>0</v>
      </c>
      <c r="CT52" s="25">
        <v>0</v>
      </c>
      <c r="CU52" s="25">
        <v>0</v>
      </c>
      <c r="CV52" s="25">
        <v>0</v>
      </c>
      <c r="CW52" s="25">
        <v>0</v>
      </c>
      <c r="CX52" s="25">
        <v>0</v>
      </c>
      <c r="CY52" s="25">
        <v>0</v>
      </c>
      <c r="CZ52" s="25">
        <v>0</v>
      </c>
      <c r="DA52" s="25">
        <v>0</v>
      </c>
      <c r="DB52" s="25">
        <v>0</v>
      </c>
      <c r="DC52" s="25">
        <v>0</v>
      </c>
      <c r="DD52" s="25">
        <v>0</v>
      </c>
      <c r="DE52" s="25">
        <v>0</v>
      </c>
      <c r="DF52" s="25">
        <v>0</v>
      </c>
      <c r="DG52" s="25">
        <v>0</v>
      </c>
      <c r="DH52" s="25">
        <v>0</v>
      </c>
      <c r="DI52" s="25">
        <v>0</v>
      </c>
      <c r="DJ52" s="25">
        <v>0</v>
      </c>
    </row>
    <row r="53" spans="1:114" s="25" customFormat="1" x14ac:dyDescent="0.25">
      <c r="A53" s="25">
        <v>52</v>
      </c>
      <c r="B53" s="1" t="s">
        <v>431</v>
      </c>
      <c r="C53" s="26" t="s">
        <v>429</v>
      </c>
      <c r="D53" t="s">
        <v>1802</v>
      </c>
      <c r="E53" s="25">
        <v>2.1156700000000002</v>
      </c>
      <c r="F53" s="25" t="s">
        <v>1538</v>
      </c>
      <c r="G53" s="25" t="s">
        <v>15</v>
      </c>
      <c r="H53" s="25" t="s">
        <v>17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1</v>
      </c>
      <c r="Y53" s="25">
        <v>0</v>
      </c>
      <c r="Z53" s="25">
        <v>0</v>
      </c>
      <c r="AA53" s="25">
        <v>1</v>
      </c>
      <c r="AB53" s="25">
        <v>0</v>
      </c>
      <c r="AC53" s="25">
        <v>0</v>
      </c>
      <c r="AD53" s="25">
        <v>0</v>
      </c>
      <c r="AE53" s="25">
        <v>0</v>
      </c>
      <c r="AF53" s="25">
        <v>0</v>
      </c>
      <c r="AG53" s="25">
        <v>0</v>
      </c>
      <c r="AH53" s="25">
        <v>1</v>
      </c>
      <c r="AI53" s="25">
        <v>0</v>
      </c>
      <c r="AJ53" s="25">
        <v>1</v>
      </c>
      <c r="AK53" s="25">
        <v>0</v>
      </c>
      <c r="AL53" s="25">
        <v>0</v>
      </c>
      <c r="AM53" s="25">
        <v>0</v>
      </c>
      <c r="AN53" s="25">
        <v>0</v>
      </c>
      <c r="AO53" s="25">
        <v>1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0</v>
      </c>
      <c r="AX53" s="25">
        <v>0</v>
      </c>
      <c r="AY53" s="25">
        <v>0</v>
      </c>
      <c r="AZ53" s="25">
        <v>0</v>
      </c>
      <c r="BA53" s="25">
        <v>0</v>
      </c>
      <c r="BB53" s="25">
        <v>0</v>
      </c>
      <c r="BC53" s="25">
        <v>0</v>
      </c>
      <c r="BD53" s="25">
        <v>0</v>
      </c>
      <c r="BE53" s="25">
        <v>0</v>
      </c>
      <c r="BF53" s="25">
        <v>0</v>
      </c>
      <c r="BG53" s="25">
        <v>0</v>
      </c>
      <c r="BH53" s="25">
        <v>0</v>
      </c>
      <c r="BI53" s="25">
        <v>0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0</v>
      </c>
      <c r="BW53" s="25">
        <v>0</v>
      </c>
      <c r="BX53" s="25">
        <v>0</v>
      </c>
      <c r="BY53" s="25">
        <v>0</v>
      </c>
      <c r="BZ53" s="25">
        <v>0</v>
      </c>
      <c r="CA53" s="25">
        <v>0</v>
      </c>
      <c r="CB53" s="25">
        <v>0</v>
      </c>
      <c r="CC53" s="25">
        <v>0</v>
      </c>
      <c r="CD53" s="25">
        <v>1</v>
      </c>
      <c r="CE53" s="25">
        <v>0</v>
      </c>
      <c r="CF53" s="25">
        <v>0</v>
      </c>
      <c r="CG53" s="25">
        <v>0</v>
      </c>
      <c r="CH53" s="25">
        <v>0</v>
      </c>
      <c r="CI53" s="25">
        <v>0</v>
      </c>
      <c r="CJ53" s="25">
        <v>0</v>
      </c>
      <c r="CK53" s="25">
        <v>0</v>
      </c>
      <c r="CL53" s="25">
        <v>0</v>
      </c>
      <c r="CM53" s="25">
        <v>0</v>
      </c>
      <c r="CN53" s="25">
        <v>0</v>
      </c>
      <c r="CO53" s="25">
        <v>0</v>
      </c>
      <c r="CP53" s="25">
        <v>0</v>
      </c>
      <c r="CQ53" s="25">
        <v>0</v>
      </c>
      <c r="CR53" s="25">
        <v>0</v>
      </c>
      <c r="CS53" s="25">
        <v>0</v>
      </c>
      <c r="CT53" s="25">
        <v>0</v>
      </c>
      <c r="CU53" s="25">
        <v>0</v>
      </c>
      <c r="CV53" s="25">
        <v>0</v>
      </c>
      <c r="CW53" s="25">
        <v>0</v>
      </c>
      <c r="CX53" s="25">
        <v>0</v>
      </c>
      <c r="CY53" s="25">
        <v>0</v>
      </c>
      <c r="CZ53" s="25">
        <v>0</v>
      </c>
      <c r="DA53" s="25">
        <v>0</v>
      </c>
      <c r="DB53" s="25">
        <v>0</v>
      </c>
      <c r="DC53" s="25">
        <v>0</v>
      </c>
      <c r="DD53" s="25">
        <v>0</v>
      </c>
      <c r="DE53" s="25">
        <v>0</v>
      </c>
      <c r="DF53" s="25">
        <v>0</v>
      </c>
      <c r="DG53" s="25">
        <v>0</v>
      </c>
      <c r="DH53" s="25">
        <v>0</v>
      </c>
      <c r="DI53" s="25">
        <v>0</v>
      </c>
      <c r="DJ53" s="25">
        <v>0</v>
      </c>
    </row>
    <row r="54" spans="1:114" s="25" customFormat="1" x14ac:dyDescent="0.25">
      <c r="A54" s="25">
        <v>53</v>
      </c>
      <c r="B54" t="s">
        <v>1090</v>
      </c>
      <c r="C54" s="26" t="s">
        <v>1089</v>
      </c>
      <c r="D54" t="s">
        <v>1453</v>
      </c>
      <c r="E54" s="25">
        <v>11.433</v>
      </c>
      <c r="F54" s="25" t="s">
        <v>1538</v>
      </c>
      <c r="G54" s="25" t="s">
        <v>15</v>
      </c>
      <c r="H54" s="25" t="s">
        <v>17</v>
      </c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0</v>
      </c>
      <c r="W54" s="25">
        <v>0</v>
      </c>
      <c r="X54" s="25">
        <v>0</v>
      </c>
      <c r="Y54" s="25">
        <v>0</v>
      </c>
      <c r="Z54" s="25">
        <v>0</v>
      </c>
      <c r="AA54" s="25">
        <v>1</v>
      </c>
      <c r="AB54" s="25">
        <v>0</v>
      </c>
      <c r="AC54" s="25">
        <v>0</v>
      </c>
      <c r="AD54" s="25">
        <v>0</v>
      </c>
      <c r="AE54" s="25">
        <v>0</v>
      </c>
      <c r="AF54" s="25">
        <v>0</v>
      </c>
      <c r="AG54" s="25">
        <v>0</v>
      </c>
      <c r="AH54" s="25">
        <v>0</v>
      </c>
      <c r="AI54" s="25">
        <v>0</v>
      </c>
      <c r="AJ54" s="25">
        <v>0</v>
      </c>
      <c r="AK54" s="25">
        <v>0</v>
      </c>
      <c r="AL54" s="25">
        <v>0</v>
      </c>
      <c r="AM54" s="25">
        <v>0</v>
      </c>
      <c r="AN54" s="25">
        <v>0</v>
      </c>
      <c r="AO54" s="25">
        <v>0</v>
      </c>
      <c r="AP54" s="25">
        <v>0</v>
      </c>
      <c r="AQ54" s="25">
        <v>0</v>
      </c>
      <c r="AR54" s="25">
        <v>1</v>
      </c>
      <c r="AS54" s="25">
        <v>0</v>
      </c>
      <c r="AT54" s="25">
        <v>0</v>
      </c>
      <c r="AU54" s="25">
        <v>0</v>
      </c>
      <c r="AV54" s="25">
        <v>0</v>
      </c>
      <c r="AW54" s="25">
        <v>0</v>
      </c>
      <c r="AX54" s="25">
        <v>0</v>
      </c>
      <c r="AY54" s="25">
        <v>0</v>
      </c>
      <c r="AZ54" s="25">
        <v>0</v>
      </c>
      <c r="BA54" s="25">
        <v>0</v>
      </c>
      <c r="BB54" s="25">
        <v>0</v>
      </c>
      <c r="BC54" s="25">
        <v>0</v>
      </c>
      <c r="BD54" s="25">
        <v>0</v>
      </c>
      <c r="BE54" s="25">
        <v>0</v>
      </c>
      <c r="BF54" s="25">
        <v>0</v>
      </c>
      <c r="BG54" s="25">
        <v>1</v>
      </c>
      <c r="BH54" s="25">
        <v>0</v>
      </c>
      <c r="BI54" s="25">
        <v>0</v>
      </c>
      <c r="BJ54" s="25">
        <v>0</v>
      </c>
      <c r="BK54" s="25">
        <v>0</v>
      </c>
      <c r="BL54" s="25">
        <v>0</v>
      </c>
      <c r="BM54" s="25">
        <v>0</v>
      </c>
      <c r="BN54" s="25">
        <v>0</v>
      </c>
      <c r="BO54" s="25">
        <v>0</v>
      </c>
      <c r="BP54" s="25">
        <v>0</v>
      </c>
      <c r="BQ54" s="25">
        <v>0</v>
      </c>
      <c r="BR54" s="25">
        <v>1</v>
      </c>
      <c r="BS54" s="25">
        <v>0</v>
      </c>
      <c r="BT54" s="25">
        <v>0</v>
      </c>
      <c r="BU54" s="25">
        <v>0</v>
      </c>
      <c r="BV54" s="25">
        <v>0</v>
      </c>
      <c r="BW54" s="25">
        <v>0</v>
      </c>
      <c r="BX54" s="25">
        <v>0</v>
      </c>
      <c r="BY54" s="25">
        <v>0</v>
      </c>
      <c r="BZ54" s="25">
        <v>1</v>
      </c>
      <c r="CA54" s="25">
        <v>1</v>
      </c>
      <c r="CB54" s="25">
        <v>0</v>
      </c>
      <c r="CC54" s="25">
        <v>0</v>
      </c>
      <c r="CD54" s="25">
        <v>0</v>
      </c>
      <c r="CE54" s="25">
        <v>0</v>
      </c>
      <c r="CF54" s="25">
        <v>0</v>
      </c>
      <c r="CG54" s="25">
        <v>0</v>
      </c>
      <c r="CH54" s="25">
        <v>0</v>
      </c>
      <c r="CI54" s="25">
        <v>0</v>
      </c>
      <c r="CJ54" s="25">
        <v>0</v>
      </c>
      <c r="CK54" s="25">
        <v>0</v>
      </c>
      <c r="CL54" s="25">
        <v>0</v>
      </c>
      <c r="CM54" s="25">
        <v>0</v>
      </c>
      <c r="CN54" s="25">
        <v>1</v>
      </c>
      <c r="CO54" s="25">
        <v>0</v>
      </c>
      <c r="CP54" s="25">
        <v>0</v>
      </c>
      <c r="CQ54" s="25">
        <v>0</v>
      </c>
      <c r="CR54" s="25">
        <v>0</v>
      </c>
      <c r="CS54" s="25">
        <v>0</v>
      </c>
      <c r="CT54" s="25">
        <v>0</v>
      </c>
      <c r="CU54" s="25">
        <v>0</v>
      </c>
      <c r="CV54" s="25">
        <v>0</v>
      </c>
      <c r="CW54" s="25">
        <v>0</v>
      </c>
      <c r="CX54" s="25">
        <v>0</v>
      </c>
      <c r="CY54" s="25">
        <v>0</v>
      </c>
      <c r="CZ54" s="25">
        <v>0</v>
      </c>
      <c r="DA54" s="25">
        <v>0</v>
      </c>
      <c r="DB54" s="25">
        <v>0</v>
      </c>
      <c r="DC54" s="25">
        <v>0</v>
      </c>
      <c r="DD54" s="25">
        <v>0</v>
      </c>
      <c r="DE54" s="25">
        <v>0</v>
      </c>
      <c r="DF54" s="25">
        <v>0</v>
      </c>
      <c r="DG54" s="25">
        <v>0</v>
      </c>
      <c r="DH54" s="25">
        <v>0</v>
      </c>
      <c r="DI54" s="25">
        <v>0</v>
      </c>
      <c r="DJ54" s="25">
        <v>0</v>
      </c>
    </row>
    <row r="55" spans="1:114" s="25" customFormat="1" x14ac:dyDescent="0.25">
      <c r="A55" s="25">
        <v>54</v>
      </c>
      <c r="B55" s="1" t="s">
        <v>814</v>
      </c>
      <c r="C55" s="26" t="s">
        <v>1087</v>
      </c>
      <c r="D55" t="s">
        <v>1798</v>
      </c>
      <c r="E55" s="25">
        <v>4.6561199999999996</v>
      </c>
      <c r="F55" s="25" t="s">
        <v>1538</v>
      </c>
      <c r="G55" s="25" t="s">
        <v>15</v>
      </c>
      <c r="H55" s="25" t="s">
        <v>17</v>
      </c>
      <c r="I55" s="25">
        <v>0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1</v>
      </c>
      <c r="U55" s="25">
        <v>0</v>
      </c>
      <c r="V55" s="25">
        <v>0</v>
      </c>
      <c r="W55" s="25">
        <v>0</v>
      </c>
      <c r="X55" s="25">
        <v>1</v>
      </c>
      <c r="Y55" s="25">
        <v>0</v>
      </c>
      <c r="Z55" s="25">
        <v>0</v>
      </c>
      <c r="AA55" s="25">
        <v>0</v>
      </c>
      <c r="AB55" s="25">
        <v>0</v>
      </c>
      <c r="AC55" s="25">
        <v>0</v>
      </c>
      <c r="AD55" s="25">
        <v>0</v>
      </c>
      <c r="AE55" s="25">
        <v>1</v>
      </c>
      <c r="AF55" s="25">
        <v>0</v>
      </c>
      <c r="AG55" s="25">
        <v>0</v>
      </c>
      <c r="AH55" s="25">
        <v>1</v>
      </c>
      <c r="AI55" s="25">
        <v>0</v>
      </c>
      <c r="AJ55" s="25">
        <v>0</v>
      </c>
      <c r="AK55" s="25">
        <v>0</v>
      </c>
      <c r="AL55" s="25">
        <v>0</v>
      </c>
      <c r="AM55" s="25">
        <v>0</v>
      </c>
      <c r="AN55" s="25">
        <v>0</v>
      </c>
      <c r="AO55" s="25">
        <v>0</v>
      </c>
      <c r="AP55" s="25">
        <v>0</v>
      </c>
      <c r="AQ55" s="25">
        <v>0</v>
      </c>
      <c r="AR55" s="25">
        <v>1</v>
      </c>
      <c r="AS55" s="25">
        <v>0</v>
      </c>
      <c r="AT55" s="25">
        <v>0</v>
      </c>
      <c r="AU55" s="25">
        <v>0</v>
      </c>
      <c r="AV55" s="25">
        <v>0</v>
      </c>
      <c r="AW55" s="25">
        <v>0</v>
      </c>
      <c r="AX55" s="25">
        <v>0</v>
      </c>
      <c r="AY55" s="25">
        <v>0</v>
      </c>
      <c r="AZ55" s="25">
        <v>0</v>
      </c>
      <c r="BA55" s="25">
        <v>1</v>
      </c>
      <c r="BB55" s="25">
        <v>0</v>
      </c>
      <c r="BC55" s="25">
        <v>1</v>
      </c>
      <c r="BD55" s="25">
        <v>0</v>
      </c>
      <c r="BE55" s="25">
        <v>0</v>
      </c>
      <c r="BF55" s="25">
        <v>0</v>
      </c>
      <c r="BG55" s="25">
        <v>1</v>
      </c>
      <c r="BH55" s="25">
        <v>0</v>
      </c>
      <c r="BI55" s="25">
        <v>0</v>
      </c>
      <c r="BJ55" s="25">
        <v>0</v>
      </c>
      <c r="BK55" s="25">
        <v>0</v>
      </c>
      <c r="BL55" s="25">
        <v>0</v>
      </c>
      <c r="BM55" s="25">
        <v>0</v>
      </c>
      <c r="BN55" s="25">
        <v>0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1</v>
      </c>
      <c r="BV55" s="25">
        <v>0</v>
      </c>
      <c r="BW55" s="25">
        <v>0</v>
      </c>
      <c r="BX55" s="25">
        <v>0</v>
      </c>
      <c r="BY55" s="25">
        <v>0</v>
      </c>
      <c r="BZ55" s="25">
        <v>0</v>
      </c>
      <c r="CA55" s="25">
        <v>0</v>
      </c>
      <c r="CB55" s="25">
        <v>0</v>
      </c>
      <c r="CC55" s="25">
        <v>0</v>
      </c>
      <c r="CD55" s="25">
        <v>0</v>
      </c>
      <c r="CE55" s="25">
        <v>0</v>
      </c>
      <c r="CF55" s="25">
        <v>0</v>
      </c>
      <c r="CG55" s="25">
        <v>0</v>
      </c>
      <c r="CH55" s="25">
        <v>0</v>
      </c>
      <c r="CI55" s="25">
        <v>0</v>
      </c>
      <c r="CJ55" s="25">
        <v>0</v>
      </c>
      <c r="CK55" s="25">
        <v>0</v>
      </c>
      <c r="CL55" s="25">
        <v>0</v>
      </c>
      <c r="CM55" s="25">
        <v>0</v>
      </c>
      <c r="CN55" s="25">
        <v>1</v>
      </c>
      <c r="CO55" s="25">
        <v>0</v>
      </c>
      <c r="CP55" s="25">
        <v>0</v>
      </c>
      <c r="CQ55" s="25">
        <v>0</v>
      </c>
      <c r="CR55" s="25">
        <v>0</v>
      </c>
      <c r="CS55" s="25">
        <v>0</v>
      </c>
      <c r="CT55" s="25">
        <v>0</v>
      </c>
      <c r="CU55" s="25">
        <v>0</v>
      </c>
      <c r="CV55" s="25">
        <v>0</v>
      </c>
      <c r="CW55" s="25">
        <v>0</v>
      </c>
      <c r="CX55" s="25">
        <v>0</v>
      </c>
      <c r="CY55" s="25">
        <v>0</v>
      </c>
      <c r="CZ55" s="25">
        <v>0</v>
      </c>
      <c r="DA55" s="25">
        <v>0</v>
      </c>
      <c r="DB55" s="25">
        <v>0</v>
      </c>
      <c r="DC55" s="25">
        <v>0</v>
      </c>
      <c r="DD55" s="25">
        <v>1</v>
      </c>
      <c r="DE55" s="25">
        <v>0</v>
      </c>
      <c r="DF55" s="25">
        <v>0</v>
      </c>
      <c r="DG55" s="25">
        <v>0</v>
      </c>
      <c r="DH55" s="25">
        <v>1</v>
      </c>
      <c r="DI55" s="25">
        <v>0</v>
      </c>
      <c r="DJ55" s="25">
        <v>0</v>
      </c>
    </row>
    <row r="56" spans="1:114" s="25" customFormat="1" x14ac:dyDescent="0.25">
      <c r="A56" s="25">
        <v>55</v>
      </c>
      <c r="B56" s="1" t="s">
        <v>814</v>
      </c>
      <c r="C56" s="26" t="s">
        <v>397</v>
      </c>
      <c r="D56" t="s">
        <v>1798</v>
      </c>
      <c r="E56" s="25">
        <v>4.1577000000000002</v>
      </c>
      <c r="F56" s="25" t="s">
        <v>1538</v>
      </c>
      <c r="G56" s="25" t="s">
        <v>14</v>
      </c>
      <c r="H56" s="25" t="s">
        <v>17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0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0</v>
      </c>
      <c r="AG56" s="25">
        <v>0</v>
      </c>
      <c r="AH56" s="25">
        <v>0</v>
      </c>
      <c r="AI56" s="25">
        <v>0</v>
      </c>
      <c r="AJ56" s="25">
        <v>0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0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0</v>
      </c>
      <c r="AX56" s="25">
        <v>0</v>
      </c>
      <c r="AY56" s="25">
        <v>0</v>
      </c>
      <c r="AZ56" s="25">
        <v>0</v>
      </c>
      <c r="BA56" s="25">
        <v>0</v>
      </c>
      <c r="BB56" s="25">
        <v>0</v>
      </c>
      <c r="BC56" s="25">
        <v>0</v>
      </c>
      <c r="BD56" s="25">
        <v>0</v>
      </c>
      <c r="BE56" s="25">
        <v>0</v>
      </c>
      <c r="BF56" s="25">
        <v>0</v>
      </c>
      <c r="BG56" s="25">
        <v>0</v>
      </c>
      <c r="BH56" s="25">
        <v>0</v>
      </c>
      <c r="BI56" s="25">
        <v>0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0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0</v>
      </c>
      <c r="BW56" s="25">
        <v>1</v>
      </c>
      <c r="BX56" s="25">
        <v>0</v>
      </c>
      <c r="BY56" s="25">
        <v>0</v>
      </c>
      <c r="BZ56" s="25">
        <v>0</v>
      </c>
      <c r="CA56" s="25">
        <v>0</v>
      </c>
      <c r="CB56" s="25">
        <v>0</v>
      </c>
      <c r="CC56" s="25">
        <v>0</v>
      </c>
      <c r="CD56" s="25">
        <v>1</v>
      </c>
      <c r="CE56" s="25">
        <v>0</v>
      </c>
      <c r="CF56" s="25">
        <v>0</v>
      </c>
      <c r="CG56" s="25">
        <v>0</v>
      </c>
      <c r="CH56" s="25">
        <v>0</v>
      </c>
      <c r="CI56" s="25">
        <v>0</v>
      </c>
      <c r="CJ56" s="25">
        <v>0</v>
      </c>
      <c r="CK56" s="25">
        <v>0</v>
      </c>
      <c r="CL56" s="25">
        <v>0</v>
      </c>
      <c r="CM56" s="25">
        <v>0</v>
      </c>
      <c r="CN56" s="25">
        <v>0</v>
      </c>
      <c r="CO56" s="25">
        <v>0</v>
      </c>
      <c r="CP56" s="25">
        <v>0</v>
      </c>
      <c r="CQ56" s="25">
        <v>0</v>
      </c>
      <c r="CR56" s="25">
        <v>0</v>
      </c>
      <c r="CS56" s="25">
        <v>0</v>
      </c>
      <c r="CT56" s="25">
        <v>0</v>
      </c>
      <c r="CU56" s="25">
        <v>0</v>
      </c>
      <c r="CV56" s="25">
        <v>0</v>
      </c>
      <c r="CW56" s="25">
        <v>0</v>
      </c>
      <c r="CX56" s="25">
        <v>0</v>
      </c>
      <c r="CY56" s="25">
        <v>0</v>
      </c>
      <c r="CZ56" s="25">
        <v>0</v>
      </c>
      <c r="DA56" s="25">
        <v>0</v>
      </c>
      <c r="DB56" s="25">
        <v>0</v>
      </c>
      <c r="DC56" s="25">
        <v>0</v>
      </c>
      <c r="DD56" s="25">
        <v>0</v>
      </c>
      <c r="DE56" s="25">
        <v>0</v>
      </c>
      <c r="DF56" s="25">
        <v>0</v>
      </c>
      <c r="DG56" s="25">
        <v>0</v>
      </c>
      <c r="DH56" s="25">
        <v>0</v>
      </c>
      <c r="DI56" s="25">
        <v>0</v>
      </c>
      <c r="DJ56" s="25">
        <v>0</v>
      </c>
    </row>
    <row r="57" spans="1:114" s="25" customFormat="1" x14ac:dyDescent="0.25">
      <c r="A57" s="25">
        <v>56</v>
      </c>
      <c r="B57" s="1" t="s">
        <v>814</v>
      </c>
      <c r="C57" s="26" t="s">
        <v>812</v>
      </c>
      <c r="D57" t="s">
        <v>1798</v>
      </c>
      <c r="E57" s="25">
        <v>4.0077499999999997</v>
      </c>
      <c r="F57" s="25" t="s">
        <v>1538</v>
      </c>
      <c r="G57" s="25" t="s">
        <v>15</v>
      </c>
      <c r="H57" s="25" t="s">
        <v>16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1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  <c r="BP57" s="25">
        <v>0</v>
      </c>
      <c r="BQ57" s="25">
        <v>0</v>
      </c>
      <c r="BR57" s="25">
        <v>0</v>
      </c>
      <c r="BS57" s="25">
        <v>0</v>
      </c>
      <c r="BT57" s="25">
        <v>0</v>
      </c>
      <c r="BU57" s="25">
        <v>0</v>
      </c>
      <c r="BV57" s="25">
        <v>0</v>
      </c>
      <c r="BW57" s="25">
        <v>0</v>
      </c>
      <c r="BX57" s="25">
        <v>0</v>
      </c>
      <c r="BY57" s="25">
        <v>0</v>
      </c>
      <c r="BZ57" s="25">
        <v>0</v>
      </c>
      <c r="CA57" s="25">
        <v>0</v>
      </c>
      <c r="CB57" s="25">
        <v>0</v>
      </c>
      <c r="CC57" s="25">
        <v>0</v>
      </c>
      <c r="CD57" s="25">
        <v>1</v>
      </c>
      <c r="CE57" s="25">
        <v>0</v>
      </c>
      <c r="CF57" s="25">
        <v>0</v>
      </c>
      <c r="CG57" s="25">
        <v>0</v>
      </c>
      <c r="CH57" s="25">
        <v>0</v>
      </c>
      <c r="CI57" s="25">
        <v>0</v>
      </c>
      <c r="CJ57" s="25">
        <v>0</v>
      </c>
      <c r="CK57" s="25">
        <v>0</v>
      </c>
      <c r="CL57" s="25">
        <v>0</v>
      </c>
      <c r="CM57" s="25">
        <v>0</v>
      </c>
      <c r="CN57" s="25">
        <v>0</v>
      </c>
      <c r="CO57" s="25">
        <v>0</v>
      </c>
      <c r="CP57" s="25">
        <v>0</v>
      </c>
      <c r="CQ57" s="25">
        <v>0</v>
      </c>
      <c r="CR57" s="25">
        <v>0</v>
      </c>
      <c r="CS57" s="25">
        <v>0</v>
      </c>
      <c r="CT57" s="25">
        <v>0</v>
      </c>
      <c r="CU57" s="25">
        <v>0</v>
      </c>
      <c r="CV57" s="25">
        <v>0</v>
      </c>
      <c r="CW57" s="25">
        <v>0</v>
      </c>
      <c r="CX57" s="25">
        <v>0</v>
      </c>
      <c r="CY57" s="25">
        <v>0</v>
      </c>
      <c r="CZ57" s="25">
        <v>0</v>
      </c>
      <c r="DA57" s="25">
        <v>0</v>
      </c>
      <c r="DB57" s="25">
        <v>0</v>
      </c>
      <c r="DC57" s="25">
        <v>0</v>
      </c>
      <c r="DD57" s="25">
        <v>0</v>
      </c>
      <c r="DE57" s="25">
        <v>0</v>
      </c>
      <c r="DF57" s="25">
        <v>0</v>
      </c>
      <c r="DG57" s="25">
        <v>0</v>
      </c>
      <c r="DH57" s="25">
        <v>0</v>
      </c>
      <c r="DI57" s="25">
        <v>0</v>
      </c>
      <c r="DJ57" s="25">
        <v>0</v>
      </c>
    </row>
    <row r="58" spans="1:114" s="25" customFormat="1" x14ac:dyDescent="0.25">
      <c r="A58" s="25">
        <v>57</v>
      </c>
      <c r="B58" t="s">
        <v>1230</v>
      </c>
      <c r="C58" s="26" t="s">
        <v>1229</v>
      </c>
      <c r="D58" t="s">
        <v>1796</v>
      </c>
      <c r="E58" s="25">
        <v>13.2034</v>
      </c>
      <c r="F58" s="25" t="s">
        <v>1538</v>
      </c>
      <c r="G58" s="25" t="s">
        <v>13</v>
      </c>
      <c r="H58" s="25" t="s">
        <v>17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1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25">
        <v>0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  <c r="BP58" s="25">
        <v>0</v>
      </c>
      <c r="BQ58" s="25">
        <v>0</v>
      </c>
      <c r="BR58" s="25">
        <v>0</v>
      </c>
      <c r="BS58" s="25">
        <v>0</v>
      </c>
      <c r="BT58" s="25">
        <v>0</v>
      </c>
      <c r="BU58" s="25">
        <v>0</v>
      </c>
      <c r="BV58" s="25">
        <v>0</v>
      </c>
      <c r="BW58" s="25">
        <v>0</v>
      </c>
      <c r="BX58" s="25">
        <v>0</v>
      </c>
      <c r="BY58" s="25">
        <v>0</v>
      </c>
      <c r="BZ58" s="25">
        <v>0</v>
      </c>
      <c r="CA58" s="25">
        <v>0</v>
      </c>
      <c r="CB58" s="25">
        <v>0</v>
      </c>
      <c r="CC58" s="25">
        <v>0</v>
      </c>
      <c r="CD58" s="25">
        <v>0</v>
      </c>
      <c r="CE58" s="25">
        <v>0</v>
      </c>
      <c r="CF58" s="25">
        <v>0</v>
      </c>
      <c r="CG58" s="25">
        <v>0</v>
      </c>
      <c r="CH58" s="25">
        <v>0</v>
      </c>
      <c r="CI58" s="25">
        <v>0</v>
      </c>
      <c r="CJ58" s="25">
        <v>0</v>
      </c>
      <c r="CK58" s="25">
        <v>0</v>
      </c>
      <c r="CL58" s="25">
        <v>0</v>
      </c>
      <c r="CM58" s="25">
        <v>0</v>
      </c>
      <c r="CN58" s="25">
        <v>0</v>
      </c>
      <c r="CO58" s="25">
        <v>0</v>
      </c>
      <c r="CP58" s="25">
        <v>0</v>
      </c>
      <c r="CQ58" s="25">
        <v>0</v>
      </c>
      <c r="CR58" s="25">
        <v>0</v>
      </c>
      <c r="CS58" s="25">
        <v>0</v>
      </c>
      <c r="CT58" s="25">
        <v>0</v>
      </c>
      <c r="CU58" s="25">
        <v>0</v>
      </c>
      <c r="CV58" s="25">
        <v>0</v>
      </c>
      <c r="CW58" s="25">
        <v>0</v>
      </c>
      <c r="CX58" s="25">
        <v>0</v>
      </c>
      <c r="CY58" s="25">
        <v>0</v>
      </c>
      <c r="CZ58" s="25">
        <v>0</v>
      </c>
      <c r="DA58" s="25">
        <v>0</v>
      </c>
      <c r="DB58" s="25">
        <v>0</v>
      </c>
      <c r="DC58" s="25">
        <v>0</v>
      </c>
      <c r="DD58" s="25">
        <v>0</v>
      </c>
      <c r="DE58" s="25">
        <v>0</v>
      </c>
      <c r="DF58" s="25">
        <v>0</v>
      </c>
      <c r="DG58" s="25">
        <v>0</v>
      </c>
      <c r="DH58" s="25">
        <v>0</v>
      </c>
      <c r="DI58" s="25">
        <v>0</v>
      </c>
      <c r="DJ58" s="25">
        <v>0</v>
      </c>
    </row>
    <row r="59" spans="1:114" s="25" customFormat="1" x14ac:dyDescent="0.25">
      <c r="A59" s="25">
        <v>58</v>
      </c>
      <c r="B59" s="1" t="s">
        <v>412</v>
      </c>
      <c r="C59" s="26" t="s">
        <v>410</v>
      </c>
      <c r="D59" t="s">
        <v>1802</v>
      </c>
      <c r="E59" s="25">
        <v>3.8494100000000002</v>
      </c>
      <c r="F59" s="25" t="s">
        <v>1538</v>
      </c>
      <c r="G59" s="25" t="s">
        <v>15</v>
      </c>
      <c r="H59" s="25" t="s">
        <v>16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0</v>
      </c>
      <c r="AB59" s="25">
        <v>0</v>
      </c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0</v>
      </c>
      <c r="AJ59" s="25">
        <v>0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0</v>
      </c>
      <c r="AZ59" s="25">
        <v>0</v>
      </c>
      <c r="BA59" s="25">
        <v>0</v>
      </c>
      <c r="BB59" s="25">
        <v>0</v>
      </c>
      <c r="BC59" s="25">
        <v>0</v>
      </c>
      <c r="BD59" s="25">
        <v>1</v>
      </c>
      <c r="BE59" s="25">
        <v>0</v>
      </c>
      <c r="BF59" s="25">
        <v>0</v>
      </c>
      <c r="BG59" s="25">
        <v>0</v>
      </c>
      <c r="BH59" s="25">
        <v>0</v>
      </c>
      <c r="BI59" s="25">
        <v>0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0</v>
      </c>
      <c r="BY59" s="25">
        <v>0</v>
      </c>
      <c r="BZ59" s="25">
        <v>0</v>
      </c>
      <c r="CA59" s="25">
        <v>0</v>
      </c>
      <c r="CB59" s="25">
        <v>0</v>
      </c>
      <c r="CC59" s="25">
        <v>0</v>
      </c>
      <c r="CD59" s="25">
        <v>1</v>
      </c>
      <c r="CE59" s="25">
        <v>0</v>
      </c>
      <c r="CF59" s="25">
        <v>0</v>
      </c>
      <c r="CG59" s="25">
        <v>0</v>
      </c>
      <c r="CH59" s="25">
        <v>0</v>
      </c>
      <c r="CI59" s="25">
        <v>0</v>
      </c>
      <c r="CJ59" s="25">
        <v>0</v>
      </c>
      <c r="CK59" s="25">
        <v>0</v>
      </c>
      <c r="CL59" s="25">
        <v>0</v>
      </c>
      <c r="CM59" s="25">
        <v>0</v>
      </c>
      <c r="CN59" s="25">
        <v>0</v>
      </c>
      <c r="CO59" s="25">
        <v>0</v>
      </c>
      <c r="CP59" s="25">
        <v>0</v>
      </c>
      <c r="CQ59" s="25">
        <v>0</v>
      </c>
      <c r="CR59" s="25">
        <v>0</v>
      </c>
      <c r="CS59" s="25">
        <v>0</v>
      </c>
      <c r="CT59" s="25">
        <v>0</v>
      </c>
      <c r="CU59" s="25">
        <v>0</v>
      </c>
      <c r="CV59" s="25">
        <v>0</v>
      </c>
      <c r="CW59" s="25">
        <v>0</v>
      </c>
      <c r="CX59" s="25">
        <v>0</v>
      </c>
      <c r="CY59" s="25">
        <v>0</v>
      </c>
      <c r="CZ59" s="25">
        <v>0</v>
      </c>
      <c r="DA59" s="25">
        <v>0</v>
      </c>
      <c r="DB59" s="25">
        <v>0</v>
      </c>
      <c r="DC59" s="25">
        <v>0</v>
      </c>
      <c r="DD59" s="25">
        <v>0</v>
      </c>
      <c r="DE59" s="25">
        <v>0</v>
      </c>
      <c r="DF59" s="25">
        <v>0</v>
      </c>
      <c r="DG59" s="25">
        <v>0</v>
      </c>
      <c r="DH59" s="25">
        <v>0</v>
      </c>
      <c r="DI59" s="25">
        <v>0</v>
      </c>
      <c r="DJ59" s="25">
        <v>0</v>
      </c>
    </row>
    <row r="60" spans="1:114" s="25" customFormat="1" x14ac:dyDescent="0.25">
      <c r="A60" s="25">
        <v>59</v>
      </c>
      <c r="B60" t="s">
        <v>40</v>
      </c>
      <c r="C60" s="25" t="s">
        <v>37</v>
      </c>
      <c r="D60" t="s">
        <v>1802</v>
      </c>
      <c r="E60" s="25">
        <v>0.94675500000000001</v>
      </c>
      <c r="F60" s="25" t="s">
        <v>1538</v>
      </c>
      <c r="G60" s="25" t="s">
        <v>13</v>
      </c>
      <c r="H60" s="25" t="s">
        <v>16</v>
      </c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0</v>
      </c>
      <c r="P60" s="25">
        <v>0</v>
      </c>
      <c r="Q60" s="25">
        <v>0</v>
      </c>
      <c r="R60" s="25">
        <v>0</v>
      </c>
      <c r="S60" s="25">
        <v>0</v>
      </c>
      <c r="T60" s="25">
        <v>0</v>
      </c>
      <c r="U60" s="25">
        <v>0</v>
      </c>
      <c r="V60" s="25">
        <v>0</v>
      </c>
      <c r="W60" s="25">
        <v>0</v>
      </c>
      <c r="X60" s="25">
        <v>0</v>
      </c>
      <c r="Y60" s="25">
        <v>0</v>
      </c>
      <c r="Z60" s="25">
        <v>0</v>
      </c>
      <c r="AA60" s="25">
        <v>0</v>
      </c>
      <c r="AB60" s="25">
        <v>0</v>
      </c>
      <c r="AC60" s="25">
        <v>0</v>
      </c>
      <c r="AD60" s="25">
        <v>0</v>
      </c>
      <c r="AE60" s="25">
        <v>0</v>
      </c>
      <c r="AF60" s="25">
        <v>0</v>
      </c>
      <c r="AG60" s="25">
        <v>0</v>
      </c>
      <c r="AH60" s="25">
        <v>0</v>
      </c>
      <c r="AI60" s="25">
        <v>0</v>
      </c>
      <c r="AJ60" s="25">
        <v>0</v>
      </c>
      <c r="AK60" s="25">
        <v>0</v>
      </c>
      <c r="AL60" s="25">
        <v>0</v>
      </c>
      <c r="AM60" s="25">
        <v>0</v>
      </c>
      <c r="AN60" s="25">
        <v>0</v>
      </c>
      <c r="AO60" s="25">
        <v>0</v>
      </c>
      <c r="AP60" s="25">
        <v>0</v>
      </c>
      <c r="AQ60" s="25">
        <v>0</v>
      </c>
      <c r="AR60" s="25">
        <v>0</v>
      </c>
      <c r="AS60" s="25">
        <v>0</v>
      </c>
      <c r="AT60" s="25">
        <v>0</v>
      </c>
      <c r="AU60" s="25">
        <v>0</v>
      </c>
      <c r="AV60" s="25">
        <v>0</v>
      </c>
      <c r="AW60" s="25">
        <v>0</v>
      </c>
      <c r="AX60" s="25">
        <v>0</v>
      </c>
      <c r="AY60" s="25">
        <v>0</v>
      </c>
      <c r="AZ60" s="25">
        <v>0</v>
      </c>
      <c r="BA60" s="25">
        <v>0</v>
      </c>
      <c r="BB60" s="25">
        <v>0</v>
      </c>
      <c r="BC60" s="25">
        <v>0</v>
      </c>
      <c r="BD60" s="25">
        <v>0</v>
      </c>
      <c r="BE60" s="25">
        <v>0</v>
      </c>
      <c r="BF60" s="25">
        <v>0</v>
      </c>
      <c r="BG60" s="25">
        <v>0</v>
      </c>
      <c r="BH60" s="25">
        <v>0</v>
      </c>
      <c r="BI60" s="25">
        <v>0</v>
      </c>
      <c r="BJ60" s="25">
        <v>0</v>
      </c>
      <c r="BK60" s="25">
        <v>0</v>
      </c>
      <c r="BL60" s="25">
        <v>0</v>
      </c>
      <c r="BM60" s="25">
        <v>0</v>
      </c>
      <c r="BN60" s="25">
        <v>0</v>
      </c>
      <c r="BO60" s="25">
        <v>0</v>
      </c>
      <c r="BP60" s="25">
        <v>0</v>
      </c>
      <c r="BQ60" s="25">
        <v>0</v>
      </c>
      <c r="BR60" s="25">
        <v>0</v>
      </c>
      <c r="BS60" s="25">
        <v>0</v>
      </c>
      <c r="BT60" s="25">
        <v>0</v>
      </c>
      <c r="BU60" s="25">
        <v>0</v>
      </c>
      <c r="BV60" s="25">
        <v>0</v>
      </c>
      <c r="BW60" s="25">
        <v>0</v>
      </c>
      <c r="BX60" s="25">
        <v>0</v>
      </c>
      <c r="BY60" s="25">
        <v>0</v>
      </c>
      <c r="BZ60" s="25">
        <v>0</v>
      </c>
      <c r="CA60" s="25">
        <v>0</v>
      </c>
      <c r="CB60" s="25">
        <v>0</v>
      </c>
      <c r="CC60" s="25">
        <v>0</v>
      </c>
      <c r="CD60" s="25">
        <v>1</v>
      </c>
      <c r="CE60" s="25">
        <v>0</v>
      </c>
      <c r="CF60" s="25">
        <v>0</v>
      </c>
      <c r="CG60" s="25">
        <v>0</v>
      </c>
      <c r="CH60" s="25">
        <v>0</v>
      </c>
      <c r="CI60" s="25">
        <v>0</v>
      </c>
      <c r="CJ60" s="25">
        <v>0</v>
      </c>
      <c r="CK60" s="25">
        <v>0</v>
      </c>
      <c r="CL60" s="25">
        <v>0</v>
      </c>
      <c r="CM60" s="25">
        <v>0</v>
      </c>
      <c r="CN60" s="25">
        <v>0</v>
      </c>
      <c r="CO60" s="25">
        <v>0</v>
      </c>
      <c r="CP60" s="25">
        <v>0</v>
      </c>
      <c r="CQ60" s="25">
        <v>0</v>
      </c>
      <c r="CR60" s="25">
        <v>0</v>
      </c>
      <c r="CS60" s="25">
        <v>0</v>
      </c>
      <c r="CT60" s="25">
        <v>0</v>
      </c>
      <c r="CU60" s="25">
        <v>0</v>
      </c>
      <c r="CV60" s="25">
        <v>0</v>
      </c>
      <c r="CW60" s="25">
        <v>0</v>
      </c>
      <c r="CX60" s="25">
        <v>0</v>
      </c>
      <c r="CY60" s="25">
        <v>0</v>
      </c>
      <c r="CZ60" s="25">
        <v>0</v>
      </c>
      <c r="DA60" s="25">
        <v>0</v>
      </c>
      <c r="DB60" s="25">
        <v>0</v>
      </c>
      <c r="DC60" s="25">
        <v>0</v>
      </c>
      <c r="DD60" s="25">
        <v>0</v>
      </c>
      <c r="DE60" s="25">
        <v>0</v>
      </c>
      <c r="DF60" s="25">
        <v>0</v>
      </c>
      <c r="DG60" s="25">
        <v>0</v>
      </c>
      <c r="DH60" s="25">
        <v>0</v>
      </c>
      <c r="DI60" s="25">
        <v>0</v>
      </c>
      <c r="DJ60" s="25">
        <v>0</v>
      </c>
    </row>
    <row r="61" spans="1:114" s="25" customFormat="1" x14ac:dyDescent="0.25">
      <c r="A61" s="25">
        <v>60</v>
      </c>
      <c r="B61" t="s">
        <v>40</v>
      </c>
      <c r="C61" s="25" t="s">
        <v>50</v>
      </c>
      <c r="D61" t="s">
        <v>1802</v>
      </c>
      <c r="E61" s="25">
        <v>1.0028900000000001</v>
      </c>
      <c r="F61" s="25" t="s">
        <v>1538</v>
      </c>
      <c r="G61" s="25" t="s">
        <v>13</v>
      </c>
      <c r="H61" s="25" t="s">
        <v>16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0</v>
      </c>
      <c r="AA61" s="25">
        <v>0</v>
      </c>
      <c r="AB61" s="25">
        <v>0</v>
      </c>
      <c r="AC61" s="25">
        <v>0</v>
      </c>
      <c r="AD61" s="25">
        <v>0</v>
      </c>
      <c r="AE61" s="25">
        <v>0</v>
      </c>
      <c r="AF61" s="25">
        <v>0</v>
      </c>
      <c r="AG61" s="25">
        <v>0</v>
      </c>
      <c r="AH61" s="25">
        <v>0</v>
      </c>
      <c r="AI61" s="25">
        <v>0</v>
      </c>
      <c r="AJ61" s="25">
        <v>0</v>
      </c>
      <c r="AK61" s="25">
        <v>0</v>
      </c>
      <c r="AL61" s="25">
        <v>0</v>
      </c>
      <c r="AM61" s="25">
        <v>0</v>
      </c>
      <c r="AN61" s="25">
        <v>0</v>
      </c>
      <c r="AO61" s="25">
        <v>0</v>
      </c>
      <c r="AP61" s="25">
        <v>0</v>
      </c>
      <c r="AQ61" s="25">
        <v>0</v>
      </c>
      <c r="AR61" s="25">
        <v>0</v>
      </c>
      <c r="AS61" s="25">
        <v>0</v>
      </c>
      <c r="AT61" s="25">
        <v>0</v>
      </c>
      <c r="AU61" s="25">
        <v>0</v>
      </c>
      <c r="AV61" s="25">
        <v>0</v>
      </c>
      <c r="AW61" s="25">
        <v>0</v>
      </c>
      <c r="AX61" s="25">
        <v>0</v>
      </c>
      <c r="AY61" s="25">
        <v>0</v>
      </c>
      <c r="AZ61" s="25">
        <v>0</v>
      </c>
      <c r="BA61" s="25">
        <v>0</v>
      </c>
      <c r="BB61" s="25">
        <v>0</v>
      </c>
      <c r="BC61" s="25">
        <v>0</v>
      </c>
      <c r="BD61" s="25">
        <v>0</v>
      </c>
      <c r="BE61" s="25">
        <v>0</v>
      </c>
      <c r="BF61" s="25">
        <v>0</v>
      </c>
      <c r="BG61" s="25">
        <v>0</v>
      </c>
      <c r="BH61" s="25">
        <v>0</v>
      </c>
      <c r="BI61" s="25">
        <v>0</v>
      </c>
      <c r="BJ61" s="25">
        <v>0</v>
      </c>
      <c r="BK61" s="25">
        <v>0</v>
      </c>
      <c r="BL61" s="25">
        <v>0</v>
      </c>
      <c r="BM61" s="25">
        <v>0</v>
      </c>
      <c r="BN61" s="25">
        <v>0</v>
      </c>
      <c r="BO61" s="25">
        <v>0</v>
      </c>
      <c r="BP61" s="25">
        <v>0</v>
      </c>
      <c r="BQ61" s="25">
        <v>0</v>
      </c>
      <c r="BR61" s="25">
        <v>0</v>
      </c>
      <c r="BS61" s="25">
        <v>0</v>
      </c>
      <c r="BT61" s="25">
        <v>0</v>
      </c>
      <c r="BU61" s="25">
        <v>0</v>
      </c>
      <c r="BV61" s="25">
        <v>0</v>
      </c>
      <c r="BW61" s="25">
        <v>0</v>
      </c>
      <c r="BX61" s="25">
        <v>0</v>
      </c>
      <c r="BY61" s="25">
        <v>0</v>
      </c>
      <c r="BZ61" s="25">
        <v>0</v>
      </c>
      <c r="CA61" s="25">
        <v>0</v>
      </c>
      <c r="CB61" s="25">
        <v>0</v>
      </c>
      <c r="CC61" s="25">
        <v>0</v>
      </c>
      <c r="CD61" s="25">
        <v>1</v>
      </c>
      <c r="CE61" s="25">
        <v>0</v>
      </c>
      <c r="CF61" s="25">
        <v>0</v>
      </c>
      <c r="CG61" s="25">
        <v>0</v>
      </c>
      <c r="CH61" s="25">
        <v>0</v>
      </c>
      <c r="CI61" s="25">
        <v>0</v>
      </c>
      <c r="CJ61" s="25">
        <v>0</v>
      </c>
      <c r="CK61" s="25">
        <v>0</v>
      </c>
      <c r="CL61" s="25">
        <v>0</v>
      </c>
      <c r="CM61" s="25">
        <v>0</v>
      </c>
      <c r="CN61" s="25">
        <v>0</v>
      </c>
      <c r="CO61" s="25">
        <v>0</v>
      </c>
      <c r="CP61" s="25">
        <v>0</v>
      </c>
      <c r="CQ61" s="25">
        <v>0</v>
      </c>
      <c r="CR61" s="25">
        <v>0</v>
      </c>
      <c r="CS61" s="25">
        <v>0</v>
      </c>
      <c r="CT61" s="25">
        <v>0</v>
      </c>
      <c r="CU61" s="25">
        <v>0</v>
      </c>
      <c r="CV61" s="25">
        <v>0</v>
      </c>
      <c r="CW61" s="25">
        <v>0</v>
      </c>
      <c r="CX61" s="25">
        <v>0</v>
      </c>
      <c r="CY61" s="25">
        <v>0</v>
      </c>
      <c r="CZ61" s="25">
        <v>0</v>
      </c>
      <c r="DA61" s="25">
        <v>0</v>
      </c>
      <c r="DB61" s="25">
        <v>0</v>
      </c>
      <c r="DC61" s="25">
        <v>0</v>
      </c>
      <c r="DD61" s="25">
        <v>0</v>
      </c>
      <c r="DE61" s="25">
        <v>0</v>
      </c>
      <c r="DF61" s="25">
        <v>0</v>
      </c>
      <c r="DG61" s="25">
        <v>0</v>
      </c>
      <c r="DH61" s="25">
        <v>0</v>
      </c>
      <c r="DI61" s="25">
        <v>0</v>
      </c>
      <c r="DJ61" s="25">
        <v>0</v>
      </c>
    </row>
    <row r="62" spans="1:114" s="25" customFormat="1" x14ac:dyDescent="0.25">
      <c r="A62" s="25">
        <v>61</v>
      </c>
      <c r="B62" s="1" t="s">
        <v>40</v>
      </c>
      <c r="C62" s="26" t="s">
        <v>283</v>
      </c>
      <c r="D62" t="s">
        <v>1802</v>
      </c>
      <c r="E62" s="25">
        <v>0.64861999999999997</v>
      </c>
      <c r="F62" s="25" t="s">
        <v>1538</v>
      </c>
      <c r="G62" s="25" t="s">
        <v>13</v>
      </c>
      <c r="H62" s="25" t="s">
        <v>17</v>
      </c>
      <c r="I62" s="25">
        <v>0</v>
      </c>
      <c r="J62" s="25">
        <v>0</v>
      </c>
      <c r="K62" s="25">
        <v>0</v>
      </c>
      <c r="L62" s="25">
        <v>1</v>
      </c>
      <c r="M62" s="25">
        <v>1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>
        <v>0</v>
      </c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>
        <v>0</v>
      </c>
      <c r="BB62" s="25">
        <v>0</v>
      </c>
      <c r="BC62" s="25">
        <v>0</v>
      </c>
      <c r="BD62" s="25">
        <v>0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>
        <v>0</v>
      </c>
      <c r="CA62" s="25">
        <v>0</v>
      </c>
      <c r="CB62" s="25">
        <v>0</v>
      </c>
      <c r="CC62" s="25">
        <v>0</v>
      </c>
      <c r="CD62" s="25">
        <v>0</v>
      </c>
      <c r="CE62" s="25">
        <v>0</v>
      </c>
      <c r="CF62" s="25">
        <v>0</v>
      </c>
      <c r="CG62" s="25">
        <v>0</v>
      </c>
      <c r="CH62" s="25">
        <v>0</v>
      </c>
      <c r="CI62" s="25">
        <v>0</v>
      </c>
      <c r="CJ62" s="25">
        <v>0</v>
      </c>
      <c r="CK62" s="25">
        <v>0</v>
      </c>
      <c r="CL62" s="25">
        <v>0</v>
      </c>
      <c r="CM62" s="25">
        <v>0</v>
      </c>
      <c r="CN62" s="25">
        <v>0</v>
      </c>
      <c r="CO62" s="25">
        <v>0</v>
      </c>
      <c r="CP62" s="25">
        <v>0</v>
      </c>
      <c r="CQ62" s="25">
        <v>0</v>
      </c>
      <c r="CR62" s="25">
        <v>0</v>
      </c>
      <c r="CS62" s="25">
        <v>0</v>
      </c>
      <c r="CT62" s="25">
        <v>0</v>
      </c>
      <c r="CU62" s="25">
        <v>0</v>
      </c>
      <c r="CV62" s="25">
        <v>0</v>
      </c>
      <c r="CW62" s="25">
        <v>0</v>
      </c>
      <c r="CX62" s="25">
        <v>0</v>
      </c>
      <c r="CY62" s="25">
        <v>0</v>
      </c>
      <c r="CZ62" s="25">
        <v>0</v>
      </c>
      <c r="DA62" s="25">
        <v>0</v>
      </c>
      <c r="DB62" s="25">
        <v>0</v>
      </c>
      <c r="DC62" s="25">
        <v>0</v>
      </c>
      <c r="DD62" s="25">
        <v>0</v>
      </c>
      <c r="DE62" s="25">
        <v>0</v>
      </c>
      <c r="DF62" s="25">
        <v>0</v>
      </c>
      <c r="DG62" s="25">
        <v>0</v>
      </c>
      <c r="DH62" s="25">
        <v>0</v>
      </c>
      <c r="DI62" s="25">
        <v>0</v>
      </c>
      <c r="DJ62" s="25">
        <v>0</v>
      </c>
    </row>
    <row r="63" spans="1:114" s="25" customFormat="1" x14ac:dyDescent="0.25">
      <c r="A63" s="25">
        <v>62</v>
      </c>
      <c r="B63" s="1" t="s">
        <v>40</v>
      </c>
      <c r="C63" s="26" t="s">
        <v>283</v>
      </c>
      <c r="D63" t="s">
        <v>1802</v>
      </c>
      <c r="E63" s="25">
        <v>1.1469</v>
      </c>
      <c r="F63" s="25" t="s">
        <v>1538</v>
      </c>
      <c r="G63" s="25" t="s">
        <v>15</v>
      </c>
      <c r="H63" s="25" t="s">
        <v>16</v>
      </c>
      <c r="I63" s="25">
        <v>0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0</v>
      </c>
      <c r="T63" s="25">
        <v>0</v>
      </c>
      <c r="U63" s="25">
        <v>0</v>
      </c>
      <c r="V63" s="25">
        <v>0</v>
      </c>
      <c r="W63" s="25">
        <v>0</v>
      </c>
      <c r="X63" s="25">
        <v>1</v>
      </c>
      <c r="Y63" s="25">
        <v>0</v>
      </c>
      <c r="Z63" s="25">
        <v>0</v>
      </c>
      <c r="AA63" s="25">
        <v>0</v>
      </c>
      <c r="AB63" s="25">
        <v>0</v>
      </c>
      <c r="AC63" s="25">
        <v>0</v>
      </c>
      <c r="AD63" s="25">
        <v>0</v>
      </c>
      <c r="AE63" s="25">
        <v>0</v>
      </c>
      <c r="AF63" s="25">
        <v>0</v>
      </c>
      <c r="AG63" s="25">
        <v>0</v>
      </c>
      <c r="AH63" s="25">
        <v>0</v>
      </c>
      <c r="AI63" s="25">
        <v>0</v>
      </c>
      <c r="AJ63" s="25">
        <v>0</v>
      </c>
      <c r="AK63" s="25">
        <v>0</v>
      </c>
      <c r="AL63" s="25">
        <v>0</v>
      </c>
      <c r="AM63" s="25">
        <v>0</v>
      </c>
      <c r="AN63" s="25">
        <v>0</v>
      </c>
      <c r="AO63" s="25">
        <v>0</v>
      </c>
      <c r="AP63" s="25">
        <v>0</v>
      </c>
      <c r="AQ63" s="25">
        <v>0</v>
      </c>
      <c r="AR63" s="25">
        <v>0</v>
      </c>
      <c r="AS63" s="25">
        <v>0</v>
      </c>
      <c r="AT63" s="25">
        <v>0</v>
      </c>
      <c r="AU63" s="25">
        <v>0</v>
      </c>
      <c r="AV63" s="25">
        <v>0</v>
      </c>
      <c r="AW63" s="25">
        <v>0</v>
      </c>
      <c r="AX63" s="25">
        <v>0</v>
      </c>
      <c r="AY63" s="25">
        <v>0</v>
      </c>
      <c r="AZ63" s="25">
        <v>0</v>
      </c>
      <c r="BA63" s="25">
        <v>0</v>
      </c>
      <c r="BB63" s="25">
        <v>0</v>
      </c>
      <c r="BC63" s="25">
        <v>0</v>
      </c>
      <c r="BD63" s="25">
        <v>0</v>
      </c>
      <c r="BE63" s="25">
        <v>0</v>
      </c>
      <c r="BF63" s="25">
        <v>0</v>
      </c>
      <c r="BG63" s="25">
        <v>0</v>
      </c>
      <c r="BH63" s="25">
        <v>0</v>
      </c>
      <c r="BI63" s="25">
        <v>0</v>
      </c>
      <c r="BJ63" s="25">
        <v>0</v>
      </c>
      <c r="BK63" s="25">
        <v>0</v>
      </c>
      <c r="BL63" s="25">
        <v>0</v>
      </c>
      <c r="BM63" s="25">
        <v>0</v>
      </c>
      <c r="BN63" s="25">
        <v>0</v>
      </c>
      <c r="BO63" s="25">
        <v>0</v>
      </c>
      <c r="BP63" s="25">
        <v>0</v>
      </c>
      <c r="BQ63" s="25">
        <v>0</v>
      </c>
      <c r="BR63" s="25">
        <v>0</v>
      </c>
      <c r="BS63" s="25">
        <v>0</v>
      </c>
      <c r="BT63" s="25">
        <v>0</v>
      </c>
      <c r="BU63" s="25">
        <v>0</v>
      </c>
      <c r="BV63" s="25">
        <v>0</v>
      </c>
      <c r="BW63" s="25">
        <v>0</v>
      </c>
      <c r="BX63" s="25">
        <v>0</v>
      </c>
      <c r="BY63" s="25">
        <v>0</v>
      </c>
      <c r="BZ63" s="25">
        <v>0</v>
      </c>
      <c r="CA63" s="25">
        <v>0</v>
      </c>
      <c r="CB63" s="25">
        <v>0</v>
      </c>
      <c r="CC63" s="25">
        <v>0</v>
      </c>
      <c r="CD63" s="25">
        <v>1</v>
      </c>
      <c r="CE63" s="25">
        <v>0</v>
      </c>
      <c r="CF63" s="25">
        <v>0</v>
      </c>
      <c r="CG63" s="25">
        <v>0</v>
      </c>
      <c r="CH63" s="25">
        <v>0</v>
      </c>
      <c r="CI63" s="25">
        <v>0</v>
      </c>
      <c r="CJ63" s="25">
        <v>0</v>
      </c>
      <c r="CK63" s="25">
        <v>0</v>
      </c>
      <c r="CL63" s="25">
        <v>0</v>
      </c>
      <c r="CM63" s="25">
        <v>0</v>
      </c>
      <c r="CN63" s="25">
        <v>0</v>
      </c>
      <c r="CO63" s="25">
        <v>0</v>
      </c>
      <c r="CP63" s="25">
        <v>0</v>
      </c>
      <c r="CQ63" s="25">
        <v>0</v>
      </c>
      <c r="CR63" s="25">
        <v>0</v>
      </c>
      <c r="CS63" s="25">
        <v>0</v>
      </c>
      <c r="CT63" s="25">
        <v>0</v>
      </c>
      <c r="CU63" s="25">
        <v>0</v>
      </c>
      <c r="CV63" s="25">
        <v>0</v>
      </c>
      <c r="CW63" s="25">
        <v>0</v>
      </c>
      <c r="CX63" s="25">
        <v>0</v>
      </c>
      <c r="CY63" s="25">
        <v>0</v>
      </c>
      <c r="CZ63" s="25">
        <v>0</v>
      </c>
      <c r="DA63" s="25">
        <v>0</v>
      </c>
      <c r="DB63" s="25">
        <v>0</v>
      </c>
      <c r="DC63" s="25">
        <v>0</v>
      </c>
      <c r="DD63" s="25">
        <v>0</v>
      </c>
      <c r="DE63" s="25">
        <v>0</v>
      </c>
      <c r="DF63" s="25">
        <v>0</v>
      </c>
      <c r="DG63" s="25">
        <v>0</v>
      </c>
      <c r="DH63" s="25">
        <v>0</v>
      </c>
      <c r="DI63" s="25">
        <v>0</v>
      </c>
      <c r="DJ63" s="25">
        <v>0</v>
      </c>
    </row>
    <row r="64" spans="1:114" s="25" customFormat="1" x14ac:dyDescent="0.25">
      <c r="A64" s="25">
        <v>63</v>
      </c>
      <c r="B64" s="1" t="s">
        <v>40</v>
      </c>
      <c r="C64" s="26" t="s">
        <v>346</v>
      </c>
      <c r="D64" t="s">
        <v>1802</v>
      </c>
      <c r="E64" s="25">
        <v>1.1282700000000001</v>
      </c>
      <c r="F64" s="25" t="s">
        <v>1538</v>
      </c>
      <c r="G64" s="25" t="s">
        <v>14</v>
      </c>
      <c r="H64" s="25" t="s">
        <v>17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5">
        <v>0</v>
      </c>
      <c r="V64" s="25">
        <v>0</v>
      </c>
      <c r="W64" s="25">
        <v>0</v>
      </c>
      <c r="X64" s="25">
        <v>1</v>
      </c>
      <c r="Y64" s="25">
        <v>0</v>
      </c>
      <c r="Z64" s="25">
        <v>0</v>
      </c>
      <c r="AA64" s="25">
        <v>0</v>
      </c>
      <c r="AB64" s="25">
        <v>0</v>
      </c>
      <c r="AC64" s="25">
        <v>0</v>
      </c>
      <c r="AD64" s="25">
        <v>0</v>
      </c>
      <c r="AE64" s="25">
        <v>0</v>
      </c>
      <c r="AF64" s="25">
        <v>1</v>
      </c>
      <c r="AG64" s="25">
        <v>0</v>
      </c>
      <c r="AH64" s="25">
        <v>0</v>
      </c>
      <c r="AI64" s="25">
        <v>0</v>
      </c>
      <c r="AJ64" s="25">
        <v>0</v>
      </c>
      <c r="AK64" s="25">
        <v>0</v>
      </c>
      <c r="AL64" s="25">
        <v>0</v>
      </c>
      <c r="AM64" s="25">
        <v>0</v>
      </c>
      <c r="AN64" s="25">
        <v>0</v>
      </c>
      <c r="AO64" s="25">
        <v>0</v>
      </c>
      <c r="AP64" s="25">
        <v>0</v>
      </c>
      <c r="AQ64" s="25">
        <v>0</v>
      </c>
      <c r="AR64" s="25">
        <v>0</v>
      </c>
      <c r="AS64" s="25">
        <v>0</v>
      </c>
      <c r="AT64" s="25">
        <v>0</v>
      </c>
      <c r="AU64" s="25">
        <v>0</v>
      </c>
      <c r="AV64" s="25">
        <v>0</v>
      </c>
      <c r="AW64" s="25">
        <v>0</v>
      </c>
      <c r="AX64" s="25">
        <v>0</v>
      </c>
      <c r="AY64" s="25">
        <v>0</v>
      </c>
      <c r="AZ64" s="25">
        <v>0</v>
      </c>
      <c r="BA64" s="25">
        <v>0</v>
      </c>
      <c r="BB64" s="25">
        <v>0</v>
      </c>
      <c r="BC64" s="25">
        <v>0</v>
      </c>
      <c r="BD64" s="25">
        <v>0</v>
      </c>
      <c r="BE64" s="25">
        <v>0</v>
      </c>
      <c r="BF64" s="25">
        <v>0</v>
      </c>
      <c r="BG64" s="25">
        <v>0</v>
      </c>
      <c r="BH64" s="25">
        <v>1</v>
      </c>
      <c r="BI64" s="25">
        <v>0</v>
      </c>
      <c r="BJ64" s="25">
        <v>0</v>
      </c>
      <c r="BK64" s="25">
        <v>0</v>
      </c>
      <c r="BL64" s="25">
        <v>0</v>
      </c>
      <c r="BM64" s="25">
        <v>0</v>
      </c>
      <c r="BN64" s="25">
        <v>0</v>
      </c>
      <c r="BO64" s="25">
        <v>0</v>
      </c>
      <c r="BP64" s="25">
        <v>0</v>
      </c>
      <c r="BQ64" s="25">
        <v>0</v>
      </c>
      <c r="BR64" s="25">
        <v>0</v>
      </c>
      <c r="BS64" s="25">
        <v>0</v>
      </c>
      <c r="BT64" s="25">
        <v>0</v>
      </c>
      <c r="BU64" s="25">
        <v>0</v>
      </c>
      <c r="BV64" s="25">
        <v>0</v>
      </c>
      <c r="BW64" s="25">
        <v>1</v>
      </c>
      <c r="BX64" s="25">
        <v>0</v>
      </c>
      <c r="BY64" s="25">
        <v>0</v>
      </c>
      <c r="BZ64" s="25">
        <v>0</v>
      </c>
      <c r="CA64" s="25">
        <v>0</v>
      </c>
      <c r="CB64" s="25">
        <v>0</v>
      </c>
      <c r="CC64" s="25">
        <v>0</v>
      </c>
      <c r="CD64" s="25">
        <v>1</v>
      </c>
      <c r="CE64" s="25">
        <v>0</v>
      </c>
      <c r="CF64" s="25">
        <v>0</v>
      </c>
      <c r="CG64" s="25">
        <v>1</v>
      </c>
      <c r="CH64" s="25">
        <v>0</v>
      </c>
      <c r="CI64" s="25">
        <v>0</v>
      </c>
      <c r="CJ64" s="25">
        <v>0</v>
      </c>
      <c r="CK64" s="25">
        <v>0</v>
      </c>
      <c r="CL64" s="25">
        <v>0</v>
      </c>
      <c r="CM64" s="25">
        <v>0</v>
      </c>
      <c r="CN64" s="25">
        <v>0</v>
      </c>
      <c r="CO64" s="25">
        <v>0</v>
      </c>
      <c r="CP64" s="25">
        <v>0</v>
      </c>
      <c r="CQ64" s="25">
        <v>0</v>
      </c>
      <c r="CR64" s="25">
        <v>0</v>
      </c>
      <c r="CS64" s="25">
        <v>0</v>
      </c>
      <c r="CT64" s="25">
        <v>0</v>
      </c>
      <c r="CU64" s="25">
        <v>0</v>
      </c>
      <c r="CV64" s="25">
        <v>0</v>
      </c>
      <c r="CW64" s="25">
        <v>0</v>
      </c>
      <c r="CX64" s="25">
        <v>0</v>
      </c>
      <c r="CY64" s="25">
        <v>0</v>
      </c>
      <c r="CZ64" s="25">
        <v>0</v>
      </c>
      <c r="DA64" s="25">
        <v>0</v>
      </c>
      <c r="DB64" s="25">
        <v>0</v>
      </c>
      <c r="DC64" s="25">
        <v>0</v>
      </c>
      <c r="DD64" s="25">
        <v>0</v>
      </c>
      <c r="DE64" s="25">
        <v>0</v>
      </c>
      <c r="DF64" s="25">
        <v>0</v>
      </c>
      <c r="DG64" s="25">
        <v>0</v>
      </c>
      <c r="DH64" s="25">
        <v>0</v>
      </c>
      <c r="DI64" s="25">
        <v>0</v>
      </c>
      <c r="DJ64" s="25">
        <v>0</v>
      </c>
    </row>
    <row r="65" spans="1:114" s="25" customFormat="1" x14ac:dyDescent="0.25">
      <c r="A65" s="25">
        <v>64</v>
      </c>
      <c r="B65" t="s">
        <v>40</v>
      </c>
      <c r="C65" s="26" t="s">
        <v>380</v>
      </c>
      <c r="D65" t="s">
        <v>1802</v>
      </c>
      <c r="E65" s="25">
        <v>2.0695299999999999</v>
      </c>
      <c r="F65" s="25" t="s">
        <v>1538</v>
      </c>
      <c r="G65" s="25" t="s">
        <v>14</v>
      </c>
      <c r="H65" s="25" t="s">
        <v>17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  <c r="AE65" s="25">
        <v>0</v>
      </c>
      <c r="AF65" s="25">
        <v>0</v>
      </c>
      <c r="AG65" s="25">
        <v>0</v>
      </c>
      <c r="AH65" s="25">
        <v>1</v>
      </c>
      <c r="AI65" s="25">
        <v>0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1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0</v>
      </c>
      <c r="AX65" s="25">
        <v>0</v>
      </c>
      <c r="AY65" s="25">
        <v>0</v>
      </c>
      <c r="AZ65" s="25">
        <v>0</v>
      </c>
      <c r="BA65" s="25">
        <v>0</v>
      </c>
      <c r="BB65" s="25">
        <v>0</v>
      </c>
      <c r="BC65" s="25">
        <v>0</v>
      </c>
      <c r="BD65" s="25">
        <v>0</v>
      </c>
      <c r="BE65" s="25">
        <v>0</v>
      </c>
      <c r="BF65" s="25">
        <v>0</v>
      </c>
      <c r="BG65" s="25">
        <v>0</v>
      </c>
      <c r="BH65" s="25">
        <v>0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0</v>
      </c>
      <c r="BW65" s="25">
        <v>0</v>
      </c>
      <c r="BX65" s="25">
        <v>1</v>
      </c>
      <c r="BY65" s="25">
        <v>1</v>
      </c>
      <c r="BZ65" s="25">
        <v>0</v>
      </c>
      <c r="CA65" s="25">
        <v>0</v>
      </c>
      <c r="CB65" s="25">
        <v>0</v>
      </c>
      <c r="CC65" s="25">
        <v>0</v>
      </c>
      <c r="CD65" s="25">
        <v>0</v>
      </c>
      <c r="CE65" s="25">
        <v>0</v>
      </c>
      <c r="CF65" s="25">
        <v>1</v>
      </c>
      <c r="CG65" s="25">
        <v>0</v>
      </c>
      <c r="CH65" s="25">
        <v>0</v>
      </c>
      <c r="CI65" s="25">
        <v>0</v>
      </c>
      <c r="CJ65" s="25">
        <v>0</v>
      </c>
      <c r="CK65" s="25">
        <v>0</v>
      </c>
      <c r="CL65" s="25">
        <v>0</v>
      </c>
      <c r="CM65" s="25">
        <v>0</v>
      </c>
      <c r="CN65" s="25">
        <v>0</v>
      </c>
      <c r="CO65" s="25">
        <v>0</v>
      </c>
      <c r="CP65" s="25">
        <v>0</v>
      </c>
      <c r="CQ65" s="25">
        <v>0</v>
      </c>
      <c r="CR65" s="25">
        <v>0</v>
      </c>
      <c r="CS65" s="25">
        <v>0</v>
      </c>
      <c r="CT65" s="25">
        <v>0</v>
      </c>
      <c r="CU65" s="25">
        <v>0</v>
      </c>
      <c r="CV65" s="25">
        <v>0</v>
      </c>
      <c r="CW65" s="25">
        <v>0</v>
      </c>
      <c r="CX65" s="25">
        <v>0</v>
      </c>
      <c r="CY65" s="25">
        <v>0</v>
      </c>
      <c r="CZ65" s="25">
        <v>0</v>
      </c>
      <c r="DA65" s="25">
        <v>0</v>
      </c>
      <c r="DB65" s="25">
        <v>0</v>
      </c>
      <c r="DC65" s="25">
        <v>0</v>
      </c>
      <c r="DD65" s="25">
        <v>0</v>
      </c>
      <c r="DE65" s="25">
        <v>0</v>
      </c>
      <c r="DF65" s="25">
        <v>0</v>
      </c>
      <c r="DG65" s="25">
        <v>0</v>
      </c>
      <c r="DH65" s="25">
        <v>0</v>
      </c>
      <c r="DI65" s="25">
        <v>0</v>
      </c>
      <c r="DJ65" s="25">
        <v>0</v>
      </c>
    </row>
    <row r="66" spans="1:114" s="25" customFormat="1" x14ac:dyDescent="0.25">
      <c r="A66" s="25">
        <v>65</v>
      </c>
      <c r="B66" t="s">
        <v>580</v>
      </c>
      <c r="C66" s="26" t="s">
        <v>1448</v>
      </c>
      <c r="D66" t="s">
        <v>1453</v>
      </c>
      <c r="E66" s="25">
        <v>8.6639700000000008</v>
      </c>
      <c r="F66" s="25" t="s">
        <v>1538</v>
      </c>
      <c r="G66" s="25" t="s">
        <v>14</v>
      </c>
      <c r="H66" s="25" t="s">
        <v>16</v>
      </c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1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  <c r="Z66" s="25">
        <v>0</v>
      </c>
      <c r="AA66" s="25">
        <v>0</v>
      </c>
      <c r="AB66" s="25">
        <v>0</v>
      </c>
      <c r="AC66" s="25">
        <v>0</v>
      </c>
      <c r="AD66" s="25">
        <v>0</v>
      </c>
      <c r="AE66" s="25">
        <v>0</v>
      </c>
      <c r="AF66" s="25">
        <v>0</v>
      </c>
      <c r="AG66" s="25">
        <v>0</v>
      </c>
      <c r="AH66" s="25">
        <v>0</v>
      </c>
      <c r="AI66" s="25">
        <v>0</v>
      </c>
      <c r="AJ66" s="25">
        <v>0</v>
      </c>
      <c r="AK66" s="25">
        <v>0</v>
      </c>
      <c r="AL66" s="25">
        <v>0</v>
      </c>
      <c r="AM66" s="25">
        <v>0</v>
      </c>
      <c r="AN66" s="25">
        <v>0</v>
      </c>
      <c r="AO66" s="25">
        <v>0</v>
      </c>
      <c r="AP66" s="25">
        <v>0</v>
      </c>
      <c r="AQ66" s="25">
        <v>0</v>
      </c>
      <c r="AR66" s="25">
        <v>0</v>
      </c>
      <c r="AS66" s="25">
        <v>0</v>
      </c>
      <c r="AT66" s="25">
        <v>0</v>
      </c>
      <c r="AU66" s="25">
        <v>0</v>
      </c>
      <c r="AV66" s="25">
        <v>0</v>
      </c>
      <c r="AW66" s="25">
        <v>0</v>
      </c>
      <c r="AX66" s="25">
        <v>0</v>
      </c>
      <c r="AY66" s="25">
        <v>0</v>
      </c>
      <c r="AZ66" s="25">
        <v>0</v>
      </c>
      <c r="BA66" s="25">
        <v>0</v>
      </c>
      <c r="BB66" s="25">
        <v>0</v>
      </c>
      <c r="BC66" s="25">
        <v>0</v>
      </c>
      <c r="BD66" s="25">
        <v>0</v>
      </c>
      <c r="BE66" s="25">
        <v>0</v>
      </c>
      <c r="BF66" s="25">
        <v>0</v>
      </c>
      <c r="BG66" s="25">
        <v>0</v>
      </c>
      <c r="BH66" s="25">
        <v>0</v>
      </c>
      <c r="BI66" s="25">
        <v>0</v>
      </c>
      <c r="BJ66" s="25">
        <v>0</v>
      </c>
      <c r="BK66" s="25">
        <v>0</v>
      </c>
      <c r="BL66" s="25">
        <v>0</v>
      </c>
      <c r="BM66" s="25">
        <v>0</v>
      </c>
      <c r="BN66" s="25">
        <v>0</v>
      </c>
      <c r="BO66" s="25">
        <v>0</v>
      </c>
      <c r="BP66" s="25">
        <v>0</v>
      </c>
      <c r="BQ66" s="25">
        <v>0</v>
      </c>
      <c r="BR66" s="25">
        <v>0</v>
      </c>
      <c r="BS66" s="25">
        <v>0</v>
      </c>
      <c r="BT66" s="25">
        <v>0</v>
      </c>
      <c r="BU66" s="25">
        <v>0</v>
      </c>
      <c r="BV66" s="25">
        <v>0</v>
      </c>
      <c r="BW66" s="25">
        <v>0</v>
      </c>
      <c r="BX66" s="25">
        <v>0</v>
      </c>
      <c r="BY66" s="25">
        <v>0</v>
      </c>
      <c r="BZ66" s="25">
        <v>0</v>
      </c>
      <c r="CA66" s="25">
        <v>0</v>
      </c>
      <c r="CB66" s="25">
        <v>0</v>
      </c>
      <c r="CC66" s="25">
        <v>0</v>
      </c>
      <c r="CD66" s="25">
        <v>0</v>
      </c>
      <c r="CE66" s="25">
        <v>0</v>
      </c>
      <c r="CF66" s="25">
        <v>0</v>
      </c>
      <c r="CG66" s="25">
        <v>0</v>
      </c>
      <c r="CH66" s="25">
        <v>0</v>
      </c>
      <c r="CI66" s="25">
        <v>0</v>
      </c>
      <c r="CJ66" s="25">
        <v>0</v>
      </c>
      <c r="CK66" s="25">
        <v>0</v>
      </c>
      <c r="CL66" s="25">
        <v>0</v>
      </c>
      <c r="CM66" s="25">
        <v>0</v>
      </c>
      <c r="CN66" s="25">
        <v>0</v>
      </c>
      <c r="CO66" s="25">
        <v>0</v>
      </c>
      <c r="CP66" s="25">
        <v>0</v>
      </c>
      <c r="CQ66" s="25">
        <v>0</v>
      </c>
      <c r="CR66" s="25">
        <v>0</v>
      </c>
      <c r="CS66" s="25">
        <v>0</v>
      </c>
      <c r="CT66" s="25">
        <v>0</v>
      </c>
      <c r="CU66" s="25">
        <v>0</v>
      </c>
      <c r="CV66" s="25">
        <v>0</v>
      </c>
      <c r="CW66" s="25">
        <v>0</v>
      </c>
      <c r="CX66" s="25">
        <v>0</v>
      </c>
      <c r="CY66" s="25">
        <v>0</v>
      </c>
      <c r="CZ66" s="25">
        <v>0</v>
      </c>
      <c r="DA66" s="25">
        <v>0</v>
      </c>
      <c r="DB66" s="25">
        <v>0</v>
      </c>
      <c r="DC66" s="25">
        <v>0</v>
      </c>
      <c r="DD66" s="25">
        <v>0</v>
      </c>
      <c r="DE66" s="25">
        <v>0</v>
      </c>
      <c r="DF66" s="25">
        <v>0</v>
      </c>
      <c r="DG66" s="25">
        <v>0</v>
      </c>
      <c r="DH66" s="25">
        <v>0</v>
      </c>
      <c r="DI66" s="25">
        <v>0</v>
      </c>
      <c r="DJ66" s="25">
        <v>0</v>
      </c>
    </row>
    <row r="67" spans="1:114" s="25" customFormat="1" x14ac:dyDescent="0.25">
      <c r="A67" s="25">
        <v>66</v>
      </c>
      <c r="B67" s="1" t="s">
        <v>40</v>
      </c>
      <c r="C67" s="26" t="s">
        <v>1455</v>
      </c>
      <c r="D67" t="s">
        <v>1802</v>
      </c>
      <c r="E67" s="25">
        <v>3.2048199999999998</v>
      </c>
      <c r="F67" s="25" t="s">
        <v>1538</v>
      </c>
      <c r="G67" s="25" t="s">
        <v>14</v>
      </c>
      <c r="H67" s="25" t="s">
        <v>17</v>
      </c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1</v>
      </c>
      <c r="Y67" s="25">
        <v>0</v>
      </c>
      <c r="Z67" s="25">
        <v>0</v>
      </c>
      <c r="AA67" s="25">
        <v>0</v>
      </c>
      <c r="AB67" s="25">
        <v>0</v>
      </c>
      <c r="AC67" s="25">
        <v>0</v>
      </c>
      <c r="AD67" s="25">
        <v>0</v>
      </c>
      <c r="AE67" s="25">
        <v>0</v>
      </c>
      <c r="AF67" s="25">
        <v>0</v>
      </c>
      <c r="AG67" s="25">
        <v>0</v>
      </c>
      <c r="AH67" s="25">
        <v>0</v>
      </c>
      <c r="AI67" s="25">
        <v>0</v>
      </c>
      <c r="AJ67" s="25">
        <v>1</v>
      </c>
      <c r="AK67" s="25">
        <v>0</v>
      </c>
      <c r="AL67" s="25">
        <v>0</v>
      </c>
      <c r="AM67" s="25">
        <v>0</v>
      </c>
      <c r="AN67" s="25">
        <v>0</v>
      </c>
      <c r="AO67" s="25">
        <v>0</v>
      </c>
      <c r="AP67" s="25">
        <v>0</v>
      </c>
      <c r="AQ67" s="25">
        <v>0</v>
      </c>
      <c r="AR67" s="25">
        <v>0</v>
      </c>
      <c r="AS67" s="25">
        <v>0</v>
      </c>
      <c r="AT67" s="25">
        <v>0</v>
      </c>
      <c r="AU67" s="25">
        <v>0</v>
      </c>
      <c r="AV67" s="25">
        <v>0</v>
      </c>
      <c r="AW67" s="25">
        <v>0</v>
      </c>
      <c r="AX67" s="25">
        <v>0</v>
      </c>
      <c r="AY67" s="25">
        <v>0</v>
      </c>
      <c r="AZ67" s="25">
        <v>0</v>
      </c>
      <c r="BA67" s="25">
        <v>0</v>
      </c>
      <c r="BB67" s="25">
        <v>0</v>
      </c>
      <c r="BC67" s="25">
        <v>0</v>
      </c>
      <c r="BD67" s="25">
        <v>1</v>
      </c>
      <c r="BE67" s="25">
        <v>0</v>
      </c>
      <c r="BF67" s="25">
        <v>0</v>
      </c>
      <c r="BG67" s="25">
        <v>0</v>
      </c>
      <c r="BH67" s="25">
        <v>1</v>
      </c>
      <c r="BI67" s="25">
        <v>0</v>
      </c>
      <c r="BJ67" s="25">
        <v>0</v>
      </c>
      <c r="BK67" s="25">
        <v>1</v>
      </c>
      <c r="BL67" s="25">
        <v>0</v>
      </c>
      <c r="BM67" s="25">
        <v>0</v>
      </c>
      <c r="BN67" s="25">
        <v>0</v>
      </c>
      <c r="BO67" s="25">
        <v>0</v>
      </c>
      <c r="BP67" s="25">
        <v>0</v>
      </c>
      <c r="BQ67" s="25">
        <v>0</v>
      </c>
      <c r="BR67" s="25">
        <v>0</v>
      </c>
      <c r="BS67" s="25">
        <v>0</v>
      </c>
      <c r="BT67" s="25">
        <v>0</v>
      </c>
      <c r="BU67" s="25">
        <v>0</v>
      </c>
      <c r="BV67" s="25">
        <v>0</v>
      </c>
      <c r="BW67" s="25">
        <v>0</v>
      </c>
      <c r="BX67" s="25">
        <v>0</v>
      </c>
      <c r="BY67" s="25">
        <v>0</v>
      </c>
      <c r="BZ67" s="25">
        <v>0</v>
      </c>
      <c r="CA67" s="25">
        <v>0</v>
      </c>
      <c r="CB67" s="25">
        <v>0</v>
      </c>
      <c r="CC67" s="25">
        <v>0</v>
      </c>
      <c r="CD67" s="25">
        <v>0</v>
      </c>
      <c r="CE67" s="25">
        <v>0</v>
      </c>
      <c r="CF67" s="25">
        <v>0</v>
      </c>
      <c r="CG67" s="25">
        <v>0</v>
      </c>
      <c r="CH67" s="25">
        <v>0</v>
      </c>
      <c r="CI67" s="25">
        <v>0</v>
      </c>
      <c r="CJ67" s="25">
        <v>0</v>
      </c>
      <c r="CK67" s="25">
        <v>0</v>
      </c>
      <c r="CL67" s="25">
        <v>0</v>
      </c>
      <c r="CM67" s="25">
        <v>0</v>
      </c>
      <c r="CN67" s="25">
        <v>0</v>
      </c>
      <c r="CO67" s="25">
        <v>0</v>
      </c>
      <c r="CP67" s="25">
        <v>0</v>
      </c>
      <c r="CQ67" s="25">
        <v>0</v>
      </c>
      <c r="CR67" s="25">
        <v>0</v>
      </c>
      <c r="CS67" s="25">
        <v>0</v>
      </c>
      <c r="CT67" s="25">
        <v>0</v>
      </c>
      <c r="CU67" s="25">
        <v>0</v>
      </c>
      <c r="CV67" s="25">
        <v>0</v>
      </c>
      <c r="CW67" s="25">
        <v>0</v>
      </c>
      <c r="CX67" s="25">
        <v>0</v>
      </c>
      <c r="CY67" s="25">
        <v>0</v>
      </c>
      <c r="CZ67" s="25">
        <v>1</v>
      </c>
      <c r="DA67" s="25">
        <v>0</v>
      </c>
      <c r="DB67" s="25">
        <v>0</v>
      </c>
      <c r="DC67" s="25">
        <v>0</v>
      </c>
      <c r="DD67" s="25">
        <v>0</v>
      </c>
      <c r="DE67" s="25">
        <v>0</v>
      </c>
      <c r="DF67" s="25">
        <v>0</v>
      </c>
      <c r="DG67" s="25">
        <v>0</v>
      </c>
      <c r="DH67" s="25">
        <v>0</v>
      </c>
      <c r="DI67" s="25">
        <v>0</v>
      </c>
      <c r="DJ67" s="25">
        <v>0</v>
      </c>
    </row>
    <row r="68" spans="1:114" s="25" customFormat="1" x14ac:dyDescent="0.25">
      <c r="A68" s="25">
        <v>67</v>
      </c>
      <c r="B68" t="s">
        <v>40</v>
      </c>
      <c r="C68" s="25" t="s">
        <v>41</v>
      </c>
      <c r="D68" t="s">
        <v>1802</v>
      </c>
      <c r="E68" s="25">
        <v>1.07927</v>
      </c>
      <c r="F68" s="25" t="s">
        <v>1538</v>
      </c>
      <c r="G68" s="25" t="s">
        <v>13</v>
      </c>
      <c r="H68" s="25" t="s">
        <v>16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1</v>
      </c>
      <c r="V68" s="25">
        <v>0</v>
      </c>
      <c r="W68" s="25">
        <v>0</v>
      </c>
      <c r="X68" s="25">
        <v>1</v>
      </c>
      <c r="Y68" s="25">
        <v>0</v>
      </c>
      <c r="Z68" s="25">
        <v>0</v>
      </c>
      <c r="AA68" s="25">
        <v>0</v>
      </c>
      <c r="AB68" s="25">
        <v>0</v>
      </c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>
        <v>0</v>
      </c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1</v>
      </c>
      <c r="BI68" s="25">
        <v>0</v>
      </c>
      <c r="BJ68" s="25">
        <v>0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>
        <v>0</v>
      </c>
      <c r="CA68" s="25">
        <v>0</v>
      </c>
      <c r="CB68" s="25">
        <v>0</v>
      </c>
      <c r="CC68" s="25">
        <v>0</v>
      </c>
      <c r="CD68" s="25">
        <v>1</v>
      </c>
      <c r="CE68" s="25">
        <v>0</v>
      </c>
      <c r="CF68" s="25">
        <v>0</v>
      </c>
      <c r="CG68" s="25">
        <v>0</v>
      </c>
      <c r="CH68" s="25">
        <v>0</v>
      </c>
      <c r="CI68" s="25">
        <v>0</v>
      </c>
      <c r="CJ68" s="25">
        <v>0</v>
      </c>
      <c r="CK68" s="25">
        <v>0</v>
      </c>
      <c r="CL68" s="25">
        <v>0</v>
      </c>
      <c r="CM68" s="25">
        <v>0</v>
      </c>
      <c r="CN68" s="25">
        <v>0</v>
      </c>
      <c r="CO68" s="25">
        <v>0</v>
      </c>
      <c r="CP68" s="25">
        <v>0</v>
      </c>
      <c r="CQ68" s="25">
        <v>0</v>
      </c>
      <c r="CR68" s="25">
        <v>0</v>
      </c>
      <c r="CS68" s="25">
        <v>0</v>
      </c>
      <c r="CT68" s="25">
        <v>0</v>
      </c>
      <c r="CU68" s="25">
        <v>0</v>
      </c>
      <c r="CV68" s="25">
        <v>0</v>
      </c>
      <c r="CW68" s="25">
        <v>0</v>
      </c>
      <c r="CX68" s="25">
        <v>0</v>
      </c>
      <c r="CY68" s="25">
        <v>0</v>
      </c>
      <c r="CZ68" s="25">
        <v>0</v>
      </c>
      <c r="DA68" s="25">
        <v>0</v>
      </c>
      <c r="DB68" s="25">
        <v>0</v>
      </c>
      <c r="DC68" s="25">
        <v>0</v>
      </c>
      <c r="DD68" s="25">
        <v>0</v>
      </c>
      <c r="DE68" s="25">
        <v>0</v>
      </c>
      <c r="DF68" s="25">
        <v>0</v>
      </c>
      <c r="DG68" s="25">
        <v>0</v>
      </c>
      <c r="DH68" s="25">
        <v>0</v>
      </c>
      <c r="DI68" s="25">
        <v>0</v>
      </c>
      <c r="DJ68" s="25">
        <v>0</v>
      </c>
    </row>
    <row r="69" spans="1:114" s="25" customFormat="1" x14ac:dyDescent="0.25">
      <c r="A69" s="25">
        <v>68</v>
      </c>
      <c r="B69" s="1" t="s">
        <v>40</v>
      </c>
      <c r="C69" s="26" t="s">
        <v>1456</v>
      </c>
      <c r="D69" t="s">
        <v>1802</v>
      </c>
      <c r="E69" s="25">
        <v>0.809751</v>
      </c>
      <c r="F69" s="25" t="s">
        <v>1538</v>
      </c>
      <c r="G69" s="25" t="s">
        <v>14</v>
      </c>
      <c r="H69" s="25" t="s">
        <v>17</v>
      </c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5">
        <v>0</v>
      </c>
      <c r="V69" s="25">
        <v>0</v>
      </c>
      <c r="W69" s="25">
        <v>0</v>
      </c>
      <c r="X69" s="25">
        <v>0</v>
      </c>
      <c r="Y69" s="25">
        <v>0</v>
      </c>
      <c r="Z69" s="25">
        <v>1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0</v>
      </c>
      <c r="AG69" s="25">
        <v>0</v>
      </c>
      <c r="AH69" s="25">
        <v>0</v>
      </c>
      <c r="AI69" s="25">
        <v>0</v>
      </c>
      <c r="AJ69" s="25">
        <v>0</v>
      </c>
      <c r="AK69" s="25">
        <v>0</v>
      </c>
      <c r="AL69" s="25">
        <v>0</v>
      </c>
      <c r="AM69" s="25">
        <v>0</v>
      </c>
      <c r="AN69" s="25">
        <v>0</v>
      </c>
      <c r="AO69" s="25">
        <v>0</v>
      </c>
      <c r="AP69" s="25">
        <v>0</v>
      </c>
      <c r="AQ69" s="25">
        <v>0</v>
      </c>
      <c r="AR69" s="25">
        <v>0</v>
      </c>
      <c r="AS69" s="25">
        <v>0</v>
      </c>
      <c r="AT69" s="25">
        <v>0</v>
      </c>
      <c r="AU69" s="25">
        <v>0</v>
      </c>
      <c r="AV69" s="25">
        <v>0</v>
      </c>
      <c r="AW69" s="25">
        <v>0</v>
      </c>
      <c r="AX69" s="25">
        <v>0</v>
      </c>
      <c r="AY69" s="25">
        <v>0</v>
      </c>
      <c r="AZ69" s="25">
        <v>0</v>
      </c>
      <c r="BA69" s="25">
        <v>0</v>
      </c>
      <c r="BB69" s="25">
        <v>0</v>
      </c>
      <c r="BC69" s="25">
        <v>0</v>
      </c>
      <c r="BD69" s="25">
        <v>1</v>
      </c>
      <c r="BE69" s="25">
        <v>0</v>
      </c>
      <c r="BF69" s="25">
        <v>0</v>
      </c>
      <c r="BG69" s="25">
        <v>0</v>
      </c>
      <c r="BH69" s="25">
        <v>1</v>
      </c>
      <c r="BI69" s="25">
        <v>0</v>
      </c>
      <c r="BJ69" s="25">
        <v>0</v>
      </c>
      <c r="BK69" s="25">
        <v>0</v>
      </c>
      <c r="BL69" s="25">
        <v>0</v>
      </c>
      <c r="BM69" s="25">
        <v>0</v>
      </c>
      <c r="BN69" s="25">
        <v>0</v>
      </c>
      <c r="BO69" s="25">
        <v>0</v>
      </c>
      <c r="BP69" s="25">
        <v>0</v>
      </c>
      <c r="BQ69" s="25">
        <v>0</v>
      </c>
      <c r="BR69" s="25">
        <v>0</v>
      </c>
      <c r="BS69" s="25">
        <v>0</v>
      </c>
      <c r="BT69" s="25">
        <v>0</v>
      </c>
      <c r="BU69" s="25">
        <v>0</v>
      </c>
      <c r="BV69" s="25">
        <v>0</v>
      </c>
      <c r="BW69" s="25">
        <v>0</v>
      </c>
      <c r="BX69" s="25">
        <v>0</v>
      </c>
      <c r="BY69" s="25">
        <v>0</v>
      </c>
      <c r="BZ69" s="25">
        <v>0</v>
      </c>
      <c r="CA69" s="25">
        <v>0</v>
      </c>
      <c r="CB69" s="25">
        <v>0</v>
      </c>
      <c r="CC69" s="25">
        <v>0</v>
      </c>
      <c r="CD69" s="25">
        <v>0</v>
      </c>
      <c r="CE69" s="25">
        <v>0</v>
      </c>
      <c r="CF69" s="25">
        <v>0</v>
      </c>
      <c r="CG69" s="25">
        <v>0</v>
      </c>
      <c r="CH69" s="25">
        <v>0</v>
      </c>
      <c r="CI69" s="25">
        <v>0</v>
      </c>
      <c r="CJ69" s="25">
        <v>0</v>
      </c>
      <c r="CK69" s="25">
        <v>0</v>
      </c>
      <c r="CL69" s="25">
        <v>0</v>
      </c>
      <c r="CM69" s="25">
        <v>0</v>
      </c>
      <c r="CN69" s="25">
        <v>0</v>
      </c>
      <c r="CO69" s="25">
        <v>0</v>
      </c>
      <c r="CP69" s="25">
        <v>0</v>
      </c>
      <c r="CQ69" s="25">
        <v>0</v>
      </c>
      <c r="CR69" s="25">
        <v>1</v>
      </c>
      <c r="CS69" s="25">
        <v>0</v>
      </c>
      <c r="CT69" s="25">
        <v>0</v>
      </c>
      <c r="CU69" s="25">
        <v>0</v>
      </c>
      <c r="CV69" s="25">
        <v>0</v>
      </c>
      <c r="CW69" s="25">
        <v>0</v>
      </c>
      <c r="CX69" s="25">
        <v>0</v>
      </c>
      <c r="CY69" s="25">
        <v>0</v>
      </c>
      <c r="CZ69" s="25">
        <v>0</v>
      </c>
      <c r="DA69" s="25">
        <v>0</v>
      </c>
      <c r="DB69" s="25">
        <v>0</v>
      </c>
      <c r="DC69" s="25">
        <v>0</v>
      </c>
      <c r="DD69" s="25">
        <v>0</v>
      </c>
      <c r="DE69" s="25">
        <v>0</v>
      </c>
      <c r="DF69" s="25">
        <v>0</v>
      </c>
      <c r="DG69" s="25">
        <v>0</v>
      </c>
      <c r="DH69" s="25">
        <v>0</v>
      </c>
      <c r="DI69" s="25">
        <v>0</v>
      </c>
      <c r="DJ69" s="25">
        <v>0</v>
      </c>
    </row>
    <row r="70" spans="1:114" s="25" customFormat="1" x14ac:dyDescent="0.25">
      <c r="A70" s="25">
        <v>69</v>
      </c>
      <c r="B70" t="s">
        <v>89</v>
      </c>
      <c r="C70" s="26" t="s">
        <v>88</v>
      </c>
      <c r="D70" t="s">
        <v>1802</v>
      </c>
      <c r="E70" s="25">
        <v>0.97475599999999996</v>
      </c>
      <c r="F70" s="25" t="s">
        <v>1538</v>
      </c>
      <c r="G70" s="25" t="s">
        <v>13</v>
      </c>
      <c r="H70" s="25" t="s">
        <v>17</v>
      </c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0</v>
      </c>
      <c r="U70" s="25">
        <v>0</v>
      </c>
      <c r="V70" s="25">
        <v>0</v>
      </c>
      <c r="W70" s="25">
        <v>0</v>
      </c>
      <c r="X70" s="25">
        <v>0</v>
      </c>
      <c r="Y70" s="25">
        <v>0</v>
      </c>
      <c r="Z70" s="25">
        <v>0</v>
      </c>
      <c r="AA70" s="25">
        <v>0</v>
      </c>
      <c r="AB70" s="25">
        <v>0</v>
      </c>
      <c r="AC70" s="25">
        <v>0</v>
      </c>
      <c r="AD70" s="25">
        <v>0</v>
      </c>
      <c r="AE70" s="25">
        <v>0</v>
      </c>
      <c r="AF70" s="25">
        <v>0</v>
      </c>
      <c r="AG70" s="25">
        <v>0</v>
      </c>
      <c r="AH70" s="25">
        <v>0</v>
      </c>
      <c r="AI70" s="25">
        <v>0</v>
      </c>
      <c r="AJ70" s="25">
        <v>0</v>
      </c>
      <c r="AK70" s="25">
        <v>0</v>
      </c>
      <c r="AL70" s="25">
        <v>0</v>
      </c>
      <c r="AM70" s="25">
        <v>0</v>
      </c>
      <c r="AN70" s="25">
        <v>0</v>
      </c>
      <c r="AO70" s="25">
        <v>0</v>
      </c>
      <c r="AP70" s="25">
        <v>0</v>
      </c>
      <c r="AQ70" s="25">
        <v>0</v>
      </c>
      <c r="AR70" s="25">
        <v>0</v>
      </c>
      <c r="AS70" s="25">
        <v>0</v>
      </c>
      <c r="AT70" s="25">
        <v>0</v>
      </c>
      <c r="AU70" s="25">
        <v>0</v>
      </c>
      <c r="AV70" s="25">
        <v>0</v>
      </c>
      <c r="AW70" s="25">
        <v>0</v>
      </c>
      <c r="AX70" s="25">
        <v>0</v>
      </c>
      <c r="AY70" s="25">
        <v>0</v>
      </c>
      <c r="AZ70" s="25">
        <v>0</v>
      </c>
      <c r="BA70" s="25">
        <v>0</v>
      </c>
      <c r="BB70" s="25">
        <v>0</v>
      </c>
      <c r="BC70" s="25">
        <v>0</v>
      </c>
      <c r="BD70" s="25">
        <v>0</v>
      </c>
      <c r="BE70" s="25">
        <v>0</v>
      </c>
      <c r="BF70" s="25">
        <v>0</v>
      </c>
      <c r="BG70" s="25">
        <v>0</v>
      </c>
      <c r="BH70" s="25">
        <v>0</v>
      </c>
      <c r="BI70" s="25">
        <v>0</v>
      </c>
      <c r="BJ70" s="25">
        <v>0</v>
      </c>
      <c r="BK70" s="25">
        <v>0</v>
      </c>
      <c r="BL70" s="25">
        <v>0</v>
      </c>
      <c r="BM70" s="25">
        <v>0</v>
      </c>
      <c r="BN70" s="25">
        <v>0</v>
      </c>
      <c r="BO70" s="25">
        <v>0</v>
      </c>
      <c r="BP70" s="25">
        <v>0</v>
      </c>
      <c r="BQ70" s="25">
        <v>0</v>
      </c>
      <c r="BR70" s="25">
        <v>0</v>
      </c>
      <c r="BS70" s="25">
        <v>0</v>
      </c>
      <c r="BT70" s="25">
        <v>0</v>
      </c>
      <c r="BU70" s="25">
        <v>0</v>
      </c>
      <c r="BV70" s="25">
        <v>0</v>
      </c>
      <c r="BW70" s="25">
        <v>0</v>
      </c>
      <c r="BX70" s="25">
        <v>0</v>
      </c>
      <c r="BY70" s="25">
        <v>0</v>
      </c>
      <c r="BZ70" s="25">
        <v>0</v>
      </c>
      <c r="CA70" s="25">
        <v>0</v>
      </c>
      <c r="CB70" s="25">
        <v>0</v>
      </c>
      <c r="CC70" s="25">
        <v>0</v>
      </c>
      <c r="CD70" s="25">
        <v>0</v>
      </c>
      <c r="CE70" s="25">
        <v>0</v>
      </c>
      <c r="CF70" s="25">
        <v>0</v>
      </c>
      <c r="CG70" s="25">
        <v>0</v>
      </c>
      <c r="CH70" s="25">
        <v>0</v>
      </c>
      <c r="CI70" s="25">
        <v>0</v>
      </c>
      <c r="CJ70" s="25">
        <v>0</v>
      </c>
      <c r="CK70" s="25">
        <v>0</v>
      </c>
      <c r="CL70" s="25">
        <v>0</v>
      </c>
      <c r="CM70" s="25">
        <v>0</v>
      </c>
      <c r="CN70" s="25">
        <v>0</v>
      </c>
      <c r="CO70" s="25">
        <v>0</v>
      </c>
      <c r="CP70" s="25">
        <v>0</v>
      </c>
      <c r="CQ70" s="25">
        <v>0</v>
      </c>
      <c r="CR70" s="25">
        <v>0</v>
      </c>
      <c r="CS70" s="25">
        <v>0</v>
      </c>
      <c r="CT70" s="25">
        <v>0</v>
      </c>
      <c r="CU70" s="25">
        <v>0</v>
      </c>
      <c r="CV70" s="25">
        <v>0</v>
      </c>
      <c r="CW70" s="25">
        <v>0</v>
      </c>
      <c r="CX70" s="25">
        <v>0</v>
      </c>
      <c r="CY70" s="25">
        <v>0</v>
      </c>
      <c r="CZ70" s="25">
        <v>0</v>
      </c>
      <c r="DA70" s="25">
        <v>0</v>
      </c>
      <c r="DB70" s="25">
        <v>0</v>
      </c>
      <c r="DC70" s="25">
        <v>0</v>
      </c>
      <c r="DD70" s="25">
        <v>0</v>
      </c>
      <c r="DE70" s="25">
        <v>1</v>
      </c>
      <c r="DF70" s="25">
        <v>0</v>
      </c>
      <c r="DG70" s="25">
        <v>0</v>
      </c>
      <c r="DH70" s="25">
        <v>0</v>
      </c>
      <c r="DI70" s="25">
        <v>0</v>
      </c>
      <c r="DJ70" s="25">
        <v>0</v>
      </c>
    </row>
    <row r="71" spans="1:114" s="25" customFormat="1" x14ac:dyDescent="0.25">
      <c r="A71" s="25">
        <v>70</v>
      </c>
      <c r="B71" s="1" t="s">
        <v>421</v>
      </c>
      <c r="C71" s="26" t="s">
        <v>420</v>
      </c>
      <c r="D71" t="s">
        <v>1453</v>
      </c>
      <c r="E71" s="25">
        <v>62.834299999999999</v>
      </c>
      <c r="F71" s="25" t="s">
        <v>1539</v>
      </c>
      <c r="G71" s="25" t="s">
        <v>15</v>
      </c>
      <c r="H71" s="25" t="s">
        <v>16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>
        <v>0</v>
      </c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>
        <v>0</v>
      </c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>
        <v>0</v>
      </c>
      <c r="CA71" s="25">
        <v>0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0</v>
      </c>
      <c r="CI71" s="25">
        <v>0</v>
      </c>
      <c r="CJ71" s="25">
        <v>0</v>
      </c>
      <c r="CK71" s="25">
        <v>0</v>
      </c>
      <c r="CL71" s="25">
        <v>0</v>
      </c>
      <c r="CM71" s="25">
        <v>0</v>
      </c>
      <c r="CN71" s="25">
        <v>0</v>
      </c>
      <c r="CO71" s="25">
        <v>0</v>
      </c>
      <c r="CP71" s="25">
        <v>0</v>
      </c>
      <c r="CQ71" s="25">
        <v>0</v>
      </c>
      <c r="CR71" s="25">
        <v>0</v>
      </c>
      <c r="CS71" s="25">
        <v>0</v>
      </c>
      <c r="CT71" s="25">
        <v>0</v>
      </c>
      <c r="CU71" s="25">
        <v>0</v>
      </c>
      <c r="CV71" s="25">
        <v>0</v>
      </c>
      <c r="CW71" s="25">
        <v>0</v>
      </c>
      <c r="CX71" s="25">
        <v>0</v>
      </c>
      <c r="CY71" s="25">
        <v>0</v>
      </c>
      <c r="CZ71" s="25">
        <v>0</v>
      </c>
      <c r="DA71" s="25">
        <v>0</v>
      </c>
      <c r="DB71" s="25">
        <v>0</v>
      </c>
      <c r="DC71" s="25">
        <v>0</v>
      </c>
      <c r="DD71" s="25">
        <v>0</v>
      </c>
      <c r="DE71" s="25">
        <v>0</v>
      </c>
      <c r="DF71" s="25">
        <v>0</v>
      </c>
      <c r="DG71" s="25">
        <v>0</v>
      </c>
      <c r="DH71" s="25">
        <v>0</v>
      </c>
      <c r="DI71" s="25">
        <v>0</v>
      </c>
      <c r="DJ71" s="25">
        <v>1</v>
      </c>
    </row>
    <row r="72" spans="1:114" s="25" customFormat="1" x14ac:dyDescent="0.25">
      <c r="A72" s="25">
        <v>71</v>
      </c>
      <c r="B72" t="s">
        <v>1066</v>
      </c>
      <c r="C72" s="26" t="s">
        <v>1067</v>
      </c>
      <c r="D72" t="s">
        <v>1798</v>
      </c>
      <c r="E72" s="25">
        <v>4.3508899999999997</v>
      </c>
      <c r="F72" s="25" t="s">
        <v>1538</v>
      </c>
      <c r="G72" s="25" t="s">
        <v>15</v>
      </c>
      <c r="H72" s="25" t="s">
        <v>17</v>
      </c>
      <c r="I72" s="25">
        <v>0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0</v>
      </c>
      <c r="W72" s="25">
        <v>0</v>
      </c>
      <c r="X72" s="25">
        <v>0</v>
      </c>
      <c r="Y72" s="25">
        <v>0</v>
      </c>
      <c r="Z72" s="25">
        <v>0</v>
      </c>
      <c r="AA72" s="25">
        <v>0</v>
      </c>
      <c r="AB72" s="25">
        <v>0</v>
      </c>
      <c r="AC72" s="25">
        <v>0</v>
      </c>
      <c r="AD72" s="25">
        <v>0</v>
      </c>
      <c r="AE72" s="25">
        <v>0</v>
      </c>
      <c r="AF72" s="25">
        <v>0</v>
      </c>
      <c r="AG72" s="25">
        <v>0</v>
      </c>
      <c r="AH72" s="25">
        <v>1</v>
      </c>
      <c r="AI72" s="25">
        <v>0</v>
      </c>
      <c r="AJ72" s="25">
        <v>0</v>
      </c>
      <c r="AK72" s="25">
        <v>0</v>
      </c>
      <c r="AL72" s="25">
        <v>0</v>
      </c>
      <c r="AM72" s="25">
        <v>0</v>
      </c>
      <c r="AN72" s="25">
        <v>0</v>
      </c>
      <c r="AO72" s="25">
        <v>0</v>
      </c>
      <c r="AP72" s="25">
        <v>0</v>
      </c>
      <c r="AQ72" s="25">
        <v>0</v>
      </c>
      <c r="AR72" s="25">
        <v>0</v>
      </c>
      <c r="AS72" s="25">
        <v>0</v>
      </c>
      <c r="AT72" s="25">
        <v>0</v>
      </c>
      <c r="AU72" s="25">
        <v>0</v>
      </c>
      <c r="AV72" s="25">
        <v>0</v>
      </c>
      <c r="AW72" s="25">
        <v>0</v>
      </c>
      <c r="AX72" s="25">
        <v>0</v>
      </c>
      <c r="AY72" s="25">
        <v>0</v>
      </c>
      <c r="AZ72" s="25">
        <v>0</v>
      </c>
      <c r="BA72" s="25">
        <v>0</v>
      </c>
      <c r="BB72" s="25">
        <v>0</v>
      </c>
      <c r="BC72" s="25">
        <v>0</v>
      </c>
      <c r="BD72" s="25">
        <v>0</v>
      </c>
      <c r="BE72" s="25">
        <v>0</v>
      </c>
      <c r="BF72" s="25">
        <v>0</v>
      </c>
      <c r="BG72" s="25">
        <v>0</v>
      </c>
      <c r="BH72" s="25">
        <v>0</v>
      </c>
      <c r="BI72" s="25">
        <v>0</v>
      </c>
      <c r="BJ72" s="25">
        <v>0</v>
      </c>
      <c r="BK72" s="25">
        <v>0</v>
      </c>
      <c r="BL72" s="25">
        <v>0</v>
      </c>
      <c r="BM72" s="25">
        <v>0</v>
      </c>
      <c r="BN72" s="25">
        <v>0</v>
      </c>
      <c r="BO72" s="25">
        <v>0</v>
      </c>
      <c r="BP72" s="25">
        <v>0</v>
      </c>
      <c r="BQ72" s="25">
        <v>0</v>
      </c>
      <c r="BR72" s="25">
        <v>0</v>
      </c>
      <c r="BS72" s="25">
        <v>0</v>
      </c>
      <c r="BT72" s="25">
        <v>0</v>
      </c>
      <c r="BU72" s="25">
        <v>0</v>
      </c>
      <c r="BV72" s="25">
        <v>0</v>
      </c>
      <c r="BW72" s="25">
        <v>0</v>
      </c>
      <c r="BX72" s="25">
        <v>0</v>
      </c>
      <c r="BY72" s="25">
        <v>0</v>
      </c>
      <c r="BZ72" s="25">
        <v>0</v>
      </c>
      <c r="CA72" s="25">
        <v>0</v>
      </c>
      <c r="CB72" s="25">
        <v>0</v>
      </c>
      <c r="CC72" s="25">
        <v>0</v>
      </c>
      <c r="CD72" s="25">
        <v>0</v>
      </c>
      <c r="CE72" s="25">
        <v>0</v>
      </c>
      <c r="CF72" s="25">
        <v>0</v>
      </c>
      <c r="CG72" s="25">
        <v>0</v>
      </c>
      <c r="CH72" s="25">
        <v>0</v>
      </c>
      <c r="CI72" s="25">
        <v>0</v>
      </c>
      <c r="CJ72" s="25">
        <v>0</v>
      </c>
      <c r="CK72" s="25">
        <v>0</v>
      </c>
      <c r="CL72" s="25">
        <v>0</v>
      </c>
      <c r="CM72" s="25">
        <v>0</v>
      </c>
      <c r="CN72" s="25">
        <v>0</v>
      </c>
      <c r="CO72" s="25">
        <v>0</v>
      </c>
      <c r="CP72" s="25">
        <v>0</v>
      </c>
      <c r="CQ72" s="25">
        <v>0</v>
      </c>
      <c r="CR72" s="25">
        <v>0</v>
      </c>
      <c r="CS72" s="25">
        <v>0</v>
      </c>
      <c r="CT72" s="25">
        <v>0</v>
      </c>
      <c r="CU72" s="25">
        <v>0</v>
      </c>
      <c r="CV72" s="25">
        <v>0</v>
      </c>
      <c r="CW72" s="25">
        <v>0</v>
      </c>
      <c r="CX72" s="25">
        <v>0</v>
      </c>
      <c r="CY72" s="25">
        <v>0</v>
      </c>
      <c r="CZ72" s="25">
        <v>0</v>
      </c>
      <c r="DA72" s="25">
        <v>0</v>
      </c>
      <c r="DB72" s="25">
        <v>0</v>
      </c>
      <c r="DC72" s="25">
        <v>0</v>
      </c>
      <c r="DD72" s="25">
        <v>0</v>
      </c>
      <c r="DE72" s="25">
        <v>0</v>
      </c>
      <c r="DF72" s="25">
        <v>0</v>
      </c>
      <c r="DG72" s="25">
        <v>0</v>
      </c>
      <c r="DH72" s="25">
        <v>0</v>
      </c>
      <c r="DI72" s="25">
        <v>0</v>
      </c>
      <c r="DJ72" s="25">
        <v>0</v>
      </c>
    </row>
    <row r="73" spans="1:114" s="25" customFormat="1" x14ac:dyDescent="0.25">
      <c r="A73" s="25">
        <v>72</v>
      </c>
      <c r="B73" t="s">
        <v>709</v>
      </c>
      <c r="C73" s="26" t="s">
        <v>855</v>
      </c>
      <c r="D73" t="s">
        <v>1453</v>
      </c>
      <c r="E73" s="26">
        <v>2.59259</v>
      </c>
      <c r="F73" s="25" t="s">
        <v>1538</v>
      </c>
      <c r="G73" s="25" t="s">
        <v>15</v>
      </c>
      <c r="H73" s="25" t="s">
        <v>18</v>
      </c>
      <c r="I73" s="25">
        <v>0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0</v>
      </c>
      <c r="W73" s="25">
        <v>0</v>
      </c>
      <c r="X73" s="25">
        <v>0</v>
      </c>
      <c r="Y73" s="25">
        <v>0</v>
      </c>
      <c r="Z73" s="25">
        <v>0</v>
      </c>
      <c r="AA73" s="25">
        <v>0</v>
      </c>
      <c r="AB73" s="25">
        <v>0</v>
      </c>
      <c r="AC73" s="25">
        <v>0</v>
      </c>
      <c r="AD73" s="25">
        <v>0</v>
      </c>
      <c r="AE73" s="25">
        <v>0</v>
      </c>
      <c r="AF73" s="25">
        <v>0</v>
      </c>
      <c r="AG73" s="25">
        <v>0</v>
      </c>
      <c r="AH73" s="25">
        <v>0</v>
      </c>
      <c r="AI73" s="25">
        <v>0</v>
      </c>
      <c r="AJ73" s="25">
        <v>0</v>
      </c>
      <c r="AK73" s="25">
        <v>0</v>
      </c>
      <c r="AL73" s="25">
        <v>0</v>
      </c>
      <c r="AM73" s="25">
        <v>0</v>
      </c>
      <c r="AN73" s="25">
        <v>0</v>
      </c>
      <c r="AO73" s="25">
        <v>0</v>
      </c>
      <c r="AP73" s="25">
        <v>0</v>
      </c>
      <c r="AQ73" s="25">
        <v>0</v>
      </c>
      <c r="AR73" s="25">
        <v>0</v>
      </c>
      <c r="AS73" s="25">
        <v>0</v>
      </c>
      <c r="AT73" s="25">
        <v>0</v>
      </c>
      <c r="AU73" s="25">
        <v>0</v>
      </c>
      <c r="AV73" s="25">
        <v>0</v>
      </c>
      <c r="AW73" s="25">
        <v>0</v>
      </c>
      <c r="AX73" s="25">
        <v>0</v>
      </c>
      <c r="AY73" s="25">
        <v>0</v>
      </c>
      <c r="AZ73" s="25">
        <v>0</v>
      </c>
      <c r="BA73" s="25">
        <v>0</v>
      </c>
      <c r="BB73" s="25">
        <v>0</v>
      </c>
      <c r="BC73" s="25">
        <v>0</v>
      </c>
      <c r="BD73" s="25">
        <v>0</v>
      </c>
      <c r="BE73" s="25">
        <v>0</v>
      </c>
      <c r="BF73" s="25">
        <v>0</v>
      </c>
      <c r="BG73" s="25">
        <v>0</v>
      </c>
      <c r="BH73" s="25">
        <v>0</v>
      </c>
      <c r="BI73" s="25">
        <v>0</v>
      </c>
      <c r="BJ73" s="25">
        <v>0</v>
      </c>
      <c r="BK73" s="25">
        <v>0</v>
      </c>
      <c r="BL73" s="25">
        <v>0</v>
      </c>
      <c r="BM73" s="25">
        <v>0</v>
      </c>
      <c r="BN73" s="25">
        <v>0</v>
      </c>
      <c r="BO73" s="25">
        <v>0</v>
      </c>
      <c r="BP73" s="25">
        <v>0</v>
      </c>
      <c r="BQ73" s="25">
        <v>0</v>
      </c>
      <c r="BR73" s="25">
        <v>0</v>
      </c>
      <c r="BS73" s="25">
        <v>0</v>
      </c>
      <c r="BT73" s="25">
        <v>0</v>
      </c>
      <c r="BU73" s="25">
        <v>0</v>
      </c>
      <c r="BV73" s="25">
        <v>0</v>
      </c>
      <c r="BW73" s="25">
        <v>0</v>
      </c>
      <c r="BX73" s="25">
        <v>0</v>
      </c>
      <c r="BY73" s="25">
        <v>0</v>
      </c>
      <c r="BZ73" s="25">
        <v>0</v>
      </c>
      <c r="CA73" s="25">
        <v>0</v>
      </c>
      <c r="CB73" s="25">
        <v>0</v>
      </c>
      <c r="CC73" s="25">
        <v>0</v>
      </c>
      <c r="CD73" s="25">
        <v>0</v>
      </c>
      <c r="CE73" s="25">
        <v>0</v>
      </c>
      <c r="CF73" s="25">
        <v>0</v>
      </c>
      <c r="CG73" s="25">
        <v>0</v>
      </c>
      <c r="CH73" s="25">
        <v>0</v>
      </c>
      <c r="CI73" s="25">
        <v>0</v>
      </c>
      <c r="CJ73" s="25">
        <v>0</v>
      </c>
      <c r="CK73" s="25">
        <v>0</v>
      </c>
      <c r="CL73" s="25">
        <v>0</v>
      </c>
      <c r="CM73" s="25">
        <v>0</v>
      </c>
      <c r="CN73" s="25">
        <v>1</v>
      </c>
      <c r="CO73" s="25">
        <v>0</v>
      </c>
      <c r="CP73" s="25">
        <v>0</v>
      </c>
      <c r="CQ73" s="25">
        <v>0</v>
      </c>
      <c r="CR73" s="25">
        <v>0</v>
      </c>
      <c r="CS73" s="25">
        <v>0</v>
      </c>
      <c r="CT73" s="25">
        <v>0</v>
      </c>
      <c r="CU73" s="25">
        <v>0</v>
      </c>
      <c r="CV73" s="25">
        <v>0</v>
      </c>
      <c r="CW73" s="25">
        <v>0</v>
      </c>
      <c r="CX73" s="25">
        <v>0</v>
      </c>
      <c r="CY73" s="25">
        <v>0</v>
      </c>
      <c r="CZ73" s="25">
        <v>0</v>
      </c>
      <c r="DA73" s="25">
        <v>0</v>
      </c>
      <c r="DB73" s="25">
        <v>0</v>
      </c>
      <c r="DC73" s="25">
        <v>0</v>
      </c>
      <c r="DD73" s="25">
        <v>0</v>
      </c>
      <c r="DE73" s="25">
        <v>0</v>
      </c>
      <c r="DF73" s="25">
        <v>0</v>
      </c>
      <c r="DG73" s="25">
        <v>0</v>
      </c>
      <c r="DH73" s="25">
        <v>0</v>
      </c>
      <c r="DI73" s="25">
        <v>0</v>
      </c>
      <c r="DJ73" s="25">
        <v>0</v>
      </c>
    </row>
    <row r="74" spans="1:114" s="25" customFormat="1" x14ac:dyDescent="0.25">
      <c r="A74" s="25">
        <v>73</v>
      </c>
      <c r="B74" t="s">
        <v>709</v>
      </c>
      <c r="C74" s="26" t="s">
        <v>708</v>
      </c>
      <c r="D74" t="s">
        <v>1453</v>
      </c>
      <c r="E74" s="25">
        <v>3.1677300000000002</v>
      </c>
      <c r="F74" s="25" t="s">
        <v>1538</v>
      </c>
      <c r="G74" s="25" t="s">
        <v>14</v>
      </c>
      <c r="H74" s="25" t="s">
        <v>17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1</v>
      </c>
      <c r="AB74" s="25">
        <v>0</v>
      </c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1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>
        <v>0</v>
      </c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0</v>
      </c>
      <c r="CG74" s="25">
        <v>0</v>
      </c>
      <c r="CH74" s="25">
        <v>0</v>
      </c>
      <c r="CI74" s="25">
        <v>0</v>
      </c>
      <c r="CJ74" s="25">
        <v>0</v>
      </c>
      <c r="CK74" s="25">
        <v>0</v>
      </c>
      <c r="CL74" s="25">
        <v>0</v>
      </c>
      <c r="CM74" s="25">
        <v>0</v>
      </c>
      <c r="CN74" s="25">
        <v>1</v>
      </c>
      <c r="CO74" s="25">
        <v>0</v>
      </c>
      <c r="CP74" s="25">
        <v>0</v>
      </c>
      <c r="CQ74" s="25">
        <v>1</v>
      </c>
      <c r="CR74" s="25">
        <v>0</v>
      </c>
      <c r="CS74" s="25">
        <v>0</v>
      </c>
      <c r="CT74" s="25">
        <v>0</v>
      </c>
      <c r="CU74" s="25">
        <v>0</v>
      </c>
      <c r="CV74" s="25">
        <v>0</v>
      </c>
      <c r="CW74" s="25">
        <v>0</v>
      </c>
      <c r="CX74" s="25">
        <v>0</v>
      </c>
      <c r="CY74" s="25">
        <v>0</v>
      </c>
      <c r="CZ74" s="25">
        <v>0</v>
      </c>
      <c r="DA74" s="25">
        <v>0</v>
      </c>
      <c r="DB74" s="25">
        <v>0</v>
      </c>
      <c r="DC74" s="25">
        <v>0</v>
      </c>
      <c r="DD74" s="25">
        <v>0</v>
      </c>
      <c r="DE74" s="25">
        <v>0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</row>
    <row r="75" spans="1:114" s="25" customFormat="1" x14ac:dyDescent="0.25">
      <c r="A75" s="25">
        <v>74</v>
      </c>
      <c r="B75" t="s">
        <v>709</v>
      </c>
      <c r="C75" s="26" t="s">
        <v>1132</v>
      </c>
      <c r="D75" t="s">
        <v>1453</v>
      </c>
      <c r="E75" s="25">
        <v>2.54488</v>
      </c>
      <c r="F75" s="25" t="s">
        <v>1538</v>
      </c>
      <c r="G75" s="25" t="s">
        <v>14</v>
      </c>
      <c r="H75" s="25" t="s">
        <v>17</v>
      </c>
      <c r="I75" s="25">
        <v>0</v>
      </c>
      <c r="J75" s="25">
        <v>1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1</v>
      </c>
      <c r="AB75" s="25">
        <v>0</v>
      </c>
      <c r="AC75" s="25">
        <v>0</v>
      </c>
      <c r="AD75" s="25">
        <v>1</v>
      </c>
      <c r="AE75" s="25">
        <v>0</v>
      </c>
      <c r="AF75" s="25">
        <v>0</v>
      </c>
      <c r="AG75" s="25">
        <v>0</v>
      </c>
      <c r="AH75" s="25">
        <v>1</v>
      </c>
      <c r="AI75" s="25">
        <v>0</v>
      </c>
      <c r="AJ75" s="25">
        <v>0</v>
      </c>
      <c r="AK75" s="25">
        <v>0</v>
      </c>
      <c r="AL75" s="25">
        <v>0</v>
      </c>
      <c r="AM75" s="25">
        <v>0</v>
      </c>
      <c r="AN75" s="25">
        <v>0</v>
      </c>
      <c r="AO75" s="25">
        <v>0</v>
      </c>
      <c r="AP75" s="25">
        <v>0</v>
      </c>
      <c r="AQ75" s="25">
        <v>0</v>
      </c>
      <c r="AR75" s="25">
        <v>0</v>
      </c>
      <c r="AS75" s="25">
        <v>0</v>
      </c>
      <c r="AT75" s="25">
        <v>0</v>
      </c>
      <c r="AU75" s="25">
        <v>0</v>
      </c>
      <c r="AV75" s="25">
        <v>0</v>
      </c>
      <c r="AW75" s="25">
        <v>0</v>
      </c>
      <c r="AX75" s="25">
        <v>0</v>
      </c>
      <c r="AY75" s="25">
        <v>0</v>
      </c>
      <c r="AZ75" s="25">
        <v>0</v>
      </c>
      <c r="BA75" s="25">
        <v>0</v>
      </c>
      <c r="BB75" s="25">
        <v>0</v>
      </c>
      <c r="BC75" s="25">
        <v>0</v>
      </c>
      <c r="BD75" s="25">
        <v>0</v>
      </c>
      <c r="BE75" s="25">
        <v>0</v>
      </c>
      <c r="BF75" s="25">
        <v>0</v>
      </c>
      <c r="BG75" s="25">
        <v>1</v>
      </c>
      <c r="BH75" s="25">
        <v>0</v>
      </c>
      <c r="BI75" s="25">
        <v>0</v>
      </c>
      <c r="BJ75" s="25">
        <v>0</v>
      </c>
      <c r="BK75" s="25">
        <v>0</v>
      </c>
      <c r="BL75" s="25">
        <v>0</v>
      </c>
      <c r="BM75" s="25">
        <v>0</v>
      </c>
      <c r="BN75" s="25">
        <v>0</v>
      </c>
      <c r="BO75" s="25">
        <v>0</v>
      </c>
      <c r="BP75" s="25">
        <v>0</v>
      </c>
      <c r="BQ75" s="25">
        <v>0</v>
      </c>
      <c r="BR75" s="25">
        <v>0</v>
      </c>
      <c r="BS75" s="25">
        <v>0</v>
      </c>
      <c r="BT75" s="25">
        <v>0</v>
      </c>
      <c r="BU75" s="25">
        <v>0</v>
      </c>
      <c r="BV75" s="25">
        <v>0</v>
      </c>
      <c r="BW75" s="25">
        <v>0</v>
      </c>
      <c r="BX75" s="25">
        <v>0</v>
      </c>
      <c r="BY75" s="25">
        <v>0</v>
      </c>
      <c r="BZ75" s="25">
        <v>0</v>
      </c>
      <c r="CA75" s="25">
        <v>0</v>
      </c>
      <c r="CB75" s="25">
        <v>0</v>
      </c>
      <c r="CC75" s="25">
        <v>0</v>
      </c>
      <c r="CD75" s="25">
        <v>0</v>
      </c>
      <c r="CE75" s="25">
        <v>0</v>
      </c>
      <c r="CF75" s="25">
        <v>0</v>
      </c>
      <c r="CG75" s="25">
        <v>0</v>
      </c>
      <c r="CH75" s="25">
        <v>0</v>
      </c>
      <c r="CI75" s="25">
        <v>0</v>
      </c>
      <c r="CJ75" s="25">
        <v>0</v>
      </c>
      <c r="CK75" s="25">
        <v>0</v>
      </c>
      <c r="CL75" s="25">
        <v>0</v>
      </c>
      <c r="CM75" s="25">
        <v>0</v>
      </c>
      <c r="CN75" s="25">
        <v>1</v>
      </c>
      <c r="CO75" s="25">
        <v>0</v>
      </c>
      <c r="CP75" s="25">
        <v>0</v>
      </c>
      <c r="CQ75" s="25">
        <v>1</v>
      </c>
      <c r="CR75" s="25">
        <v>0</v>
      </c>
      <c r="CS75" s="25">
        <v>0</v>
      </c>
      <c r="CT75" s="25">
        <v>0</v>
      </c>
      <c r="CU75" s="25">
        <v>0</v>
      </c>
      <c r="CV75" s="25">
        <v>0</v>
      </c>
      <c r="CW75" s="25">
        <v>0</v>
      </c>
      <c r="CX75" s="25">
        <v>0</v>
      </c>
      <c r="CY75" s="25">
        <v>0</v>
      </c>
      <c r="CZ75" s="25">
        <v>0</v>
      </c>
      <c r="DA75" s="25">
        <v>0</v>
      </c>
      <c r="DB75" s="25">
        <v>0</v>
      </c>
      <c r="DC75" s="25">
        <v>0</v>
      </c>
      <c r="DD75" s="25">
        <v>0</v>
      </c>
      <c r="DE75" s="25">
        <v>0</v>
      </c>
      <c r="DF75" s="25">
        <v>0</v>
      </c>
      <c r="DG75" s="25">
        <v>0</v>
      </c>
      <c r="DH75" s="25">
        <v>0</v>
      </c>
      <c r="DI75" s="25">
        <v>0</v>
      </c>
      <c r="DJ75" s="25">
        <v>0</v>
      </c>
    </row>
    <row r="76" spans="1:114" s="25" customFormat="1" x14ac:dyDescent="0.25">
      <c r="A76" s="25">
        <v>75</v>
      </c>
      <c r="B76" s="1" t="s">
        <v>1084</v>
      </c>
      <c r="C76" s="26" t="s">
        <v>1085</v>
      </c>
      <c r="D76" t="s">
        <v>1798</v>
      </c>
      <c r="E76" s="25">
        <v>4.1766899999999998</v>
      </c>
      <c r="F76" s="25" t="s">
        <v>1538</v>
      </c>
      <c r="G76" s="25" t="s">
        <v>15</v>
      </c>
      <c r="H76" s="25" t="s">
        <v>17</v>
      </c>
      <c r="I76" s="25">
        <v>0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0</v>
      </c>
      <c r="W76" s="25">
        <v>0</v>
      </c>
      <c r="X76" s="25">
        <v>0</v>
      </c>
      <c r="Y76" s="25">
        <v>0</v>
      </c>
      <c r="Z76" s="25">
        <v>0</v>
      </c>
      <c r="AA76" s="25">
        <v>0</v>
      </c>
      <c r="AB76" s="25">
        <v>0</v>
      </c>
      <c r="AC76" s="25">
        <v>0</v>
      </c>
      <c r="AD76" s="25">
        <v>0</v>
      </c>
      <c r="AE76" s="25">
        <v>0</v>
      </c>
      <c r="AF76" s="25">
        <v>0</v>
      </c>
      <c r="AG76" s="25">
        <v>0</v>
      </c>
      <c r="AH76" s="25">
        <v>0</v>
      </c>
      <c r="AI76" s="25">
        <v>0</v>
      </c>
      <c r="AJ76" s="25">
        <v>1</v>
      </c>
      <c r="AK76" s="25">
        <v>0</v>
      </c>
      <c r="AL76" s="25">
        <v>0</v>
      </c>
      <c r="AM76" s="25">
        <v>0</v>
      </c>
      <c r="AN76" s="25">
        <v>0</v>
      </c>
      <c r="AO76" s="25">
        <v>0</v>
      </c>
      <c r="AP76" s="25">
        <v>0</v>
      </c>
      <c r="AQ76" s="25">
        <v>0</v>
      </c>
      <c r="AR76" s="25">
        <v>0</v>
      </c>
      <c r="AS76" s="25">
        <v>0</v>
      </c>
      <c r="AT76" s="25">
        <v>0</v>
      </c>
      <c r="AU76" s="25">
        <v>0</v>
      </c>
      <c r="AV76" s="25">
        <v>0</v>
      </c>
      <c r="AW76" s="25">
        <v>0</v>
      </c>
      <c r="AX76" s="25">
        <v>0</v>
      </c>
      <c r="AY76" s="25">
        <v>0</v>
      </c>
      <c r="AZ76" s="25">
        <v>0</v>
      </c>
      <c r="BA76" s="25">
        <v>0</v>
      </c>
      <c r="BB76" s="25">
        <v>0</v>
      </c>
      <c r="BC76" s="25">
        <v>0</v>
      </c>
      <c r="BD76" s="25">
        <v>0</v>
      </c>
      <c r="BE76" s="25">
        <v>0</v>
      </c>
      <c r="BF76" s="25">
        <v>0</v>
      </c>
      <c r="BG76" s="25">
        <v>0</v>
      </c>
      <c r="BH76" s="25">
        <v>0</v>
      </c>
      <c r="BI76" s="25">
        <v>0</v>
      </c>
      <c r="BJ76" s="25">
        <v>0</v>
      </c>
      <c r="BK76" s="25">
        <v>0</v>
      </c>
      <c r="BL76" s="25">
        <v>0</v>
      </c>
      <c r="BM76" s="25">
        <v>0</v>
      </c>
      <c r="BN76" s="25">
        <v>0</v>
      </c>
      <c r="BO76" s="25">
        <v>0</v>
      </c>
      <c r="BP76" s="25">
        <v>0</v>
      </c>
      <c r="BQ76" s="25">
        <v>0</v>
      </c>
      <c r="BR76" s="25">
        <v>0</v>
      </c>
      <c r="BS76" s="25">
        <v>0</v>
      </c>
      <c r="BT76" s="25">
        <v>0</v>
      </c>
      <c r="BU76" s="25">
        <v>0</v>
      </c>
      <c r="BV76" s="25">
        <v>0</v>
      </c>
      <c r="BW76" s="25">
        <v>0</v>
      </c>
      <c r="BX76" s="25">
        <v>0</v>
      </c>
      <c r="BY76" s="25">
        <v>0</v>
      </c>
      <c r="BZ76" s="25">
        <v>0</v>
      </c>
      <c r="CA76" s="25">
        <v>0</v>
      </c>
      <c r="CB76" s="25">
        <v>0</v>
      </c>
      <c r="CC76" s="25">
        <v>0</v>
      </c>
      <c r="CD76" s="25">
        <v>0</v>
      </c>
      <c r="CE76" s="25">
        <v>0</v>
      </c>
      <c r="CF76" s="25">
        <v>0</v>
      </c>
      <c r="CG76" s="25">
        <v>0</v>
      </c>
      <c r="CH76" s="25">
        <v>0</v>
      </c>
      <c r="CI76" s="25">
        <v>0</v>
      </c>
      <c r="CJ76" s="25">
        <v>0</v>
      </c>
      <c r="CK76" s="25">
        <v>0</v>
      </c>
      <c r="CL76" s="25">
        <v>0</v>
      </c>
      <c r="CM76" s="25">
        <v>0</v>
      </c>
      <c r="CN76" s="25">
        <v>0</v>
      </c>
      <c r="CO76" s="25">
        <v>0</v>
      </c>
      <c r="CP76" s="25">
        <v>0</v>
      </c>
      <c r="CQ76" s="25">
        <v>0</v>
      </c>
      <c r="CR76" s="25">
        <v>0</v>
      </c>
      <c r="CS76" s="25">
        <v>0</v>
      </c>
      <c r="CT76" s="25">
        <v>0</v>
      </c>
      <c r="CU76" s="25">
        <v>0</v>
      </c>
      <c r="CV76" s="25">
        <v>0</v>
      </c>
      <c r="CW76" s="25">
        <v>0</v>
      </c>
      <c r="CX76" s="25">
        <v>0</v>
      </c>
      <c r="CY76" s="25">
        <v>0</v>
      </c>
      <c r="CZ76" s="25">
        <v>0</v>
      </c>
      <c r="DA76" s="25">
        <v>0</v>
      </c>
      <c r="DB76" s="25">
        <v>0</v>
      </c>
      <c r="DC76" s="25">
        <v>0</v>
      </c>
      <c r="DD76" s="25">
        <v>0</v>
      </c>
      <c r="DE76" s="25">
        <v>0</v>
      </c>
      <c r="DF76" s="25">
        <v>0</v>
      </c>
      <c r="DG76" s="25">
        <v>0</v>
      </c>
      <c r="DH76" s="25">
        <v>0</v>
      </c>
      <c r="DI76" s="25">
        <v>0</v>
      </c>
      <c r="DJ76" s="25">
        <v>0</v>
      </c>
    </row>
    <row r="77" spans="1:114" s="25" customFormat="1" x14ac:dyDescent="0.25">
      <c r="A77" s="25">
        <v>76</v>
      </c>
      <c r="B77" s="1" t="s">
        <v>1435</v>
      </c>
      <c r="C77" s="26" t="s">
        <v>1235</v>
      </c>
      <c r="D77" t="s">
        <v>1798</v>
      </c>
      <c r="E77" s="25">
        <v>3.7212299999999998</v>
      </c>
      <c r="F77" s="25" t="s">
        <v>1538</v>
      </c>
      <c r="G77" s="25" t="s">
        <v>14</v>
      </c>
      <c r="H77" s="25" t="s">
        <v>17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>
        <v>0</v>
      </c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1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>
        <v>0</v>
      </c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>
        <v>0</v>
      </c>
      <c r="CA77" s="25">
        <v>0</v>
      </c>
      <c r="CB77" s="25">
        <v>0</v>
      </c>
      <c r="CC77" s="25">
        <v>0</v>
      </c>
      <c r="CD77" s="25">
        <v>0</v>
      </c>
      <c r="CE77" s="25">
        <v>0</v>
      </c>
      <c r="CF77" s="25">
        <v>0</v>
      </c>
      <c r="CG77" s="25">
        <v>0</v>
      </c>
      <c r="CH77" s="25">
        <v>0</v>
      </c>
      <c r="CI77" s="25">
        <v>0</v>
      </c>
      <c r="CJ77" s="25">
        <v>0</v>
      </c>
      <c r="CK77" s="25">
        <v>0</v>
      </c>
      <c r="CL77" s="25">
        <v>0</v>
      </c>
      <c r="CM77" s="25">
        <v>0</v>
      </c>
      <c r="CN77" s="25">
        <v>0</v>
      </c>
      <c r="CO77" s="25">
        <v>0</v>
      </c>
      <c r="CP77" s="25">
        <v>0</v>
      </c>
      <c r="CQ77" s="25">
        <v>0</v>
      </c>
      <c r="CR77" s="25">
        <v>0</v>
      </c>
      <c r="CS77" s="25">
        <v>0</v>
      </c>
      <c r="CT77" s="25">
        <v>0</v>
      </c>
      <c r="CU77" s="25">
        <v>0</v>
      </c>
      <c r="CV77" s="25">
        <v>0</v>
      </c>
      <c r="CW77" s="25">
        <v>0</v>
      </c>
      <c r="CX77" s="25">
        <v>0</v>
      </c>
      <c r="CY77" s="25">
        <v>0</v>
      </c>
      <c r="CZ77" s="25">
        <v>0</v>
      </c>
      <c r="DA77" s="25">
        <v>0</v>
      </c>
      <c r="DB77" s="25">
        <v>0</v>
      </c>
      <c r="DC77" s="25">
        <v>0</v>
      </c>
      <c r="DD77" s="25">
        <v>0</v>
      </c>
      <c r="DE77" s="25">
        <v>0</v>
      </c>
      <c r="DF77" s="25">
        <v>0</v>
      </c>
      <c r="DG77" s="25">
        <v>0</v>
      </c>
      <c r="DH77" s="25">
        <v>0</v>
      </c>
      <c r="DI77" s="25">
        <v>0</v>
      </c>
      <c r="DJ77" s="25">
        <v>0</v>
      </c>
    </row>
    <row r="78" spans="1:114" s="25" customFormat="1" x14ac:dyDescent="0.25">
      <c r="A78" s="25">
        <v>77</v>
      </c>
      <c r="B78" t="s">
        <v>664</v>
      </c>
      <c r="C78" s="26" t="s">
        <v>1323</v>
      </c>
      <c r="D78" t="s">
        <v>1798</v>
      </c>
      <c r="E78" s="25">
        <v>2.1665199999999998</v>
      </c>
      <c r="F78" s="25" t="s">
        <v>1538</v>
      </c>
      <c r="G78" s="25" t="s">
        <v>15</v>
      </c>
      <c r="H78" s="25" t="s">
        <v>17</v>
      </c>
      <c r="I78" s="25">
        <v>0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1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0</v>
      </c>
      <c r="W78" s="25">
        <v>0</v>
      </c>
      <c r="X78" s="25">
        <v>0</v>
      </c>
      <c r="Y78" s="25">
        <v>0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  <c r="AE78" s="25">
        <v>0</v>
      </c>
      <c r="AF78" s="25">
        <v>0</v>
      </c>
      <c r="AG78" s="25">
        <v>0</v>
      </c>
      <c r="AH78" s="25">
        <v>0</v>
      </c>
      <c r="AI78" s="25">
        <v>0</v>
      </c>
      <c r="AJ78" s="25">
        <v>0</v>
      </c>
      <c r="AK78" s="25">
        <v>0</v>
      </c>
      <c r="AL78" s="25">
        <v>0</v>
      </c>
      <c r="AM78" s="25">
        <v>0</v>
      </c>
      <c r="AN78" s="25">
        <v>0</v>
      </c>
      <c r="AO78" s="25">
        <v>0</v>
      </c>
      <c r="AP78" s="25">
        <v>0</v>
      </c>
      <c r="AQ78" s="25">
        <v>0</v>
      </c>
      <c r="AR78" s="25">
        <v>0</v>
      </c>
      <c r="AS78" s="25">
        <v>0</v>
      </c>
      <c r="AT78" s="25">
        <v>0</v>
      </c>
      <c r="AU78" s="25">
        <v>0</v>
      </c>
      <c r="AV78" s="25">
        <v>0</v>
      </c>
      <c r="AW78" s="25">
        <v>0</v>
      </c>
      <c r="AX78" s="25">
        <v>0</v>
      </c>
      <c r="AY78" s="25">
        <v>0</v>
      </c>
      <c r="AZ78" s="25">
        <v>0</v>
      </c>
      <c r="BA78" s="25">
        <v>0</v>
      </c>
      <c r="BB78" s="25">
        <v>0</v>
      </c>
      <c r="BC78" s="25">
        <v>0</v>
      </c>
      <c r="BD78" s="25">
        <v>0</v>
      </c>
      <c r="BE78" s="25">
        <v>0</v>
      </c>
      <c r="BF78" s="25">
        <v>0</v>
      </c>
      <c r="BG78" s="25">
        <v>0</v>
      </c>
      <c r="BH78" s="25">
        <v>0</v>
      </c>
      <c r="BI78" s="25">
        <v>0</v>
      </c>
      <c r="BJ78" s="25">
        <v>0</v>
      </c>
      <c r="BK78" s="25">
        <v>0</v>
      </c>
      <c r="BL78" s="25">
        <v>0</v>
      </c>
      <c r="BM78" s="25">
        <v>0</v>
      </c>
      <c r="BN78" s="25">
        <v>0</v>
      </c>
      <c r="BO78" s="25">
        <v>0</v>
      </c>
      <c r="BP78" s="25">
        <v>0</v>
      </c>
      <c r="BQ78" s="25">
        <v>0</v>
      </c>
      <c r="BR78" s="25">
        <v>0</v>
      </c>
      <c r="BS78" s="25">
        <v>0</v>
      </c>
      <c r="BT78" s="25">
        <v>0</v>
      </c>
      <c r="BU78" s="25">
        <v>0</v>
      </c>
      <c r="BV78" s="25">
        <v>0</v>
      </c>
      <c r="BW78" s="25">
        <v>0</v>
      </c>
      <c r="BX78" s="25">
        <v>0</v>
      </c>
      <c r="BY78" s="25">
        <v>0</v>
      </c>
      <c r="BZ78" s="25">
        <v>0</v>
      </c>
      <c r="CA78" s="25">
        <v>0</v>
      </c>
      <c r="CB78" s="25">
        <v>0</v>
      </c>
      <c r="CC78" s="25">
        <v>0</v>
      </c>
      <c r="CD78" s="25">
        <v>0</v>
      </c>
      <c r="CE78" s="25">
        <v>0</v>
      </c>
      <c r="CF78" s="25">
        <v>0</v>
      </c>
      <c r="CG78" s="25">
        <v>0</v>
      </c>
      <c r="CH78" s="25">
        <v>0</v>
      </c>
      <c r="CI78" s="25">
        <v>0</v>
      </c>
      <c r="CJ78" s="25">
        <v>0</v>
      </c>
      <c r="CK78" s="25">
        <v>0</v>
      </c>
      <c r="CL78" s="25">
        <v>0</v>
      </c>
      <c r="CM78" s="25">
        <v>0</v>
      </c>
      <c r="CN78" s="25">
        <v>0</v>
      </c>
      <c r="CO78" s="25">
        <v>0</v>
      </c>
      <c r="CP78" s="25">
        <v>0</v>
      </c>
      <c r="CQ78" s="25">
        <v>0</v>
      </c>
      <c r="CR78" s="25">
        <v>0</v>
      </c>
      <c r="CS78" s="25">
        <v>0</v>
      </c>
      <c r="CT78" s="25">
        <v>0</v>
      </c>
      <c r="CU78" s="25">
        <v>0</v>
      </c>
      <c r="CV78" s="25">
        <v>0</v>
      </c>
      <c r="CW78" s="25">
        <v>0</v>
      </c>
      <c r="CX78" s="25">
        <v>0</v>
      </c>
      <c r="CY78" s="25">
        <v>0</v>
      </c>
      <c r="CZ78" s="25">
        <v>0</v>
      </c>
      <c r="DA78" s="25">
        <v>0</v>
      </c>
      <c r="DB78" s="25">
        <v>0</v>
      </c>
      <c r="DC78" s="25">
        <v>0</v>
      </c>
      <c r="DD78" s="25">
        <v>0</v>
      </c>
      <c r="DE78" s="25">
        <v>0</v>
      </c>
      <c r="DF78" s="25">
        <v>0</v>
      </c>
      <c r="DG78" s="25">
        <v>0</v>
      </c>
      <c r="DH78" s="25">
        <v>0</v>
      </c>
      <c r="DI78" s="25">
        <v>0</v>
      </c>
      <c r="DJ78" s="25">
        <v>0</v>
      </c>
    </row>
    <row r="79" spans="1:114" s="25" customFormat="1" x14ac:dyDescent="0.25">
      <c r="A79" s="25">
        <v>78</v>
      </c>
      <c r="B79" t="s">
        <v>701</v>
      </c>
      <c r="C79" s="26" t="s">
        <v>698</v>
      </c>
      <c r="D79" t="s">
        <v>1453</v>
      </c>
      <c r="E79" s="25">
        <v>8.3113899999999994</v>
      </c>
      <c r="F79" s="25" t="s">
        <v>1538</v>
      </c>
      <c r="G79" s="25" t="s">
        <v>14</v>
      </c>
      <c r="H79" s="25" t="s">
        <v>17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0</v>
      </c>
      <c r="W79" s="25">
        <v>0</v>
      </c>
      <c r="X79" s="25">
        <v>0</v>
      </c>
      <c r="Y79" s="25">
        <v>0</v>
      </c>
      <c r="Z79" s="25">
        <v>0</v>
      </c>
      <c r="AA79" s="25">
        <v>0</v>
      </c>
      <c r="AB79" s="25">
        <v>0</v>
      </c>
      <c r="AC79" s="25">
        <v>0</v>
      </c>
      <c r="AD79" s="25">
        <v>0</v>
      </c>
      <c r="AE79" s="25">
        <v>0</v>
      </c>
      <c r="AF79" s="25">
        <v>0</v>
      </c>
      <c r="AG79" s="25">
        <v>0</v>
      </c>
      <c r="AH79" s="25">
        <v>0</v>
      </c>
      <c r="AI79" s="25">
        <v>0</v>
      </c>
      <c r="AJ79" s="25">
        <v>0</v>
      </c>
      <c r="AK79" s="25">
        <v>0</v>
      </c>
      <c r="AL79" s="25">
        <v>0</v>
      </c>
      <c r="AM79" s="25">
        <v>0</v>
      </c>
      <c r="AN79" s="25">
        <v>0</v>
      </c>
      <c r="AO79" s="25">
        <v>0</v>
      </c>
      <c r="AP79" s="25">
        <v>0</v>
      </c>
      <c r="AQ79" s="25">
        <v>0</v>
      </c>
      <c r="AR79" s="25">
        <v>0</v>
      </c>
      <c r="AS79" s="25">
        <v>0</v>
      </c>
      <c r="AT79" s="25">
        <v>0</v>
      </c>
      <c r="AU79" s="25">
        <v>0</v>
      </c>
      <c r="AV79" s="25">
        <v>0</v>
      </c>
      <c r="AW79" s="25">
        <v>0</v>
      </c>
      <c r="AX79" s="25">
        <v>0</v>
      </c>
      <c r="AY79" s="25">
        <v>0</v>
      </c>
      <c r="AZ79" s="25">
        <v>0</v>
      </c>
      <c r="BA79" s="25">
        <v>0</v>
      </c>
      <c r="BB79" s="25">
        <v>0</v>
      </c>
      <c r="BC79" s="25">
        <v>0</v>
      </c>
      <c r="BD79" s="25">
        <v>0</v>
      </c>
      <c r="BE79" s="25">
        <v>0</v>
      </c>
      <c r="BF79" s="25">
        <v>0</v>
      </c>
      <c r="BG79" s="25">
        <v>0</v>
      </c>
      <c r="BH79" s="25">
        <v>0</v>
      </c>
      <c r="BI79" s="25">
        <v>0</v>
      </c>
      <c r="BJ79" s="25">
        <v>0</v>
      </c>
      <c r="BK79" s="25">
        <v>0</v>
      </c>
      <c r="BL79" s="25">
        <v>0</v>
      </c>
      <c r="BM79" s="25">
        <v>0</v>
      </c>
      <c r="BN79" s="25">
        <v>0</v>
      </c>
      <c r="BO79" s="25">
        <v>0</v>
      </c>
      <c r="BP79" s="25">
        <v>0</v>
      </c>
      <c r="BQ79" s="25">
        <v>0</v>
      </c>
      <c r="BR79" s="25">
        <v>0</v>
      </c>
      <c r="BS79" s="25">
        <v>0</v>
      </c>
      <c r="BT79" s="25">
        <v>0</v>
      </c>
      <c r="BU79" s="25">
        <v>0</v>
      </c>
      <c r="BV79" s="25">
        <v>0</v>
      </c>
      <c r="BW79" s="25">
        <v>0</v>
      </c>
      <c r="BX79" s="25">
        <v>0</v>
      </c>
      <c r="BY79" s="25">
        <v>0</v>
      </c>
      <c r="BZ79" s="25">
        <v>0</v>
      </c>
      <c r="CA79" s="25">
        <v>0</v>
      </c>
      <c r="CB79" s="25">
        <v>0</v>
      </c>
      <c r="CC79" s="25">
        <v>0</v>
      </c>
      <c r="CD79" s="25">
        <v>0</v>
      </c>
      <c r="CE79" s="25">
        <v>0</v>
      </c>
      <c r="CF79" s="25">
        <v>0</v>
      </c>
      <c r="CG79" s="25">
        <v>0</v>
      </c>
      <c r="CH79" s="25">
        <v>0</v>
      </c>
      <c r="CI79" s="25">
        <v>0</v>
      </c>
      <c r="CJ79" s="25">
        <v>0</v>
      </c>
      <c r="CK79" s="25">
        <v>0</v>
      </c>
      <c r="CL79" s="25">
        <v>0</v>
      </c>
      <c r="CM79" s="25">
        <v>0</v>
      </c>
      <c r="CN79" s="25">
        <v>0</v>
      </c>
      <c r="CO79" s="25">
        <v>0</v>
      </c>
      <c r="CP79" s="25">
        <v>0</v>
      </c>
      <c r="CQ79" s="25">
        <v>0</v>
      </c>
      <c r="CR79" s="25">
        <v>0</v>
      </c>
      <c r="CS79" s="25">
        <v>0</v>
      </c>
      <c r="CT79" s="25">
        <v>0</v>
      </c>
      <c r="CU79" s="25">
        <v>0</v>
      </c>
      <c r="CV79" s="25">
        <v>0</v>
      </c>
      <c r="CW79" s="25">
        <v>0</v>
      </c>
      <c r="CX79" s="25">
        <v>0</v>
      </c>
      <c r="CY79" s="25">
        <v>0</v>
      </c>
      <c r="CZ79" s="25">
        <v>1</v>
      </c>
      <c r="DA79" s="25">
        <v>0</v>
      </c>
      <c r="DB79" s="25">
        <v>0</v>
      </c>
      <c r="DC79" s="25">
        <v>0</v>
      </c>
      <c r="DD79" s="25">
        <v>0</v>
      </c>
      <c r="DE79" s="25">
        <v>0</v>
      </c>
      <c r="DF79" s="25">
        <v>0</v>
      </c>
      <c r="DG79" s="25">
        <v>0</v>
      </c>
      <c r="DH79" s="25">
        <v>0</v>
      </c>
      <c r="DI79" s="25">
        <v>0</v>
      </c>
      <c r="DJ79" s="25">
        <v>0</v>
      </c>
    </row>
    <row r="80" spans="1:114" s="25" customFormat="1" x14ac:dyDescent="0.25">
      <c r="A80" s="25">
        <v>79</v>
      </c>
      <c r="B80" s="1" t="s">
        <v>664</v>
      </c>
      <c r="C80" s="26" t="s">
        <v>663</v>
      </c>
      <c r="D80" t="s">
        <v>1453</v>
      </c>
      <c r="E80" s="25">
        <v>9.5769800000000007</v>
      </c>
      <c r="F80" s="25" t="s">
        <v>1538</v>
      </c>
      <c r="G80" s="25" t="s">
        <v>14</v>
      </c>
      <c r="H80" s="25" t="s">
        <v>17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1</v>
      </c>
      <c r="AI80" s="25">
        <v>0</v>
      </c>
      <c r="AJ80" s="25">
        <v>1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1</v>
      </c>
      <c r="AW80" s="25">
        <v>0</v>
      </c>
      <c r="AX80" s="25">
        <v>0</v>
      </c>
      <c r="AY80" s="25">
        <v>0</v>
      </c>
      <c r="AZ80" s="25">
        <v>0</v>
      </c>
      <c r="BA80" s="25">
        <v>0</v>
      </c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1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25">
        <v>0</v>
      </c>
      <c r="BW80" s="25">
        <v>0</v>
      </c>
      <c r="BX80" s="25">
        <v>1</v>
      </c>
      <c r="BY80" s="25">
        <v>0</v>
      </c>
      <c r="BZ80" s="25">
        <v>0</v>
      </c>
      <c r="CA80" s="25">
        <v>0</v>
      </c>
      <c r="CB80" s="25">
        <v>0</v>
      </c>
      <c r="CC80" s="25">
        <v>0</v>
      </c>
      <c r="CD80" s="25">
        <v>0</v>
      </c>
      <c r="CE80" s="25">
        <v>0</v>
      </c>
      <c r="CF80" s="25">
        <v>0</v>
      </c>
      <c r="CG80" s="25">
        <v>0</v>
      </c>
      <c r="CH80" s="25">
        <v>0</v>
      </c>
      <c r="CI80" s="25">
        <v>0</v>
      </c>
      <c r="CJ80" s="25">
        <v>0</v>
      </c>
      <c r="CK80" s="25">
        <v>0</v>
      </c>
      <c r="CL80" s="25">
        <v>0</v>
      </c>
      <c r="CM80" s="25">
        <v>0</v>
      </c>
      <c r="CN80" s="25">
        <v>0</v>
      </c>
      <c r="CO80" s="25">
        <v>0</v>
      </c>
      <c r="CP80" s="25">
        <v>0</v>
      </c>
      <c r="CQ80" s="25">
        <v>0</v>
      </c>
      <c r="CR80" s="25">
        <v>0</v>
      </c>
      <c r="CS80" s="25">
        <v>0</v>
      </c>
      <c r="CT80" s="25">
        <v>0</v>
      </c>
      <c r="CU80" s="25">
        <v>0</v>
      </c>
      <c r="CV80" s="25">
        <v>0</v>
      </c>
      <c r="CW80" s="25">
        <v>0</v>
      </c>
      <c r="CX80" s="25">
        <v>0</v>
      </c>
      <c r="CY80" s="25">
        <v>0</v>
      </c>
      <c r="CZ80" s="25">
        <v>1</v>
      </c>
      <c r="DA80" s="25">
        <v>1</v>
      </c>
      <c r="DB80" s="25">
        <v>0</v>
      </c>
      <c r="DC80" s="25">
        <v>1</v>
      </c>
      <c r="DD80" s="25">
        <v>0</v>
      </c>
      <c r="DE80" s="25">
        <v>0</v>
      </c>
      <c r="DF80" s="25">
        <v>0</v>
      </c>
      <c r="DG80" s="25">
        <v>0</v>
      </c>
      <c r="DH80" s="25">
        <v>0</v>
      </c>
      <c r="DI80" s="25">
        <v>1</v>
      </c>
      <c r="DJ80" s="25">
        <v>0</v>
      </c>
    </row>
    <row r="81" spans="1:114" s="25" customFormat="1" x14ac:dyDescent="0.25">
      <c r="A81" s="25">
        <v>80</v>
      </c>
      <c r="B81" s="25" t="s">
        <v>589</v>
      </c>
      <c r="C81" s="26" t="s">
        <v>585</v>
      </c>
      <c r="D81" t="s">
        <v>1453</v>
      </c>
      <c r="E81" s="25">
        <v>10.586399999999999</v>
      </c>
      <c r="F81" s="25" t="s">
        <v>1538</v>
      </c>
      <c r="G81" s="25" t="s">
        <v>14</v>
      </c>
      <c r="H81" s="25" t="s">
        <v>17</v>
      </c>
      <c r="I81" s="25">
        <v>0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  <c r="AE81" s="25">
        <v>0</v>
      </c>
      <c r="AF81" s="25">
        <v>0</v>
      </c>
      <c r="AG81" s="25">
        <v>0</v>
      </c>
      <c r="AH81" s="25">
        <v>0</v>
      </c>
      <c r="AI81" s="25">
        <v>0</v>
      </c>
      <c r="AJ81" s="25">
        <v>0</v>
      </c>
      <c r="AK81" s="25">
        <v>0</v>
      </c>
      <c r="AL81" s="25">
        <v>0</v>
      </c>
      <c r="AM81" s="25">
        <v>0</v>
      </c>
      <c r="AN81" s="25">
        <v>0</v>
      </c>
      <c r="AO81" s="25">
        <v>0</v>
      </c>
      <c r="AP81" s="25">
        <v>0</v>
      </c>
      <c r="AQ81" s="25">
        <v>0</v>
      </c>
      <c r="AR81" s="25">
        <v>0</v>
      </c>
      <c r="AS81" s="25">
        <v>0</v>
      </c>
      <c r="AT81" s="25">
        <v>0</v>
      </c>
      <c r="AU81" s="25">
        <v>0</v>
      </c>
      <c r="AV81" s="25">
        <v>0</v>
      </c>
      <c r="AW81" s="25">
        <v>0</v>
      </c>
      <c r="AX81" s="25">
        <v>0</v>
      </c>
      <c r="AY81" s="25">
        <v>0</v>
      </c>
      <c r="AZ81" s="25">
        <v>0</v>
      </c>
      <c r="BA81" s="25">
        <v>0</v>
      </c>
      <c r="BB81" s="25">
        <v>0</v>
      </c>
      <c r="BC81" s="25">
        <v>0</v>
      </c>
      <c r="BD81" s="25">
        <v>0</v>
      </c>
      <c r="BE81" s="25">
        <v>0</v>
      </c>
      <c r="BF81" s="25">
        <v>0</v>
      </c>
      <c r="BG81" s="25">
        <v>0</v>
      </c>
      <c r="BH81" s="25">
        <v>0</v>
      </c>
      <c r="BI81" s="25">
        <v>0</v>
      </c>
      <c r="BJ81" s="25">
        <v>0</v>
      </c>
      <c r="BK81" s="25">
        <v>0</v>
      </c>
      <c r="BL81" s="25">
        <v>0</v>
      </c>
      <c r="BM81" s="25">
        <v>0</v>
      </c>
      <c r="BN81" s="25">
        <v>0</v>
      </c>
      <c r="BO81" s="25">
        <v>0</v>
      </c>
      <c r="BP81" s="25">
        <v>0</v>
      </c>
      <c r="BQ81" s="25">
        <v>0</v>
      </c>
      <c r="BR81" s="25">
        <v>0</v>
      </c>
      <c r="BS81" s="25">
        <v>0</v>
      </c>
      <c r="BT81" s="25">
        <v>0</v>
      </c>
      <c r="BU81" s="25">
        <v>0</v>
      </c>
      <c r="BV81" s="25">
        <v>0</v>
      </c>
      <c r="BW81" s="25">
        <v>0</v>
      </c>
      <c r="BX81" s="25">
        <v>0</v>
      </c>
      <c r="BY81" s="25">
        <v>0</v>
      </c>
      <c r="BZ81" s="25">
        <v>0</v>
      </c>
      <c r="CA81" s="25">
        <v>0</v>
      </c>
      <c r="CB81" s="25">
        <v>0</v>
      </c>
      <c r="CC81" s="25">
        <v>0</v>
      </c>
      <c r="CD81" s="25">
        <v>1</v>
      </c>
      <c r="CE81" s="25">
        <v>0</v>
      </c>
      <c r="CF81" s="25">
        <v>0</v>
      </c>
      <c r="CG81" s="25">
        <v>0</v>
      </c>
      <c r="CH81" s="25">
        <v>0</v>
      </c>
      <c r="CI81" s="25">
        <v>0</v>
      </c>
      <c r="CJ81" s="25">
        <v>0</v>
      </c>
      <c r="CK81" s="25">
        <v>0</v>
      </c>
      <c r="CL81" s="25">
        <v>0</v>
      </c>
      <c r="CM81" s="25">
        <v>0</v>
      </c>
      <c r="CN81" s="25">
        <v>0</v>
      </c>
      <c r="CO81" s="25">
        <v>0</v>
      </c>
      <c r="CP81" s="25">
        <v>0</v>
      </c>
      <c r="CQ81" s="25">
        <v>0</v>
      </c>
      <c r="CR81" s="25">
        <v>0</v>
      </c>
      <c r="CS81" s="25">
        <v>0</v>
      </c>
      <c r="CT81" s="25">
        <v>0</v>
      </c>
      <c r="CU81" s="25">
        <v>0</v>
      </c>
      <c r="CV81" s="25">
        <v>0</v>
      </c>
      <c r="CW81" s="25">
        <v>0</v>
      </c>
      <c r="CX81" s="25">
        <v>0</v>
      </c>
      <c r="CY81" s="25">
        <v>0</v>
      </c>
      <c r="CZ81" s="25">
        <v>0</v>
      </c>
      <c r="DA81" s="25">
        <v>0</v>
      </c>
      <c r="DB81" s="25">
        <v>0</v>
      </c>
      <c r="DC81" s="25">
        <v>0</v>
      </c>
      <c r="DD81" s="25">
        <v>0</v>
      </c>
      <c r="DE81" s="25">
        <v>0</v>
      </c>
      <c r="DF81" s="25">
        <v>0</v>
      </c>
      <c r="DG81" s="25">
        <v>0</v>
      </c>
      <c r="DH81" s="25">
        <v>0</v>
      </c>
      <c r="DI81" s="25">
        <v>0</v>
      </c>
      <c r="DJ81" s="25">
        <v>0</v>
      </c>
    </row>
    <row r="82" spans="1:114" s="25" customFormat="1" x14ac:dyDescent="0.25">
      <c r="A82" s="25">
        <v>81</v>
      </c>
      <c r="B82" t="s">
        <v>107</v>
      </c>
      <c r="C82" s="26" t="s">
        <v>105</v>
      </c>
      <c r="D82" t="s">
        <v>1796</v>
      </c>
      <c r="E82" s="25">
        <v>16.3491</v>
      </c>
      <c r="F82" s="25" t="s">
        <v>1538</v>
      </c>
      <c r="G82" s="25" t="s">
        <v>14</v>
      </c>
      <c r="H82" s="25" t="s">
        <v>17</v>
      </c>
      <c r="I82" s="25">
        <v>0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1</v>
      </c>
      <c r="S82" s="25">
        <v>0</v>
      </c>
      <c r="T82" s="25">
        <v>0</v>
      </c>
      <c r="U82" s="25">
        <v>0</v>
      </c>
      <c r="V82" s="25">
        <v>0</v>
      </c>
      <c r="W82" s="25">
        <v>0</v>
      </c>
      <c r="X82" s="25">
        <v>0</v>
      </c>
      <c r="Y82" s="25">
        <v>0</v>
      </c>
      <c r="Z82" s="25">
        <v>0</v>
      </c>
      <c r="AA82" s="25">
        <v>0</v>
      </c>
      <c r="AB82" s="25">
        <v>0</v>
      </c>
      <c r="AC82" s="25">
        <v>0</v>
      </c>
      <c r="AD82" s="25">
        <v>0</v>
      </c>
      <c r="AE82" s="25">
        <v>0</v>
      </c>
      <c r="AF82" s="25">
        <v>0</v>
      </c>
      <c r="AG82" s="25">
        <v>0</v>
      </c>
      <c r="AH82" s="25">
        <v>0</v>
      </c>
      <c r="AI82" s="25">
        <v>0</v>
      </c>
      <c r="AJ82" s="25">
        <v>0</v>
      </c>
      <c r="AK82" s="25">
        <v>0</v>
      </c>
      <c r="AL82" s="25">
        <v>0</v>
      </c>
      <c r="AM82" s="25">
        <v>0</v>
      </c>
      <c r="AN82" s="25">
        <v>0</v>
      </c>
      <c r="AO82" s="25">
        <v>0</v>
      </c>
      <c r="AP82" s="25">
        <v>0</v>
      </c>
      <c r="AQ82" s="25">
        <v>0</v>
      </c>
      <c r="AR82" s="25">
        <v>0</v>
      </c>
      <c r="AS82" s="25">
        <v>0</v>
      </c>
      <c r="AT82" s="25">
        <v>0</v>
      </c>
      <c r="AU82" s="25">
        <v>0</v>
      </c>
      <c r="AV82" s="25">
        <v>0</v>
      </c>
      <c r="AW82" s="25">
        <v>0</v>
      </c>
      <c r="AX82" s="25">
        <v>0</v>
      </c>
      <c r="AY82" s="25">
        <v>0</v>
      </c>
      <c r="AZ82" s="25">
        <v>0</v>
      </c>
      <c r="BA82" s="25">
        <v>0</v>
      </c>
      <c r="BB82" s="25">
        <v>0</v>
      </c>
      <c r="BC82" s="25">
        <v>0</v>
      </c>
      <c r="BD82" s="25">
        <v>0</v>
      </c>
      <c r="BE82" s="25">
        <v>0</v>
      </c>
      <c r="BF82" s="25">
        <v>0</v>
      </c>
      <c r="BG82" s="25">
        <v>0</v>
      </c>
      <c r="BH82" s="25">
        <v>0</v>
      </c>
      <c r="BI82" s="25">
        <v>0</v>
      </c>
      <c r="BJ82" s="25">
        <v>0</v>
      </c>
      <c r="BK82" s="25">
        <v>0</v>
      </c>
      <c r="BL82" s="25">
        <v>0</v>
      </c>
      <c r="BM82" s="25">
        <v>0</v>
      </c>
      <c r="BN82" s="25">
        <v>0</v>
      </c>
      <c r="BO82" s="25">
        <v>0</v>
      </c>
      <c r="BP82" s="25">
        <v>0</v>
      </c>
      <c r="BQ82" s="25">
        <v>0</v>
      </c>
      <c r="BR82" s="25">
        <v>0</v>
      </c>
      <c r="BS82" s="25">
        <v>0</v>
      </c>
      <c r="BT82" s="25">
        <v>0</v>
      </c>
      <c r="BU82" s="25">
        <v>0</v>
      </c>
      <c r="BV82" s="25">
        <v>0</v>
      </c>
      <c r="BW82" s="25">
        <v>0</v>
      </c>
      <c r="BX82" s="25">
        <v>0</v>
      </c>
      <c r="BY82" s="25">
        <v>0</v>
      </c>
      <c r="BZ82" s="25">
        <v>0</v>
      </c>
      <c r="CA82" s="25">
        <v>0</v>
      </c>
      <c r="CB82" s="25">
        <v>0</v>
      </c>
      <c r="CC82" s="25">
        <v>0</v>
      </c>
      <c r="CD82" s="25">
        <v>0</v>
      </c>
      <c r="CE82" s="25">
        <v>0</v>
      </c>
      <c r="CF82" s="25">
        <v>0</v>
      </c>
      <c r="CG82" s="25">
        <v>0</v>
      </c>
      <c r="CH82" s="25">
        <v>0</v>
      </c>
      <c r="CI82" s="25">
        <v>0</v>
      </c>
      <c r="CJ82" s="25">
        <v>0</v>
      </c>
      <c r="CK82" s="25">
        <v>0</v>
      </c>
      <c r="CL82" s="25">
        <v>0</v>
      </c>
      <c r="CM82" s="25">
        <v>0</v>
      </c>
      <c r="CN82" s="25">
        <v>0</v>
      </c>
      <c r="CO82" s="25">
        <v>0</v>
      </c>
      <c r="CP82" s="25">
        <v>0</v>
      </c>
      <c r="CQ82" s="25">
        <v>0</v>
      </c>
      <c r="CR82" s="25">
        <v>0</v>
      </c>
      <c r="CS82" s="25">
        <v>0</v>
      </c>
      <c r="CT82" s="25">
        <v>0</v>
      </c>
      <c r="CU82" s="25">
        <v>0</v>
      </c>
      <c r="CV82" s="25">
        <v>0</v>
      </c>
      <c r="CW82" s="25">
        <v>0</v>
      </c>
      <c r="CX82" s="25">
        <v>0</v>
      </c>
      <c r="CY82" s="25">
        <v>0</v>
      </c>
      <c r="CZ82" s="25">
        <v>0</v>
      </c>
      <c r="DA82" s="25">
        <v>0</v>
      </c>
      <c r="DB82" s="25">
        <v>0</v>
      </c>
      <c r="DC82" s="25">
        <v>0</v>
      </c>
      <c r="DD82" s="25">
        <v>0</v>
      </c>
      <c r="DE82" s="25">
        <v>0</v>
      </c>
      <c r="DF82" s="25">
        <v>0</v>
      </c>
      <c r="DG82" s="25">
        <v>0</v>
      </c>
      <c r="DH82" s="25">
        <v>0</v>
      </c>
      <c r="DI82" s="25">
        <v>0</v>
      </c>
      <c r="DJ82" s="25">
        <v>0</v>
      </c>
    </row>
    <row r="83" spans="1:114" s="25" customFormat="1" x14ac:dyDescent="0.25">
      <c r="A83" s="25">
        <v>82</v>
      </c>
      <c r="B83" t="s">
        <v>48</v>
      </c>
      <c r="C83" s="25" t="s">
        <v>46</v>
      </c>
      <c r="D83" t="s">
        <v>1800</v>
      </c>
      <c r="E83" s="25">
        <v>6.1917</v>
      </c>
      <c r="F83" s="25" t="s">
        <v>1538</v>
      </c>
      <c r="G83" s="25" t="s">
        <v>13</v>
      </c>
      <c r="H83" s="25" t="s">
        <v>16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>
        <v>0</v>
      </c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1</v>
      </c>
      <c r="AZ83" s="25">
        <v>0</v>
      </c>
      <c r="BA83" s="25">
        <v>0</v>
      </c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>
        <v>0</v>
      </c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I83" s="25">
        <v>0</v>
      </c>
      <c r="CJ83" s="25">
        <v>0</v>
      </c>
      <c r="CK83" s="25">
        <v>0</v>
      </c>
      <c r="CL83" s="25">
        <v>0</v>
      </c>
      <c r="CM83" s="25">
        <v>0</v>
      </c>
      <c r="CN83" s="25">
        <v>0</v>
      </c>
      <c r="CO83" s="25">
        <v>0</v>
      </c>
      <c r="CP83" s="25">
        <v>0</v>
      </c>
      <c r="CQ83" s="25">
        <v>0</v>
      </c>
      <c r="CR83" s="25">
        <v>0</v>
      </c>
      <c r="CS83" s="25">
        <v>0</v>
      </c>
      <c r="CT83" s="25">
        <v>0</v>
      </c>
      <c r="CU83" s="25">
        <v>0</v>
      </c>
      <c r="CV83" s="25">
        <v>0</v>
      </c>
      <c r="CW83" s="25">
        <v>0</v>
      </c>
      <c r="CX83" s="25">
        <v>0</v>
      </c>
      <c r="CY83" s="25">
        <v>0</v>
      </c>
      <c r="CZ83" s="25">
        <v>0</v>
      </c>
      <c r="DA83" s="25">
        <v>0</v>
      </c>
      <c r="DB83" s="25">
        <v>0</v>
      </c>
      <c r="DC83" s="25">
        <v>0</v>
      </c>
      <c r="DD83" s="25">
        <v>0</v>
      </c>
      <c r="DE83" s="25">
        <v>0</v>
      </c>
      <c r="DF83" s="25">
        <v>0</v>
      </c>
      <c r="DG83" s="25">
        <v>0</v>
      </c>
      <c r="DH83" s="25">
        <v>0</v>
      </c>
      <c r="DI83" s="25">
        <v>0</v>
      </c>
      <c r="DJ83" s="25">
        <v>0</v>
      </c>
    </row>
    <row r="84" spans="1:114" s="25" customFormat="1" x14ac:dyDescent="0.25">
      <c r="A84" s="25">
        <v>83</v>
      </c>
      <c r="B84" t="s">
        <v>886</v>
      </c>
      <c r="C84" s="26" t="s">
        <v>1197</v>
      </c>
      <c r="D84" t="s">
        <v>1453</v>
      </c>
      <c r="E84" s="25">
        <v>1.8364799999999999</v>
      </c>
      <c r="F84" s="25" t="s">
        <v>1538</v>
      </c>
      <c r="G84" s="25" t="s">
        <v>15</v>
      </c>
      <c r="H84" s="25" t="s">
        <v>17</v>
      </c>
      <c r="I84" s="25">
        <v>0</v>
      </c>
      <c r="J84" s="25">
        <v>0</v>
      </c>
      <c r="K84" s="25">
        <v>0</v>
      </c>
      <c r="L84" s="25">
        <v>0</v>
      </c>
      <c r="M84" s="25">
        <v>1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0</v>
      </c>
      <c r="W84" s="25">
        <v>0</v>
      </c>
      <c r="X84" s="25">
        <v>0</v>
      </c>
      <c r="Y84" s="25">
        <v>0</v>
      </c>
      <c r="Z84" s="25">
        <v>0</v>
      </c>
      <c r="AA84" s="25">
        <v>0</v>
      </c>
      <c r="AB84" s="25">
        <v>0</v>
      </c>
      <c r="AC84" s="25">
        <v>1</v>
      </c>
      <c r="AD84" s="25">
        <v>0</v>
      </c>
      <c r="AE84" s="25">
        <v>0</v>
      </c>
      <c r="AF84" s="25">
        <v>0</v>
      </c>
      <c r="AG84" s="25">
        <v>0</v>
      </c>
      <c r="AH84" s="25">
        <v>0</v>
      </c>
      <c r="AI84" s="25">
        <v>0</v>
      </c>
      <c r="AJ84" s="25">
        <v>0</v>
      </c>
      <c r="AK84" s="25">
        <v>0</v>
      </c>
      <c r="AL84" s="25">
        <v>0</v>
      </c>
      <c r="AM84" s="25">
        <v>0</v>
      </c>
      <c r="AN84" s="25">
        <v>0</v>
      </c>
      <c r="AO84" s="25">
        <v>0</v>
      </c>
      <c r="AP84" s="25">
        <v>0</v>
      </c>
      <c r="AQ84" s="25">
        <v>0</v>
      </c>
      <c r="AR84" s="25">
        <v>0</v>
      </c>
      <c r="AS84" s="25">
        <v>0</v>
      </c>
      <c r="AT84" s="25">
        <v>0</v>
      </c>
      <c r="AU84" s="25">
        <v>0</v>
      </c>
      <c r="AV84" s="25">
        <v>0</v>
      </c>
      <c r="AW84" s="25">
        <v>0</v>
      </c>
      <c r="AX84" s="25">
        <v>0</v>
      </c>
      <c r="AY84" s="25">
        <v>0</v>
      </c>
      <c r="AZ84" s="25">
        <v>0</v>
      </c>
      <c r="BA84" s="25">
        <v>0</v>
      </c>
      <c r="BB84" s="25">
        <v>0</v>
      </c>
      <c r="BC84" s="25">
        <v>0</v>
      </c>
      <c r="BD84" s="25">
        <v>0</v>
      </c>
      <c r="BE84" s="25">
        <v>0</v>
      </c>
      <c r="BF84" s="25">
        <v>0</v>
      </c>
      <c r="BG84" s="25">
        <v>0</v>
      </c>
      <c r="BH84" s="25">
        <v>0</v>
      </c>
      <c r="BI84" s="25">
        <v>0</v>
      </c>
      <c r="BJ84" s="25">
        <v>0</v>
      </c>
      <c r="BK84" s="25">
        <v>0</v>
      </c>
      <c r="BL84" s="25">
        <v>0</v>
      </c>
      <c r="BM84" s="25">
        <v>0</v>
      </c>
      <c r="BN84" s="25">
        <v>0</v>
      </c>
      <c r="BO84" s="25">
        <v>0</v>
      </c>
      <c r="BP84" s="25">
        <v>0</v>
      </c>
      <c r="BQ84" s="25">
        <v>0</v>
      </c>
      <c r="BR84" s="25">
        <v>0</v>
      </c>
      <c r="BS84" s="25">
        <v>0</v>
      </c>
      <c r="BT84" s="25">
        <v>0</v>
      </c>
      <c r="BU84" s="25">
        <v>0</v>
      </c>
      <c r="BV84" s="25">
        <v>0</v>
      </c>
      <c r="BW84" s="25">
        <v>1</v>
      </c>
      <c r="BX84" s="25">
        <v>0</v>
      </c>
      <c r="BY84" s="25">
        <v>0</v>
      </c>
      <c r="BZ84" s="25">
        <v>0</v>
      </c>
      <c r="CA84" s="25">
        <v>0</v>
      </c>
      <c r="CB84" s="25">
        <v>0</v>
      </c>
      <c r="CC84" s="25">
        <v>0</v>
      </c>
      <c r="CD84" s="25">
        <v>1</v>
      </c>
      <c r="CE84" s="25">
        <v>0</v>
      </c>
      <c r="CF84" s="25">
        <v>0</v>
      </c>
      <c r="CG84" s="25">
        <v>0</v>
      </c>
      <c r="CH84" s="25">
        <v>0</v>
      </c>
      <c r="CI84" s="25">
        <v>0</v>
      </c>
      <c r="CJ84" s="25">
        <v>0</v>
      </c>
      <c r="CK84" s="25">
        <v>0</v>
      </c>
      <c r="CL84" s="25">
        <v>0</v>
      </c>
      <c r="CM84" s="25">
        <v>0</v>
      </c>
      <c r="CN84" s="25">
        <v>0</v>
      </c>
      <c r="CO84" s="25">
        <v>0</v>
      </c>
      <c r="CP84" s="25">
        <v>0</v>
      </c>
      <c r="CQ84" s="25">
        <v>0</v>
      </c>
      <c r="CR84" s="25">
        <v>0</v>
      </c>
      <c r="CS84" s="25">
        <v>0</v>
      </c>
      <c r="CT84" s="25">
        <v>0</v>
      </c>
      <c r="CU84" s="25">
        <v>0</v>
      </c>
      <c r="CV84" s="25">
        <v>0</v>
      </c>
      <c r="CW84" s="25">
        <v>0</v>
      </c>
      <c r="CX84" s="25">
        <v>0</v>
      </c>
      <c r="CY84" s="25">
        <v>0</v>
      </c>
      <c r="CZ84" s="25">
        <v>0</v>
      </c>
      <c r="DA84" s="25">
        <v>0</v>
      </c>
      <c r="DB84" s="25">
        <v>0</v>
      </c>
      <c r="DC84" s="25">
        <v>0</v>
      </c>
      <c r="DD84" s="25">
        <v>0</v>
      </c>
      <c r="DE84" s="25">
        <v>0</v>
      </c>
      <c r="DF84" s="25">
        <v>0</v>
      </c>
      <c r="DG84" s="25">
        <v>0</v>
      </c>
      <c r="DH84" s="25">
        <v>0</v>
      </c>
      <c r="DI84" s="25">
        <v>0</v>
      </c>
      <c r="DJ84" s="25">
        <v>0</v>
      </c>
    </row>
    <row r="85" spans="1:114" s="25" customFormat="1" x14ac:dyDescent="0.25">
      <c r="A85" s="25">
        <v>84</v>
      </c>
      <c r="B85" t="s">
        <v>860</v>
      </c>
      <c r="C85" s="26" t="s">
        <v>859</v>
      </c>
      <c r="D85" t="s">
        <v>1453</v>
      </c>
      <c r="E85" s="25">
        <v>2.0062799999999998</v>
      </c>
      <c r="F85" s="25" t="s">
        <v>1538</v>
      </c>
      <c r="G85" s="25" t="s">
        <v>15</v>
      </c>
      <c r="H85" s="25" t="s">
        <v>18</v>
      </c>
      <c r="I85" s="25">
        <v>0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1</v>
      </c>
      <c r="W85" s="25">
        <v>0</v>
      </c>
      <c r="X85" s="25">
        <v>1</v>
      </c>
      <c r="Y85" s="25">
        <v>0</v>
      </c>
      <c r="Z85" s="25">
        <v>0</v>
      </c>
      <c r="AA85" s="25">
        <v>1</v>
      </c>
      <c r="AB85" s="25">
        <v>0</v>
      </c>
      <c r="AC85" s="25">
        <v>0</v>
      </c>
      <c r="AD85" s="25">
        <v>0</v>
      </c>
      <c r="AE85" s="25">
        <v>0</v>
      </c>
      <c r="AF85" s="25">
        <v>0</v>
      </c>
      <c r="AG85" s="25">
        <v>0</v>
      </c>
      <c r="AH85" s="25">
        <v>1</v>
      </c>
      <c r="AI85" s="25">
        <v>0</v>
      </c>
      <c r="AJ85" s="25">
        <v>1</v>
      </c>
      <c r="AK85" s="25">
        <v>0</v>
      </c>
      <c r="AL85" s="25">
        <v>0</v>
      </c>
      <c r="AM85" s="25">
        <v>0</v>
      </c>
      <c r="AN85" s="25">
        <v>0</v>
      </c>
      <c r="AO85" s="25">
        <v>1</v>
      </c>
      <c r="AP85" s="25">
        <v>0</v>
      </c>
      <c r="AQ85" s="25">
        <v>0</v>
      </c>
      <c r="AR85" s="25">
        <v>0</v>
      </c>
      <c r="AS85" s="25">
        <v>0</v>
      </c>
      <c r="AT85" s="25">
        <v>0</v>
      </c>
      <c r="AU85" s="25">
        <v>0</v>
      </c>
      <c r="AV85" s="25">
        <v>0</v>
      </c>
      <c r="AW85" s="25">
        <v>0</v>
      </c>
      <c r="AX85" s="25">
        <v>0</v>
      </c>
      <c r="AY85" s="25">
        <v>0</v>
      </c>
      <c r="AZ85" s="25">
        <v>0</v>
      </c>
      <c r="BA85" s="25">
        <v>0</v>
      </c>
      <c r="BB85" s="25">
        <v>0</v>
      </c>
      <c r="BC85" s="25">
        <v>0</v>
      </c>
      <c r="BD85" s="25">
        <v>0</v>
      </c>
      <c r="BE85" s="25">
        <v>0</v>
      </c>
      <c r="BF85" s="25">
        <v>0</v>
      </c>
      <c r="BG85" s="25">
        <v>1</v>
      </c>
      <c r="BH85" s="25">
        <v>0</v>
      </c>
      <c r="BI85" s="25">
        <v>0</v>
      </c>
      <c r="BJ85" s="25">
        <v>0</v>
      </c>
      <c r="BK85" s="25">
        <v>0</v>
      </c>
      <c r="BL85" s="25">
        <v>0</v>
      </c>
      <c r="BM85" s="25">
        <v>0</v>
      </c>
      <c r="BN85" s="25">
        <v>0</v>
      </c>
      <c r="BO85" s="25">
        <v>0</v>
      </c>
      <c r="BP85" s="25">
        <v>0</v>
      </c>
      <c r="BQ85" s="25">
        <v>0</v>
      </c>
      <c r="BR85" s="25">
        <v>0</v>
      </c>
      <c r="BS85" s="25">
        <v>0</v>
      </c>
      <c r="BT85" s="25">
        <v>0</v>
      </c>
      <c r="BU85" s="25">
        <v>0</v>
      </c>
      <c r="BV85" s="25">
        <v>0</v>
      </c>
      <c r="BW85" s="25">
        <v>1</v>
      </c>
      <c r="BX85" s="25">
        <v>0</v>
      </c>
      <c r="BY85" s="25">
        <v>0</v>
      </c>
      <c r="BZ85" s="25">
        <v>0</v>
      </c>
      <c r="CA85" s="25">
        <v>0</v>
      </c>
      <c r="CB85" s="25">
        <v>0</v>
      </c>
      <c r="CC85" s="25">
        <v>0</v>
      </c>
      <c r="CD85" s="25">
        <v>1</v>
      </c>
      <c r="CE85" s="25">
        <v>0</v>
      </c>
      <c r="CF85" s="25">
        <v>0</v>
      </c>
      <c r="CG85" s="25">
        <v>0</v>
      </c>
      <c r="CH85" s="25">
        <v>0</v>
      </c>
      <c r="CI85" s="25">
        <v>0</v>
      </c>
      <c r="CJ85" s="25">
        <v>0</v>
      </c>
      <c r="CK85" s="25">
        <v>0</v>
      </c>
      <c r="CL85" s="25">
        <v>0</v>
      </c>
      <c r="CM85" s="25">
        <v>0</v>
      </c>
      <c r="CN85" s="25">
        <v>0</v>
      </c>
      <c r="CO85" s="25">
        <v>0</v>
      </c>
      <c r="CP85" s="25">
        <v>0</v>
      </c>
      <c r="CQ85" s="25">
        <v>0</v>
      </c>
      <c r="CR85" s="25">
        <v>0</v>
      </c>
      <c r="CS85" s="25">
        <v>0</v>
      </c>
      <c r="CT85" s="25">
        <v>0</v>
      </c>
      <c r="CU85" s="25">
        <v>0</v>
      </c>
      <c r="CV85" s="25">
        <v>0</v>
      </c>
      <c r="CW85" s="25">
        <v>0</v>
      </c>
      <c r="CX85" s="25">
        <v>0</v>
      </c>
      <c r="CY85" s="25">
        <v>0</v>
      </c>
      <c r="CZ85" s="25">
        <v>1</v>
      </c>
      <c r="DA85" s="25">
        <v>0</v>
      </c>
      <c r="DB85" s="25">
        <v>1</v>
      </c>
      <c r="DC85" s="25">
        <v>0</v>
      </c>
      <c r="DD85" s="25">
        <v>0</v>
      </c>
      <c r="DE85" s="25">
        <v>0</v>
      </c>
      <c r="DF85" s="25">
        <v>0</v>
      </c>
      <c r="DG85" s="25">
        <v>1</v>
      </c>
      <c r="DH85" s="25">
        <v>0</v>
      </c>
      <c r="DI85" s="25">
        <v>0</v>
      </c>
      <c r="DJ85" s="25">
        <v>0</v>
      </c>
    </row>
    <row r="86" spans="1:114" s="25" customFormat="1" x14ac:dyDescent="0.25">
      <c r="A86" s="25">
        <v>85</v>
      </c>
      <c r="B86" t="s">
        <v>1173</v>
      </c>
      <c r="C86" s="26" t="s">
        <v>1190</v>
      </c>
      <c r="D86" t="s">
        <v>1453</v>
      </c>
      <c r="E86" s="25">
        <v>1.5496799999999999</v>
      </c>
      <c r="F86" s="25" t="s">
        <v>1538</v>
      </c>
      <c r="G86" s="25" t="s">
        <v>15</v>
      </c>
      <c r="H86" s="25" t="s">
        <v>17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  <c r="AE86" s="25">
        <v>1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</v>
      </c>
      <c r="AX86" s="25">
        <v>0</v>
      </c>
      <c r="AY86" s="25">
        <v>0</v>
      </c>
      <c r="AZ86" s="25">
        <v>0</v>
      </c>
      <c r="BA86" s="25">
        <v>0</v>
      </c>
      <c r="BB86" s="25">
        <v>0</v>
      </c>
      <c r="BC86" s="25">
        <v>0</v>
      </c>
      <c r="BD86" s="25">
        <v>0</v>
      </c>
      <c r="BE86" s="25">
        <v>0</v>
      </c>
      <c r="BF86" s="25">
        <v>0</v>
      </c>
      <c r="BG86" s="25">
        <v>1</v>
      </c>
      <c r="BH86" s="25">
        <v>0</v>
      </c>
      <c r="BI86" s="25">
        <v>0</v>
      </c>
      <c r="BJ86" s="25">
        <v>0</v>
      </c>
      <c r="BK86" s="25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25">
        <v>0</v>
      </c>
      <c r="BS86" s="25">
        <v>0</v>
      </c>
      <c r="BT86" s="25">
        <v>0</v>
      </c>
      <c r="BU86" s="25">
        <v>0</v>
      </c>
      <c r="BV86" s="25">
        <v>0</v>
      </c>
      <c r="BW86" s="25">
        <v>0</v>
      </c>
      <c r="BX86" s="25">
        <v>0</v>
      </c>
      <c r="BY86" s="25">
        <v>0</v>
      </c>
      <c r="BZ86" s="25">
        <v>0</v>
      </c>
      <c r="CA86" s="25">
        <v>0</v>
      </c>
      <c r="CB86" s="25">
        <v>0</v>
      </c>
      <c r="CC86" s="25">
        <v>0</v>
      </c>
      <c r="CD86" s="25">
        <v>0</v>
      </c>
      <c r="CE86" s="25">
        <v>0</v>
      </c>
      <c r="CF86" s="25">
        <v>0</v>
      </c>
      <c r="CG86" s="25">
        <v>0</v>
      </c>
      <c r="CH86" s="25">
        <v>0</v>
      </c>
      <c r="CI86" s="25">
        <v>0</v>
      </c>
      <c r="CJ86" s="25">
        <v>0</v>
      </c>
      <c r="CK86" s="25">
        <v>0</v>
      </c>
      <c r="CL86" s="25">
        <v>0</v>
      </c>
      <c r="CM86" s="25">
        <v>0</v>
      </c>
      <c r="CN86" s="25">
        <v>0</v>
      </c>
      <c r="CO86" s="25">
        <v>0</v>
      </c>
      <c r="CP86" s="25">
        <v>0</v>
      </c>
      <c r="CQ86" s="25">
        <v>0</v>
      </c>
      <c r="CR86" s="25">
        <v>0</v>
      </c>
      <c r="CS86" s="25">
        <v>0</v>
      </c>
      <c r="CT86" s="25">
        <v>0</v>
      </c>
      <c r="CU86" s="25">
        <v>0</v>
      </c>
      <c r="CV86" s="25">
        <v>0</v>
      </c>
      <c r="CW86" s="25">
        <v>0</v>
      </c>
      <c r="CX86" s="25">
        <v>0</v>
      </c>
      <c r="CY86" s="25">
        <v>0</v>
      </c>
      <c r="CZ86" s="25">
        <v>0</v>
      </c>
      <c r="DA86" s="25">
        <v>0</v>
      </c>
      <c r="DB86" s="25">
        <v>0</v>
      </c>
      <c r="DC86" s="25">
        <v>0</v>
      </c>
      <c r="DD86" s="25">
        <v>0</v>
      </c>
      <c r="DE86" s="25">
        <v>0</v>
      </c>
      <c r="DF86" s="25">
        <v>0</v>
      </c>
      <c r="DG86" s="25">
        <v>0</v>
      </c>
      <c r="DH86" s="25">
        <v>0</v>
      </c>
      <c r="DI86" s="25">
        <v>0</v>
      </c>
      <c r="DJ86" s="25">
        <v>0</v>
      </c>
    </row>
    <row r="87" spans="1:114" s="25" customFormat="1" x14ac:dyDescent="0.25">
      <c r="A87" s="25">
        <v>86</v>
      </c>
      <c r="B87" t="s">
        <v>1173</v>
      </c>
      <c r="C87" s="26" t="s">
        <v>1190</v>
      </c>
      <c r="D87" t="s">
        <v>1453</v>
      </c>
      <c r="E87" s="25">
        <v>1.5491200000000001</v>
      </c>
      <c r="F87" s="25" t="s">
        <v>1538</v>
      </c>
      <c r="G87" s="25" t="s">
        <v>15</v>
      </c>
      <c r="H87" s="25" t="s">
        <v>18</v>
      </c>
      <c r="I87" s="25">
        <v>0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1</v>
      </c>
      <c r="R87" s="25">
        <v>0</v>
      </c>
      <c r="S87" s="25">
        <v>0</v>
      </c>
      <c r="T87" s="25">
        <v>0</v>
      </c>
      <c r="U87" s="25">
        <v>0</v>
      </c>
      <c r="V87" s="25">
        <v>0</v>
      </c>
      <c r="W87" s="25">
        <v>0</v>
      </c>
      <c r="X87" s="25">
        <v>0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  <c r="AE87" s="25">
        <v>0</v>
      </c>
      <c r="AF87" s="25">
        <v>0</v>
      </c>
      <c r="AG87" s="25">
        <v>0</v>
      </c>
      <c r="AH87" s="25">
        <v>0</v>
      </c>
      <c r="AI87" s="25">
        <v>0</v>
      </c>
      <c r="AJ87" s="25">
        <v>0</v>
      </c>
      <c r="AK87" s="25">
        <v>0</v>
      </c>
      <c r="AL87" s="25">
        <v>0</v>
      </c>
      <c r="AM87" s="25">
        <v>0</v>
      </c>
      <c r="AN87" s="25">
        <v>0</v>
      </c>
      <c r="AO87" s="25">
        <v>0</v>
      </c>
      <c r="AP87" s="25">
        <v>0</v>
      </c>
      <c r="AQ87" s="25">
        <v>0</v>
      </c>
      <c r="AR87" s="25">
        <v>0</v>
      </c>
      <c r="AS87" s="25">
        <v>0</v>
      </c>
      <c r="AT87" s="25">
        <v>0</v>
      </c>
      <c r="AU87" s="25">
        <v>0</v>
      </c>
      <c r="AV87" s="25">
        <v>0</v>
      </c>
      <c r="AW87" s="25">
        <v>0</v>
      </c>
      <c r="AX87" s="25">
        <v>0</v>
      </c>
      <c r="AY87" s="25">
        <v>0</v>
      </c>
      <c r="AZ87" s="25">
        <v>0</v>
      </c>
      <c r="BA87" s="25">
        <v>0</v>
      </c>
      <c r="BB87" s="25">
        <v>0</v>
      </c>
      <c r="BC87" s="25">
        <v>0</v>
      </c>
      <c r="BD87" s="25">
        <v>0</v>
      </c>
      <c r="BE87" s="25">
        <v>0</v>
      </c>
      <c r="BF87" s="25">
        <v>0</v>
      </c>
      <c r="BG87" s="25">
        <v>0</v>
      </c>
      <c r="BH87" s="25">
        <v>0</v>
      </c>
      <c r="BI87" s="25">
        <v>0</v>
      </c>
      <c r="BJ87" s="25">
        <v>0</v>
      </c>
      <c r="BK87" s="25">
        <v>0</v>
      </c>
      <c r="BL87" s="25">
        <v>0</v>
      </c>
      <c r="BM87" s="25">
        <v>0</v>
      </c>
      <c r="BN87" s="25">
        <v>0</v>
      </c>
      <c r="BO87" s="25">
        <v>0</v>
      </c>
      <c r="BP87" s="25">
        <v>0</v>
      </c>
      <c r="BQ87" s="25">
        <v>0</v>
      </c>
      <c r="BR87" s="25">
        <v>0</v>
      </c>
      <c r="BS87" s="25">
        <v>0</v>
      </c>
      <c r="BT87" s="25">
        <v>0</v>
      </c>
      <c r="BU87" s="25">
        <v>0</v>
      </c>
      <c r="BV87" s="25">
        <v>0</v>
      </c>
      <c r="BW87" s="25">
        <v>0</v>
      </c>
      <c r="BX87" s="25">
        <v>0</v>
      </c>
      <c r="BY87" s="25">
        <v>0</v>
      </c>
      <c r="BZ87" s="25">
        <v>0</v>
      </c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 s="25">
        <v>0</v>
      </c>
      <c r="CI87" s="25">
        <v>0</v>
      </c>
      <c r="CJ87" s="25">
        <v>0</v>
      </c>
      <c r="CK87" s="25">
        <v>0</v>
      </c>
      <c r="CL87" s="25">
        <v>0</v>
      </c>
      <c r="CM87" s="25">
        <v>0</v>
      </c>
      <c r="CN87" s="25">
        <v>0</v>
      </c>
      <c r="CO87" s="25">
        <v>0</v>
      </c>
      <c r="CP87" s="25">
        <v>0</v>
      </c>
      <c r="CQ87" s="25">
        <v>0</v>
      </c>
      <c r="CR87" s="25">
        <v>0</v>
      </c>
      <c r="CS87" s="25">
        <v>0</v>
      </c>
      <c r="CT87" s="25">
        <v>0</v>
      </c>
      <c r="CU87" s="25">
        <v>0</v>
      </c>
      <c r="CV87" s="25">
        <v>0</v>
      </c>
      <c r="CW87" s="25">
        <v>0</v>
      </c>
      <c r="CX87" s="25">
        <v>0</v>
      </c>
      <c r="CY87" s="25">
        <v>0</v>
      </c>
      <c r="CZ87" s="25">
        <v>1</v>
      </c>
      <c r="DA87" s="25">
        <v>0</v>
      </c>
      <c r="DB87" s="25">
        <v>0</v>
      </c>
      <c r="DC87" s="25">
        <v>0</v>
      </c>
      <c r="DD87" s="25">
        <v>0</v>
      </c>
      <c r="DE87" s="25">
        <v>0</v>
      </c>
      <c r="DF87" s="25">
        <v>0</v>
      </c>
      <c r="DG87" s="25">
        <v>0</v>
      </c>
      <c r="DH87" s="25">
        <v>0</v>
      </c>
      <c r="DI87" s="25">
        <v>0</v>
      </c>
      <c r="DJ87" s="25">
        <v>0</v>
      </c>
    </row>
    <row r="88" spans="1:114" s="25" customFormat="1" x14ac:dyDescent="0.25">
      <c r="A88" s="25">
        <v>87</v>
      </c>
      <c r="B88" t="s">
        <v>1183</v>
      </c>
      <c r="C88" s="26" t="s">
        <v>1184</v>
      </c>
      <c r="D88" t="s">
        <v>1802</v>
      </c>
      <c r="E88" s="25">
        <v>10.5258</v>
      </c>
      <c r="F88" s="25" t="s">
        <v>1538</v>
      </c>
      <c r="G88" s="25" t="s">
        <v>15</v>
      </c>
      <c r="H88" s="25" t="s">
        <v>17</v>
      </c>
      <c r="I88" s="25">
        <v>0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1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  <c r="AE88" s="25">
        <v>0</v>
      </c>
      <c r="AF88" s="25">
        <v>0</v>
      </c>
      <c r="AG88" s="25">
        <v>0</v>
      </c>
      <c r="AH88" s="25">
        <v>1</v>
      </c>
      <c r="AI88" s="25">
        <v>0</v>
      </c>
      <c r="AJ88" s="25">
        <v>0</v>
      </c>
      <c r="AK88" s="25">
        <v>0</v>
      </c>
      <c r="AL88" s="25">
        <v>0</v>
      </c>
      <c r="AM88" s="25">
        <v>0</v>
      </c>
      <c r="AN88" s="25">
        <v>0</v>
      </c>
      <c r="AO88" s="25">
        <v>0</v>
      </c>
      <c r="AP88" s="25">
        <v>0</v>
      </c>
      <c r="AQ88" s="25">
        <v>0</v>
      </c>
      <c r="AR88" s="25">
        <v>0</v>
      </c>
      <c r="AS88" s="25">
        <v>0</v>
      </c>
      <c r="AT88" s="25">
        <v>0</v>
      </c>
      <c r="AU88" s="25">
        <v>0</v>
      </c>
      <c r="AV88" s="25">
        <v>0</v>
      </c>
      <c r="AW88" s="25">
        <v>0</v>
      </c>
      <c r="AX88" s="25">
        <v>0</v>
      </c>
      <c r="AY88" s="25">
        <v>0</v>
      </c>
      <c r="AZ88" s="25">
        <v>0</v>
      </c>
      <c r="BA88" s="25">
        <v>0</v>
      </c>
      <c r="BB88" s="25">
        <v>0</v>
      </c>
      <c r="BC88" s="25">
        <v>0</v>
      </c>
      <c r="BD88" s="25">
        <v>0</v>
      </c>
      <c r="BE88" s="25">
        <v>0</v>
      </c>
      <c r="BF88" s="25">
        <v>0</v>
      </c>
      <c r="BG88" s="25">
        <v>0</v>
      </c>
      <c r="BH88" s="25">
        <v>0</v>
      </c>
      <c r="BI88" s="25">
        <v>0</v>
      </c>
      <c r="BJ88" s="25">
        <v>0</v>
      </c>
      <c r="BK88" s="25">
        <v>0</v>
      </c>
      <c r="BL88" s="25">
        <v>0</v>
      </c>
      <c r="BM88" s="25">
        <v>0</v>
      </c>
      <c r="BN88" s="25">
        <v>0</v>
      </c>
      <c r="BO88" s="25">
        <v>0</v>
      </c>
      <c r="BP88" s="25">
        <v>0</v>
      </c>
      <c r="BQ88" s="25">
        <v>0</v>
      </c>
      <c r="BR88" s="25">
        <v>0</v>
      </c>
      <c r="BS88" s="25">
        <v>0</v>
      </c>
      <c r="BT88" s="25">
        <v>0</v>
      </c>
      <c r="BU88" s="25">
        <v>0</v>
      </c>
      <c r="BV88" s="25">
        <v>0</v>
      </c>
      <c r="BW88" s="25">
        <v>0</v>
      </c>
      <c r="BX88" s="25">
        <v>0</v>
      </c>
      <c r="BY88" s="25">
        <v>0</v>
      </c>
      <c r="BZ88" s="25">
        <v>0</v>
      </c>
      <c r="CA88" s="25">
        <v>0</v>
      </c>
      <c r="CB88" s="25">
        <v>0</v>
      </c>
      <c r="CC88" s="25">
        <v>0</v>
      </c>
      <c r="CD88" s="25">
        <v>0</v>
      </c>
      <c r="CE88" s="25">
        <v>0</v>
      </c>
      <c r="CF88" s="25">
        <v>0</v>
      </c>
      <c r="CG88" s="25">
        <v>0</v>
      </c>
      <c r="CH88" s="25">
        <v>0</v>
      </c>
      <c r="CI88" s="25">
        <v>0</v>
      </c>
      <c r="CJ88" s="25">
        <v>0</v>
      </c>
      <c r="CK88" s="25">
        <v>0</v>
      </c>
      <c r="CL88" s="25">
        <v>0</v>
      </c>
      <c r="CM88" s="25">
        <v>0</v>
      </c>
      <c r="CN88" s="25">
        <v>0</v>
      </c>
      <c r="CO88" s="25">
        <v>0</v>
      </c>
      <c r="CP88" s="25">
        <v>0</v>
      </c>
      <c r="CQ88" s="25">
        <v>0</v>
      </c>
      <c r="CR88" s="25">
        <v>0</v>
      </c>
      <c r="CS88" s="25">
        <v>0</v>
      </c>
      <c r="CT88" s="25">
        <v>0</v>
      </c>
      <c r="CU88" s="25">
        <v>0</v>
      </c>
      <c r="CV88" s="25">
        <v>0</v>
      </c>
      <c r="CW88" s="25">
        <v>0</v>
      </c>
      <c r="CX88" s="25">
        <v>0</v>
      </c>
      <c r="CY88" s="25">
        <v>0</v>
      </c>
      <c r="CZ88" s="25">
        <v>0</v>
      </c>
      <c r="DA88" s="25">
        <v>0</v>
      </c>
      <c r="DB88" s="25">
        <v>0</v>
      </c>
      <c r="DC88" s="25">
        <v>0</v>
      </c>
      <c r="DD88" s="25">
        <v>0</v>
      </c>
      <c r="DE88" s="25">
        <v>0</v>
      </c>
      <c r="DF88" s="25">
        <v>0</v>
      </c>
      <c r="DG88" s="25">
        <v>0</v>
      </c>
      <c r="DH88" s="25">
        <v>0</v>
      </c>
      <c r="DI88" s="25">
        <v>1</v>
      </c>
      <c r="DJ88" s="25">
        <v>0</v>
      </c>
    </row>
    <row r="89" spans="1:114" s="25" customFormat="1" x14ac:dyDescent="0.25">
      <c r="A89" s="25">
        <v>88</v>
      </c>
      <c r="B89" t="s">
        <v>886</v>
      </c>
      <c r="C89" s="26" t="s">
        <v>885</v>
      </c>
      <c r="D89" t="s">
        <v>1453</v>
      </c>
      <c r="E89" s="26">
        <v>1.90404</v>
      </c>
      <c r="F89" s="25" t="s">
        <v>1538</v>
      </c>
      <c r="G89" s="25" t="s">
        <v>15</v>
      </c>
      <c r="H89" s="25" t="s">
        <v>18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>
        <v>0</v>
      </c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25">
        <v>0</v>
      </c>
      <c r="AO89" s="25">
        <v>1</v>
      </c>
      <c r="AP89" s="25">
        <v>0</v>
      </c>
      <c r="AQ89" s="25">
        <v>0</v>
      </c>
      <c r="AR89" s="25">
        <v>0</v>
      </c>
      <c r="AS89" s="25">
        <v>0</v>
      </c>
      <c r="AT89" s="25">
        <v>1</v>
      </c>
      <c r="AU89" s="25">
        <v>0</v>
      </c>
      <c r="AV89" s="25">
        <v>0</v>
      </c>
      <c r="AW89" s="25">
        <v>0</v>
      </c>
      <c r="AX89" s="25">
        <v>0</v>
      </c>
      <c r="AY89" s="25">
        <v>0</v>
      </c>
      <c r="AZ89" s="25">
        <v>0</v>
      </c>
      <c r="BA89" s="25">
        <v>0</v>
      </c>
      <c r="BB89" s="25">
        <v>0</v>
      </c>
      <c r="BC89" s="25">
        <v>0</v>
      </c>
      <c r="BD89" s="25">
        <v>0</v>
      </c>
      <c r="BE89" s="25">
        <v>0</v>
      </c>
      <c r="BF89" s="25">
        <v>0</v>
      </c>
      <c r="BG89" s="25">
        <v>0</v>
      </c>
      <c r="BH89" s="25">
        <v>0</v>
      </c>
      <c r="BI89" s="25">
        <v>0</v>
      </c>
      <c r="BJ89" s="25">
        <v>0</v>
      </c>
      <c r="BK89" s="25">
        <v>0</v>
      </c>
      <c r="BL89" s="25">
        <v>0</v>
      </c>
      <c r="BM89" s="25">
        <v>0</v>
      </c>
      <c r="BN89" s="25">
        <v>0</v>
      </c>
      <c r="BO89" s="25">
        <v>0</v>
      </c>
      <c r="BP89" s="25">
        <v>0</v>
      </c>
      <c r="BQ89" s="25">
        <v>0</v>
      </c>
      <c r="BR89" s="25">
        <v>0</v>
      </c>
      <c r="BS89" s="25">
        <v>1</v>
      </c>
      <c r="BT89" s="25">
        <v>0</v>
      </c>
      <c r="BU89" s="25">
        <v>0</v>
      </c>
      <c r="BV89" s="25">
        <v>0</v>
      </c>
      <c r="BW89" s="25">
        <v>0</v>
      </c>
      <c r="BX89" s="25">
        <v>0</v>
      </c>
      <c r="BY89" s="25">
        <v>0</v>
      </c>
      <c r="BZ89" s="25">
        <v>0</v>
      </c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0</v>
      </c>
      <c r="CH89" s="25">
        <v>0</v>
      </c>
      <c r="CI89" s="25">
        <v>0</v>
      </c>
      <c r="CJ89" s="25">
        <v>0</v>
      </c>
      <c r="CK89" s="25">
        <v>0</v>
      </c>
      <c r="CL89" s="25">
        <v>0</v>
      </c>
      <c r="CM89" s="25">
        <v>0</v>
      </c>
      <c r="CN89" s="25">
        <v>0</v>
      </c>
      <c r="CO89" s="25">
        <v>0</v>
      </c>
      <c r="CP89" s="25">
        <v>0</v>
      </c>
      <c r="CQ89" s="25">
        <v>0</v>
      </c>
      <c r="CR89" s="25">
        <v>0</v>
      </c>
      <c r="CS89" s="25">
        <v>0</v>
      </c>
      <c r="CT89" s="25">
        <v>0</v>
      </c>
      <c r="CU89" s="25">
        <v>0</v>
      </c>
      <c r="CV89" s="25">
        <v>0</v>
      </c>
      <c r="CW89" s="25">
        <v>0</v>
      </c>
      <c r="CX89" s="25">
        <v>0</v>
      </c>
      <c r="CY89" s="25">
        <v>0</v>
      </c>
      <c r="CZ89" s="25">
        <v>0</v>
      </c>
      <c r="DA89" s="25">
        <v>0</v>
      </c>
      <c r="DB89" s="25">
        <v>0</v>
      </c>
      <c r="DC89" s="25">
        <v>0</v>
      </c>
      <c r="DD89" s="25">
        <v>0</v>
      </c>
      <c r="DE89" s="25">
        <v>0</v>
      </c>
      <c r="DF89" s="25">
        <v>0</v>
      </c>
      <c r="DG89" s="25">
        <v>0</v>
      </c>
      <c r="DH89" s="25">
        <v>0</v>
      </c>
      <c r="DI89" s="25">
        <v>0</v>
      </c>
      <c r="DJ89" s="25">
        <v>0</v>
      </c>
    </row>
    <row r="90" spans="1:114" s="25" customFormat="1" ht="30" x14ac:dyDescent="0.25">
      <c r="A90" s="25">
        <v>89</v>
      </c>
      <c r="B90" s="1" t="s">
        <v>1528</v>
      </c>
      <c r="C90" s="26" t="s">
        <v>1198</v>
      </c>
      <c r="D90" t="s">
        <v>1802</v>
      </c>
      <c r="E90" s="25">
        <v>16.661200000000001</v>
      </c>
      <c r="F90" s="25" t="s">
        <v>1536</v>
      </c>
      <c r="G90" s="25" t="s">
        <v>13</v>
      </c>
      <c r="H90" s="25" t="s">
        <v>16</v>
      </c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0</v>
      </c>
      <c r="W90" s="25">
        <v>0</v>
      </c>
      <c r="X90" s="25">
        <v>1</v>
      </c>
      <c r="Y90" s="25">
        <v>0</v>
      </c>
      <c r="Z90" s="25">
        <v>0</v>
      </c>
      <c r="AA90" s="25">
        <v>0</v>
      </c>
      <c r="AB90" s="25">
        <v>0</v>
      </c>
      <c r="AC90" s="25">
        <v>0</v>
      </c>
      <c r="AD90" s="25">
        <v>0</v>
      </c>
      <c r="AE90" s="25">
        <v>0</v>
      </c>
      <c r="AF90" s="25">
        <v>0</v>
      </c>
      <c r="AG90" s="25">
        <v>0</v>
      </c>
      <c r="AH90" s="25">
        <v>0</v>
      </c>
      <c r="AI90" s="25">
        <v>0</v>
      </c>
      <c r="AJ90" s="25">
        <v>0</v>
      </c>
      <c r="AK90" s="25">
        <v>0</v>
      </c>
      <c r="AL90" s="25">
        <v>0</v>
      </c>
      <c r="AM90" s="25">
        <v>0</v>
      </c>
      <c r="AN90" s="25">
        <v>0</v>
      </c>
      <c r="AO90" s="25">
        <v>1</v>
      </c>
      <c r="AP90" s="25">
        <v>0</v>
      </c>
      <c r="AQ90" s="25">
        <v>0</v>
      </c>
      <c r="AR90" s="25">
        <v>0</v>
      </c>
      <c r="AS90" s="25">
        <v>0</v>
      </c>
      <c r="AT90" s="25">
        <v>0</v>
      </c>
      <c r="AU90" s="25">
        <v>0</v>
      </c>
      <c r="AV90" s="25">
        <v>0</v>
      </c>
      <c r="AW90" s="25">
        <v>0</v>
      </c>
      <c r="AX90" s="25">
        <v>0</v>
      </c>
      <c r="AY90" s="25">
        <v>0</v>
      </c>
      <c r="AZ90" s="25">
        <v>0</v>
      </c>
      <c r="BA90" s="25">
        <v>0</v>
      </c>
      <c r="BB90" s="25">
        <v>0</v>
      </c>
      <c r="BC90" s="25">
        <v>0</v>
      </c>
      <c r="BD90" s="25">
        <v>0</v>
      </c>
      <c r="BE90" s="25">
        <v>0</v>
      </c>
      <c r="BF90" s="25">
        <v>0</v>
      </c>
      <c r="BG90" s="25">
        <v>0</v>
      </c>
      <c r="BH90" s="25">
        <v>1</v>
      </c>
      <c r="BI90" s="25">
        <v>0</v>
      </c>
      <c r="BJ90" s="25">
        <v>0</v>
      </c>
      <c r="BK90" s="25">
        <v>0</v>
      </c>
      <c r="BL90" s="25">
        <v>0</v>
      </c>
      <c r="BM90" s="25">
        <v>0</v>
      </c>
      <c r="BN90" s="25">
        <v>0</v>
      </c>
      <c r="BO90" s="25">
        <v>0</v>
      </c>
      <c r="BP90" s="25">
        <v>0</v>
      </c>
      <c r="BQ90" s="25">
        <v>0</v>
      </c>
      <c r="BR90" s="25">
        <v>0</v>
      </c>
      <c r="BS90" s="25">
        <v>0</v>
      </c>
      <c r="BT90" s="25">
        <v>0</v>
      </c>
      <c r="BU90" s="25">
        <v>0</v>
      </c>
      <c r="BV90" s="25">
        <v>0</v>
      </c>
      <c r="BW90" s="25">
        <v>0</v>
      </c>
      <c r="BX90" s="25">
        <v>0</v>
      </c>
      <c r="BY90" s="25">
        <v>0</v>
      </c>
      <c r="BZ90" s="25">
        <v>0</v>
      </c>
      <c r="CA90" s="25">
        <v>0</v>
      </c>
      <c r="CB90" s="25">
        <v>0</v>
      </c>
      <c r="CC90" s="25">
        <v>0</v>
      </c>
      <c r="CD90" s="25">
        <v>1</v>
      </c>
      <c r="CE90" s="25">
        <v>0</v>
      </c>
      <c r="CF90" s="25">
        <v>0</v>
      </c>
      <c r="CG90" s="25">
        <v>1</v>
      </c>
      <c r="CH90" s="25">
        <v>0</v>
      </c>
      <c r="CI90" s="25">
        <v>0</v>
      </c>
      <c r="CJ90" s="25">
        <v>0</v>
      </c>
      <c r="CK90" s="25">
        <v>1</v>
      </c>
      <c r="CL90" s="25">
        <v>0</v>
      </c>
      <c r="CM90" s="25">
        <v>0</v>
      </c>
      <c r="CN90" s="25">
        <v>0</v>
      </c>
      <c r="CO90" s="25">
        <v>0</v>
      </c>
      <c r="CP90" s="25">
        <v>0</v>
      </c>
      <c r="CQ90" s="25">
        <v>0</v>
      </c>
      <c r="CR90" s="25">
        <v>0</v>
      </c>
      <c r="CS90" s="25">
        <v>0</v>
      </c>
      <c r="CT90" s="25">
        <v>0</v>
      </c>
      <c r="CU90" s="25">
        <v>0</v>
      </c>
      <c r="CV90" s="25">
        <v>0</v>
      </c>
      <c r="CW90" s="25">
        <v>0</v>
      </c>
      <c r="CX90" s="25">
        <v>0</v>
      </c>
      <c r="CY90" s="25">
        <v>0</v>
      </c>
      <c r="CZ90" s="25">
        <v>0</v>
      </c>
      <c r="DA90" s="25">
        <v>0</v>
      </c>
      <c r="DB90" s="25">
        <v>0</v>
      </c>
      <c r="DC90" s="25">
        <v>0</v>
      </c>
      <c r="DD90" s="25">
        <v>0</v>
      </c>
      <c r="DE90" s="25">
        <v>0</v>
      </c>
      <c r="DF90" s="25">
        <v>0</v>
      </c>
      <c r="DG90" s="25">
        <v>0</v>
      </c>
      <c r="DH90" s="25">
        <v>0</v>
      </c>
      <c r="DI90" s="25">
        <v>0</v>
      </c>
      <c r="DJ90" s="25">
        <v>0</v>
      </c>
    </row>
    <row r="91" spans="1:114" s="25" customFormat="1" x14ac:dyDescent="0.25">
      <c r="A91" s="25">
        <v>90</v>
      </c>
      <c r="B91" t="s">
        <v>644</v>
      </c>
      <c r="C91" s="26" t="s">
        <v>645</v>
      </c>
      <c r="D91" t="s">
        <v>1453</v>
      </c>
      <c r="E91" s="25">
        <v>0.73609500000000005</v>
      </c>
      <c r="F91" s="25" t="s">
        <v>1538</v>
      </c>
      <c r="G91" s="25" t="s">
        <v>14</v>
      </c>
      <c r="H91" s="25" t="s">
        <v>17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0</v>
      </c>
      <c r="W91" s="25">
        <v>0</v>
      </c>
      <c r="X91" s="25">
        <v>0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  <c r="AE91" s="25">
        <v>0</v>
      </c>
      <c r="AF91" s="25">
        <v>0</v>
      </c>
      <c r="AG91" s="25">
        <v>0</v>
      </c>
      <c r="AH91" s="25">
        <v>0</v>
      </c>
      <c r="AI91" s="25">
        <v>0</v>
      </c>
      <c r="AJ91" s="25">
        <v>0</v>
      </c>
      <c r="AK91" s="25">
        <v>0</v>
      </c>
      <c r="AL91" s="25">
        <v>0</v>
      </c>
      <c r="AM91" s="25">
        <v>0</v>
      </c>
      <c r="AN91" s="25">
        <v>0</v>
      </c>
      <c r="AO91" s="25">
        <v>0</v>
      </c>
      <c r="AP91" s="25">
        <v>0</v>
      </c>
      <c r="AQ91" s="25">
        <v>0</v>
      </c>
      <c r="AR91" s="25">
        <v>0</v>
      </c>
      <c r="AS91" s="25">
        <v>0</v>
      </c>
      <c r="AT91" s="25">
        <v>0</v>
      </c>
      <c r="AU91" s="25">
        <v>0</v>
      </c>
      <c r="AV91" s="25">
        <v>0</v>
      </c>
      <c r="AW91" s="25">
        <v>0</v>
      </c>
      <c r="AX91" s="25">
        <v>0</v>
      </c>
      <c r="AY91" s="25">
        <v>0</v>
      </c>
      <c r="AZ91" s="25">
        <v>0</v>
      </c>
      <c r="BA91" s="25">
        <v>0</v>
      </c>
      <c r="BB91" s="25">
        <v>0</v>
      </c>
      <c r="BC91" s="25">
        <v>0</v>
      </c>
      <c r="BD91" s="25">
        <v>0</v>
      </c>
      <c r="BE91" s="25">
        <v>0</v>
      </c>
      <c r="BF91" s="25">
        <v>0</v>
      </c>
      <c r="BG91" s="25">
        <v>0</v>
      </c>
      <c r="BH91" s="25">
        <v>0</v>
      </c>
      <c r="BI91" s="25">
        <v>0</v>
      </c>
      <c r="BJ91" s="25">
        <v>0</v>
      </c>
      <c r="BK91" s="25">
        <v>0</v>
      </c>
      <c r="BL91" s="25">
        <v>0</v>
      </c>
      <c r="BM91" s="25">
        <v>0</v>
      </c>
      <c r="BN91" s="25">
        <v>0</v>
      </c>
      <c r="BO91" s="25">
        <v>0</v>
      </c>
      <c r="BP91" s="25">
        <v>0</v>
      </c>
      <c r="BQ91" s="25">
        <v>0</v>
      </c>
      <c r="BR91" s="25">
        <v>0</v>
      </c>
      <c r="BS91" s="25">
        <v>0</v>
      </c>
      <c r="BT91" s="25">
        <v>0</v>
      </c>
      <c r="BU91" s="25">
        <v>0</v>
      </c>
      <c r="BV91" s="25">
        <v>0</v>
      </c>
      <c r="BW91" s="25">
        <v>0</v>
      </c>
      <c r="BX91" s="25">
        <v>0</v>
      </c>
      <c r="BY91" s="25">
        <v>0</v>
      </c>
      <c r="BZ91" s="25">
        <v>0</v>
      </c>
      <c r="CA91" s="25">
        <v>0</v>
      </c>
      <c r="CB91" s="25">
        <v>0</v>
      </c>
      <c r="CC91" s="25">
        <v>0</v>
      </c>
      <c r="CD91" s="25">
        <v>0</v>
      </c>
      <c r="CE91" s="25">
        <v>0</v>
      </c>
      <c r="CF91" s="25">
        <v>0</v>
      </c>
      <c r="CG91" s="25">
        <v>0</v>
      </c>
      <c r="CH91" s="25">
        <v>0</v>
      </c>
      <c r="CI91" s="25">
        <v>0</v>
      </c>
      <c r="CJ91" s="25">
        <v>0</v>
      </c>
      <c r="CK91" s="25">
        <v>0</v>
      </c>
      <c r="CL91" s="25">
        <v>0</v>
      </c>
      <c r="CM91" s="25">
        <v>0</v>
      </c>
      <c r="CN91" s="25">
        <v>0</v>
      </c>
      <c r="CO91" s="25">
        <v>0</v>
      </c>
      <c r="CP91" s="25">
        <v>0</v>
      </c>
      <c r="CQ91" s="25">
        <v>1</v>
      </c>
      <c r="CR91" s="25">
        <v>0</v>
      </c>
      <c r="CS91" s="25">
        <v>0</v>
      </c>
      <c r="CT91" s="25">
        <v>0</v>
      </c>
      <c r="CU91" s="25">
        <v>0</v>
      </c>
      <c r="CV91" s="25">
        <v>0</v>
      </c>
      <c r="CW91" s="25">
        <v>0</v>
      </c>
      <c r="CX91" s="25">
        <v>0</v>
      </c>
      <c r="CY91" s="25">
        <v>0</v>
      </c>
      <c r="CZ91" s="25">
        <v>0</v>
      </c>
      <c r="DA91" s="25">
        <v>0</v>
      </c>
      <c r="DB91" s="25">
        <v>0</v>
      </c>
      <c r="DC91" s="25">
        <v>0</v>
      </c>
      <c r="DD91" s="25">
        <v>0</v>
      </c>
      <c r="DE91" s="25">
        <v>0</v>
      </c>
      <c r="DF91" s="25">
        <v>0</v>
      </c>
      <c r="DG91" s="25">
        <v>0</v>
      </c>
      <c r="DH91" s="25">
        <v>0</v>
      </c>
      <c r="DI91" s="25">
        <v>0</v>
      </c>
      <c r="DJ91" s="25">
        <v>0</v>
      </c>
    </row>
    <row r="92" spans="1:114" s="25" customFormat="1" x14ac:dyDescent="0.25">
      <c r="A92" s="25">
        <v>91</v>
      </c>
      <c r="B92" t="s">
        <v>1204</v>
      </c>
      <c r="C92" s="26" t="s">
        <v>1203</v>
      </c>
      <c r="D92" t="s">
        <v>1453</v>
      </c>
      <c r="E92" s="25">
        <v>0.56187600000000004</v>
      </c>
      <c r="F92" s="25" t="s">
        <v>1538</v>
      </c>
      <c r="G92" s="25" t="s">
        <v>14</v>
      </c>
      <c r="H92" s="25" t="s">
        <v>17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>
        <v>0</v>
      </c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  <c r="AR92" s="25">
        <v>0</v>
      </c>
      <c r="AS92" s="25">
        <v>0</v>
      </c>
      <c r="AT92" s="25">
        <v>1</v>
      </c>
      <c r="AU92" s="25">
        <v>0</v>
      </c>
      <c r="AV92" s="25">
        <v>0</v>
      </c>
      <c r="AW92" s="25">
        <v>0</v>
      </c>
      <c r="AX92" s="25">
        <v>0</v>
      </c>
      <c r="AY92" s="25">
        <v>0</v>
      </c>
      <c r="AZ92" s="25">
        <v>0</v>
      </c>
      <c r="BA92" s="25">
        <v>0</v>
      </c>
      <c r="BB92" s="25">
        <v>0</v>
      </c>
      <c r="BC92" s="25">
        <v>0</v>
      </c>
      <c r="BD92" s="25">
        <v>0</v>
      </c>
      <c r="BE92" s="25">
        <v>0</v>
      </c>
      <c r="BF92" s="25">
        <v>0</v>
      </c>
      <c r="BG92" s="25">
        <v>0</v>
      </c>
      <c r="BH92" s="25">
        <v>0</v>
      </c>
      <c r="BI92" s="25">
        <v>0</v>
      </c>
      <c r="BJ92" s="25">
        <v>0</v>
      </c>
      <c r="BK92" s="25">
        <v>0</v>
      </c>
      <c r="BL92" s="25">
        <v>0</v>
      </c>
      <c r="BM92" s="25">
        <v>0</v>
      </c>
      <c r="BN92" s="25">
        <v>0</v>
      </c>
      <c r="BO92" s="25">
        <v>0</v>
      </c>
      <c r="BP92" s="25">
        <v>0</v>
      </c>
      <c r="BQ92" s="25">
        <v>0</v>
      </c>
      <c r="BR92" s="25">
        <v>0</v>
      </c>
      <c r="BS92" s="25">
        <v>0</v>
      </c>
      <c r="BT92" s="25">
        <v>0</v>
      </c>
      <c r="BU92" s="25">
        <v>0</v>
      </c>
      <c r="BV92" s="25">
        <v>0</v>
      </c>
      <c r="BW92" s="25">
        <v>0</v>
      </c>
      <c r="BX92" s="25">
        <v>0</v>
      </c>
      <c r="BY92" s="25">
        <v>0</v>
      </c>
      <c r="BZ92" s="25">
        <v>0</v>
      </c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0</v>
      </c>
      <c r="CH92" s="25">
        <v>0</v>
      </c>
      <c r="CI92" s="25">
        <v>0</v>
      </c>
      <c r="CJ92" s="25">
        <v>0</v>
      </c>
      <c r="CK92" s="25">
        <v>0</v>
      </c>
      <c r="CL92" s="25">
        <v>0</v>
      </c>
      <c r="CM92" s="25">
        <v>0</v>
      </c>
      <c r="CN92" s="25">
        <v>0</v>
      </c>
      <c r="CO92" s="25">
        <v>0</v>
      </c>
      <c r="CP92" s="25">
        <v>0</v>
      </c>
      <c r="CQ92" s="25">
        <v>1</v>
      </c>
      <c r="CR92" s="25">
        <v>0</v>
      </c>
      <c r="CS92" s="25">
        <v>0</v>
      </c>
      <c r="CT92" s="25">
        <v>0</v>
      </c>
      <c r="CU92" s="25">
        <v>0</v>
      </c>
      <c r="CV92" s="25">
        <v>1</v>
      </c>
      <c r="CW92" s="25">
        <v>0</v>
      </c>
      <c r="CX92" s="25">
        <v>1</v>
      </c>
      <c r="CY92" s="25">
        <v>0</v>
      </c>
      <c r="CZ92" s="25">
        <v>0</v>
      </c>
      <c r="DA92" s="25">
        <v>0</v>
      </c>
      <c r="DB92" s="25">
        <v>0</v>
      </c>
      <c r="DC92" s="25">
        <v>0</v>
      </c>
      <c r="DD92" s="25">
        <v>0</v>
      </c>
      <c r="DE92" s="25">
        <v>0</v>
      </c>
      <c r="DF92" s="25">
        <v>0</v>
      </c>
      <c r="DG92" s="25">
        <v>0</v>
      </c>
      <c r="DH92" s="25">
        <v>0</v>
      </c>
      <c r="DI92" s="25">
        <v>0</v>
      </c>
      <c r="DJ92" s="25">
        <v>0</v>
      </c>
    </row>
    <row r="93" spans="1:114" s="25" customFormat="1" x14ac:dyDescent="0.25">
      <c r="A93" s="25">
        <v>92</v>
      </c>
      <c r="B93" t="s">
        <v>27</v>
      </c>
      <c r="C93" s="26" t="s">
        <v>1214</v>
      </c>
      <c r="D93" t="s">
        <v>1802</v>
      </c>
      <c r="E93" s="25">
        <v>0.95996999999999999</v>
      </c>
      <c r="F93" s="25" t="s">
        <v>1538</v>
      </c>
      <c r="G93" s="25" t="s">
        <v>13</v>
      </c>
      <c r="H93" s="25" t="s">
        <v>17</v>
      </c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0</v>
      </c>
      <c r="AD93" s="25">
        <v>0</v>
      </c>
      <c r="AE93" s="25">
        <v>0</v>
      </c>
      <c r="AF93" s="25">
        <v>0</v>
      </c>
      <c r="AG93" s="25">
        <v>0</v>
      </c>
      <c r="AH93" s="25">
        <v>1</v>
      </c>
      <c r="AI93" s="25">
        <v>0</v>
      </c>
      <c r="AJ93" s="25">
        <v>0</v>
      </c>
      <c r="AK93" s="25">
        <v>0</v>
      </c>
      <c r="AL93" s="25">
        <v>0</v>
      </c>
      <c r="AM93" s="25">
        <v>0</v>
      </c>
      <c r="AN93" s="25">
        <v>0</v>
      </c>
      <c r="AO93" s="25">
        <v>0</v>
      </c>
      <c r="AP93" s="25">
        <v>0</v>
      </c>
      <c r="AQ93" s="25">
        <v>0</v>
      </c>
      <c r="AR93" s="25">
        <v>0</v>
      </c>
      <c r="AS93" s="25">
        <v>0</v>
      </c>
      <c r="AT93" s="25">
        <v>0</v>
      </c>
      <c r="AU93" s="25">
        <v>0</v>
      </c>
      <c r="AV93" s="25">
        <v>0</v>
      </c>
      <c r="AW93" s="25">
        <v>0</v>
      </c>
      <c r="AX93" s="25">
        <v>0</v>
      </c>
      <c r="AY93" s="25">
        <v>0</v>
      </c>
      <c r="AZ93" s="25">
        <v>0</v>
      </c>
      <c r="BA93" s="25">
        <v>0</v>
      </c>
      <c r="BB93" s="25">
        <v>0</v>
      </c>
      <c r="BC93" s="25">
        <v>0</v>
      </c>
      <c r="BD93" s="25">
        <v>0</v>
      </c>
      <c r="BE93" s="25">
        <v>0</v>
      </c>
      <c r="BF93" s="25">
        <v>0</v>
      </c>
      <c r="BG93" s="25">
        <v>0</v>
      </c>
      <c r="BH93" s="25">
        <v>0</v>
      </c>
      <c r="BI93" s="25">
        <v>0</v>
      </c>
      <c r="BJ93" s="25">
        <v>0</v>
      </c>
      <c r="BK93" s="25">
        <v>0</v>
      </c>
      <c r="BL93" s="25">
        <v>0</v>
      </c>
      <c r="BM93" s="25">
        <v>0</v>
      </c>
      <c r="BN93" s="25">
        <v>0</v>
      </c>
      <c r="BO93" s="25">
        <v>0</v>
      </c>
      <c r="BP93" s="25">
        <v>0</v>
      </c>
      <c r="BQ93" s="25">
        <v>0</v>
      </c>
      <c r="BR93" s="25">
        <v>0</v>
      </c>
      <c r="BS93" s="25">
        <v>0</v>
      </c>
      <c r="BT93" s="25">
        <v>0</v>
      </c>
      <c r="BU93" s="25">
        <v>0</v>
      </c>
      <c r="BV93" s="25">
        <v>0</v>
      </c>
      <c r="BW93" s="25">
        <v>0</v>
      </c>
      <c r="BX93" s="25">
        <v>0</v>
      </c>
      <c r="BY93" s="25">
        <v>0</v>
      </c>
      <c r="BZ93" s="25">
        <v>0</v>
      </c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0</v>
      </c>
      <c r="CH93" s="25">
        <v>0</v>
      </c>
      <c r="CI93" s="25">
        <v>0</v>
      </c>
      <c r="CJ93" s="25">
        <v>0</v>
      </c>
      <c r="CK93" s="25">
        <v>0</v>
      </c>
      <c r="CL93" s="25">
        <v>0</v>
      </c>
      <c r="CM93" s="25">
        <v>0</v>
      </c>
      <c r="CN93" s="25">
        <v>0</v>
      </c>
      <c r="CO93" s="25">
        <v>0</v>
      </c>
      <c r="CP93" s="25">
        <v>0</v>
      </c>
      <c r="CQ93" s="25">
        <v>0</v>
      </c>
      <c r="CR93" s="25">
        <v>0</v>
      </c>
      <c r="CS93" s="25">
        <v>0</v>
      </c>
      <c r="CT93" s="25">
        <v>0</v>
      </c>
      <c r="CU93" s="25">
        <v>0</v>
      </c>
      <c r="CV93" s="25">
        <v>0</v>
      </c>
      <c r="CW93" s="25">
        <v>0</v>
      </c>
      <c r="CX93" s="25">
        <v>0</v>
      </c>
      <c r="CY93" s="25">
        <v>0</v>
      </c>
      <c r="CZ93" s="25">
        <v>0</v>
      </c>
      <c r="DA93" s="25">
        <v>0</v>
      </c>
      <c r="DB93" s="25">
        <v>1</v>
      </c>
      <c r="DC93" s="25">
        <v>0</v>
      </c>
      <c r="DD93" s="25">
        <v>0</v>
      </c>
      <c r="DE93" s="25">
        <v>0</v>
      </c>
      <c r="DF93" s="25">
        <v>0</v>
      </c>
      <c r="DG93" s="25">
        <v>0</v>
      </c>
      <c r="DH93" s="25">
        <v>0</v>
      </c>
      <c r="DI93" s="25">
        <v>0</v>
      </c>
      <c r="DJ93" s="25">
        <v>0</v>
      </c>
    </row>
    <row r="94" spans="1:114" s="25" customFormat="1" x14ac:dyDescent="0.25">
      <c r="A94" s="25">
        <v>93</v>
      </c>
      <c r="B94" t="s">
        <v>27</v>
      </c>
      <c r="C94" s="26" t="s">
        <v>1214</v>
      </c>
      <c r="D94" t="s">
        <v>1802</v>
      </c>
      <c r="E94" s="25">
        <v>1.1130800000000001</v>
      </c>
      <c r="F94" s="25" t="s">
        <v>1538</v>
      </c>
      <c r="G94" s="25" t="s">
        <v>14</v>
      </c>
      <c r="H94" s="25" t="s">
        <v>17</v>
      </c>
      <c r="I94" s="25">
        <v>0</v>
      </c>
      <c r="J94" s="25">
        <v>0</v>
      </c>
      <c r="K94" s="25">
        <v>0</v>
      </c>
      <c r="L94" s="25">
        <v>0</v>
      </c>
      <c r="M94" s="25">
        <v>1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0</v>
      </c>
      <c r="V94" s="25">
        <v>0</v>
      </c>
      <c r="W94" s="25">
        <v>0</v>
      </c>
      <c r="X94" s="25">
        <v>0</v>
      </c>
      <c r="Y94" s="25">
        <v>0</v>
      </c>
      <c r="Z94" s="25">
        <v>0</v>
      </c>
      <c r="AA94" s="25">
        <v>0</v>
      </c>
      <c r="AB94" s="25">
        <v>0</v>
      </c>
      <c r="AC94" s="25">
        <v>0</v>
      </c>
      <c r="AD94" s="25">
        <v>0</v>
      </c>
      <c r="AE94" s="25">
        <v>0</v>
      </c>
      <c r="AF94" s="25">
        <v>0</v>
      </c>
      <c r="AG94" s="25">
        <v>0</v>
      </c>
      <c r="AH94" s="25">
        <v>1</v>
      </c>
      <c r="AI94" s="25">
        <v>0</v>
      </c>
      <c r="AJ94" s="25">
        <v>0</v>
      </c>
      <c r="AK94" s="25">
        <v>0</v>
      </c>
      <c r="AL94" s="25">
        <v>0</v>
      </c>
      <c r="AM94" s="25">
        <v>0</v>
      </c>
      <c r="AN94" s="25">
        <v>0</v>
      </c>
      <c r="AO94" s="25">
        <v>0</v>
      </c>
      <c r="AP94" s="25">
        <v>0</v>
      </c>
      <c r="AQ94" s="25">
        <v>0</v>
      </c>
      <c r="AR94" s="25">
        <v>0</v>
      </c>
      <c r="AS94" s="25">
        <v>0</v>
      </c>
      <c r="AT94" s="25">
        <v>0</v>
      </c>
      <c r="AU94" s="25">
        <v>0</v>
      </c>
      <c r="AV94" s="25">
        <v>0</v>
      </c>
      <c r="AW94" s="25">
        <v>0</v>
      </c>
      <c r="AX94" s="25">
        <v>0</v>
      </c>
      <c r="AY94" s="25">
        <v>0</v>
      </c>
      <c r="AZ94" s="25">
        <v>0</v>
      </c>
      <c r="BA94" s="25">
        <v>0</v>
      </c>
      <c r="BB94" s="25">
        <v>0</v>
      </c>
      <c r="BC94" s="25">
        <v>0</v>
      </c>
      <c r="BD94" s="25">
        <v>0</v>
      </c>
      <c r="BE94" s="25">
        <v>0</v>
      </c>
      <c r="BF94" s="25">
        <v>0</v>
      </c>
      <c r="BG94" s="25">
        <v>0</v>
      </c>
      <c r="BH94" s="25">
        <v>0</v>
      </c>
      <c r="BI94" s="25">
        <v>0</v>
      </c>
      <c r="BJ94" s="25">
        <v>0</v>
      </c>
      <c r="BK94" s="25">
        <v>0</v>
      </c>
      <c r="BL94" s="25">
        <v>0</v>
      </c>
      <c r="BM94" s="25">
        <v>0</v>
      </c>
      <c r="BN94" s="25">
        <v>0</v>
      </c>
      <c r="BO94" s="25">
        <v>0</v>
      </c>
      <c r="BP94" s="25">
        <v>0</v>
      </c>
      <c r="BQ94" s="25">
        <v>0</v>
      </c>
      <c r="BR94" s="25">
        <v>0</v>
      </c>
      <c r="BS94" s="25">
        <v>0</v>
      </c>
      <c r="BT94" s="25">
        <v>0</v>
      </c>
      <c r="BU94" s="25">
        <v>0</v>
      </c>
      <c r="BV94" s="25">
        <v>0</v>
      </c>
      <c r="BW94" s="25">
        <v>0</v>
      </c>
      <c r="BX94" s="25">
        <v>0</v>
      </c>
      <c r="BY94" s="25">
        <v>0</v>
      </c>
      <c r="BZ94" s="25">
        <v>0</v>
      </c>
      <c r="CA94" s="25">
        <v>0</v>
      </c>
      <c r="CB94" s="25">
        <v>0</v>
      </c>
      <c r="CC94" s="25">
        <v>0</v>
      </c>
      <c r="CD94" s="25">
        <v>1</v>
      </c>
      <c r="CE94" s="25">
        <v>0</v>
      </c>
      <c r="CF94" s="25">
        <v>0</v>
      </c>
      <c r="CG94" s="25">
        <v>0</v>
      </c>
      <c r="CH94" s="25">
        <v>0</v>
      </c>
      <c r="CI94" s="25">
        <v>0</v>
      </c>
      <c r="CJ94" s="25">
        <v>0</v>
      </c>
      <c r="CK94" s="25">
        <v>0</v>
      </c>
      <c r="CL94" s="25">
        <v>0</v>
      </c>
      <c r="CM94" s="25">
        <v>0</v>
      </c>
      <c r="CN94" s="25">
        <v>0</v>
      </c>
      <c r="CO94" s="25">
        <v>0</v>
      </c>
      <c r="CP94" s="25">
        <v>0</v>
      </c>
      <c r="CQ94" s="25">
        <v>0</v>
      </c>
      <c r="CR94" s="25">
        <v>0</v>
      </c>
      <c r="CS94" s="25">
        <v>0</v>
      </c>
      <c r="CT94" s="25">
        <v>0</v>
      </c>
      <c r="CU94" s="25">
        <v>0</v>
      </c>
      <c r="CV94" s="25">
        <v>0</v>
      </c>
      <c r="CW94" s="25">
        <v>0</v>
      </c>
      <c r="CX94" s="25">
        <v>0</v>
      </c>
      <c r="CY94" s="25">
        <v>0</v>
      </c>
      <c r="CZ94" s="25">
        <v>0</v>
      </c>
      <c r="DA94" s="25">
        <v>0</v>
      </c>
      <c r="DB94" s="25">
        <v>1</v>
      </c>
      <c r="DC94" s="25">
        <v>0</v>
      </c>
      <c r="DD94" s="25">
        <v>0</v>
      </c>
      <c r="DE94" s="25">
        <v>0</v>
      </c>
      <c r="DF94" s="25">
        <v>0</v>
      </c>
      <c r="DG94" s="25">
        <v>0</v>
      </c>
      <c r="DH94" s="25">
        <v>0</v>
      </c>
      <c r="DI94" s="25">
        <v>0</v>
      </c>
      <c r="DJ94" s="25">
        <v>0</v>
      </c>
    </row>
    <row r="95" spans="1:114" s="25" customFormat="1" x14ac:dyDescent="0.25">
      <c r="A95" s="25">
        <v>94</v>
      </c>
      <c r="B95" t="s">
        <v>27</v>
      </c>
      <c r="C95" s="26" t="s">
        <v>1212</v>
      </c>
      <c r="D95" t="s">
        <v>1800</v>
      </c>
      <c r="E95" s="25">
        <v>4.1383400000000004</v>
      </c>
      <c r="F95" s="25" t="s">
        <v>1538</v>
      </c>
      <c r="G95" s="25" t="s">
        <v>14</v>
      </c>
      <c r="H95" s="25" t="s">
        <v>18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25">
        <v>0</v>
      </c>
      <c r="W95" s="25">
        <v>0</v>
      </c>
      <c r="X95" s="25">
        <v>0</v>
      </c>
      <c r="Y95" s="25">
        <v>0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1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25">
        <v>0</v>
      </c>
      <c r="BA95" s="25">
        <v>0</v>
      </c>
      <c r="BB95" s="25">
        <v>0</v>
      </c>
      <c r="BC95" s="25">
        <v>0</v>
      </c>
      <c r="BD95" s="25">
        <v>0</v>
      </c>
      <c r="BE95" s="25">
        <v>0</v>
      </c>
      <c r="BF95" s="25">
        <v>0</v>
      </c>
      <c r="BG95" s="25">
        <v>0</v>
      </c>
      <c r="BH95" s="25">
        <v>0</v>
      </c>
      <c r="BI95" s="25">
        <v>0</v>
      </c>
      <c r="BJ95" s="25">
        <v>0</v>
      </c>
      <c r="BK95" s="25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25">
        <v>0</v>
      </c>
      <c r="BS95" s="25">
        <v>0</v>
      </c>
      <c r="BT95" s="25">
        <v>0</v>
      </c>
      <c r="BU95" s="25">
        <v>0</v>
      </c>
      <c r="BV95" s="25">
        <v>0</v>
      </c>
      <c r="BW95" s="25">
        <v>0</v>
      </c>
      <c r="BX95" s="25">
        <v>0</v>
      </c>
      <c r="BY95" s="25">
        <v>0</v>
      </c>
      <c r="BZ95" s="25">
        <v>0</v>
      </c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0</v>
      </c>
      <c r="CH95" s="25">
        <v>0</v>
      </c>
      <c r="CI95" s="25">
        <v>0</v>
      </c>
      <c r="CJ95" s="25">
        <v>0</v>
      </c>
      <c r="CK95" s="25">
        <v>0</v>
      </c>
      <c r="CL95" s="25">
        <v>0</v>
      </c>
      <c r="CM95" s="25">
        <v>0</v>
      </c>
      <c r="CN95" s="25">
        <v>0</v>
      </c>
      <c r="CO95" s="25">
        <v>0</v>
      </c>
      <c r="CP95" s="25">
        <v>0</v>
      </c>
      <c r="CQ95" s="25">
        <v>0</v>
      </c>
      <c r="CR95" s="25">
        <v>0</v>
      </c>
      <c r="CS95" s="25">
        <v>0</v>
      </c>
      <c r="CT95" s="25">
        <v>0</v>
      </c>
      <c r="CU95" s="25">
        <v>0</v>
      </c>
      <c r="CV95" s="25">
        <v>0</v>
      </c>
      <c r="CW95" s="25">
        <v>0</v>
      </c>
      <c r="CX95" s="25">
        <v>0</v>
      </c>
      <c r="CY95" s="25">
        <v>0</v>
      </c>
      <c r="CZ95" s="25">
        <v>0</v>
      </c>
      <c r="DA95" s="25">
        <v>0</v>
      </c>
      <c r="DB95" s="25">
        <v>0</v>
      </c>
      <c r="DC95" s="25">
        <v>0</v>
      </c>
      <c r="DD95" s="25">
        <v>0</v>
      </c>
      <c r="DE95" s="25">
        <v>0</v>
      </c>
      <c r="DF95" s="25">
        <v>0</v>
      </c>
      <c r="DG95" s="25">
        <v>0</v>
      </c>
      <c r="DH95" s="25">
        <v>0</v>
      </c>
      <c r="DI95" s="25">
        <v>0</v>
      </c>
      <c r="DJ95" s="25">
        <v>0</v>
      </c>
    </row>
    <row r="96" spans="1:114" s="25" customFormat="1" x14ac:dyDescent="0.25">
      <c r="A96" s="25">
        <v>95</v>
      </c>
      <c r="B96" t="s">
        <v>27</v>
      </c>
      <c r="C96" s="25" t="s">
        <v>25</v>
      </c>
      <c r="D96" t="s">
        <v>1800</v>
      </c>
      <c r="E96" s="25">
        <v>2.7957000000000001</v>
      </c>
      <c r="F96" s="25" t="s">
        <v>1538</v>
      </c>
      <c r="G96" s="25" t="s">
        <v>13</v>
      </c>
      <c r="H96" s="25" t="s">
        <v>17</v>
      </c>
      <c r="I96" s="25">
        <v>0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1</v>
      </c>
      <c r="S96" s="25">
        <v>0</v>
      </c>
      <c r="T96" s="25">
        <v>0</v>
      </c>
      <c r="U96" s="25">
        <v>0</v>
      </c>
      <c r="V96" s="25">
        <v>0</v>
      </c>
      <c r="W96" s="25">
        <v>0</v>
      </c>
      <c r="X96" s="25">
        <v>0</v>
      </c>
      <c r="Y96" s="25">
        <v>0</v>
      </c>
      <c r="Z96" s="25">
        <v>0</v>
      </c>
      <c r="AA96" s="25">
        <v>0</v>
      </c>
      <c r="AB96" s="25">
        <v>0</v>
      </c>
      <c r="AC96" s="25">
        <v>0</v>
      </c>
      <c r="AD96" s="25">
        <v>0</v>
      </c>
      <c r="AE96" s="25">
        <v>0</v>
      </c>
      <c r="AF96" s="25">
        <v>0</v>
      </c>
      <c r="AG96" s="25">
        <v>0</v>
      </c>
      <c r="AH96" s="25">
        <v>1</v>
      </c>
      <c r="AI96" s="25">
        <v>0</v>
      </c>
      <c r="AJ96" s="25">
        <v>0</v>
      </c>
      <c r="AK96" s="25">
        <v>0</v>
      </c>
      <c r="AL96" s="25">
        <v>0</v>
      </c>
      <c r="AM96" s="25">
        <v>0</v>
      </c>
      <c r="AN96" s="25">
        <v>0</v>
      </c>
      <c r="AO96" s="25">
        <v>0</v>
      </c>
      <c r="AP96" s="25">
        <v>0</v>
      </c>
      <c r="AQ96" s="25">
        <v>0</v>
      </c>
      <c r="AR96" s="25">
        <v>0</v>
      </c>
      <c r="AS96" s="25">
        <v>0</v>
      </c>
      <c r="AT96" s="25">
        <v>0</v>
      </c>
      <c r="AU96" s="25">
        <v>0</v>
      </c>
      <c r="AV96" s="25">
        <v>0</v>
      </c>
      <c r="AW96" s="25">
        <v>0</v>
      </c>
      <c r="AX96" s="25">
        <v>0</v>
      </c>
      <c r="AY96" s="25">
        <v>0</v>
      </c>
      <c r="AZ96" s="25">
        <v>0</v>
      </c>
      <c r="BA96" s="25">
        <v>0</v>
      </c>
      <c r="BB96" s="25">
        <v>0</v>
      </c>
      <c r="BC96" s="25">
        <v>0</v>
      </c>
      <c r="BD96" s="25">
        <v>0</v>
      </c>
      <c r="BE96" s="25">
        <v>0</v>
      </c>
      <c r="BF96" s="25">
        <v>0</v>
      </c>
      <c r="BG96" s="25">
        <v>0</v>
      </c>
      <c r="BH96" s="25">
        <v>0</v>
      </c>
      <c r="BI96" s="25">
        <v>0</v>
      </c>
      <c r="BJ96" s="25">
        <v>0</v>
      </c>
      <c r="BK96" s="25">
        <v>0</v>
      </c>
      <c r="BL96" s="25">
        <v>0</v>
      </c>
      <c r="BM96" s="25">
        <v>0</v>
      </c>
      <c r="BN96" s="25">
        <v>0</v>
      </c>
      <c r="BO96" s="25">
        <v>0</v>
      </c>
      <c r="BP96" s="25">
        <v>0</v>
      </c>
      <c r="BQ96" s="25">
        <v>0</v>
      </c>
      <c r="BR96" s="25">
        <v>0</v>
      </c>
      <c r="BS96" s="25">
        <v>0</v>
      </c>
      <c r="BT96" s="25">
        <v>0</v>
      </c>
      <c r="BU96" s="25">
        <v>0</v>
      </c>
      <c r="BV96" s="25">
        <v>0</v>
      </c>
      <c r="BW96" s="25">
        <v>0</v>
      </c>
      <c r="BX96" s="25">
        <v>0</v>
      </c>
      <c r="BY96" s="25">
        <v>0</v>
      </c>
      <c r="BZ96" s="25">
        <v>0</v>
      </c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0</v>
      </c>
      <c r="CH96" s="25">
        <v>0</v>
      </c>
      <c r="CI96" s="25">
        <v>0</v>
      </c>
      <c r="CJ96" s="25">
        <v>0</v>
      </c>
      <c r="CK96" s="25">
        <v>0</v>
      </c>
      <c r="CL96" s="25">
        <v>0</v>
      </c>
      <c r="CM96" s="25">
        <v>0</v>
      </c>
      <c r="CN96" s="25">
        <v>0</v>
      </c>
      <c r="CO96" s="25">
        <v>0</v>
      </c>
      <c r="CP96" s="25">
        <v>0</v>
      </c>
      <c r="CQ96" s="25">
        <v>0</v>
      </c>
      <c r="CR96" s="25">
        <v>0</v>
      </c>
      <c r="CS96" s="25">
        <v>0</v>
      </c>
      <c r="CT96" s="25">
        <v>0</v>
      </c>
      <c r="CU96" s="25">
        <v>0</v>
      </c>
      <c r="CV96" s="25">
        <v>0</v>
      </c>
      <c r="CW96" s="25">
        <v>0</v>
      </c>
      <c r="CX96" s="25">
        <v>0</v>
      </c>
      <c r="CY96" s="25">
        <v>0</v>
      </c>
      <c r="CZ96" s="25">
        <v>0</v>
      </c>
      <c r="DA96" s="25">
        <v>0</v>
      </c>
      <c r="DB96" s="25">
        <v>0</v>
      </c>
      <c r="DC96" s="25">
        <v>0</v>
      </c>
      <c r="DD96" s="25">
        <v>0</v>
      </c>
      <c r="DE96" s="25">
        <v>0</v>
      </c>
      <c r="DF96" s="25">
        <v>0</v>
      </c>
      <c r="DG96" s="25">
        <v>0</v>
      </c>
      <c r="DH96" s="25">
        <v>0</v>
      </c>
      <c r="DI96" s="25">
        <v>0</v>
      </c>
      <c r="DJ96" s="25">
        <v>0</v>
      </c>
    </row>
    <row r="97" spans="1:114" s="25" customFormat="1" x14ac:dyDescent="0.25">
      <c r="A97" s="25">
        <v>96</v>
      </c>
      <c r="B97" s="1" t="s">
        <v>235</v>
      </c>
      <c r="C97" s="26" t="s">
        <v>234</v>
      </c>
      <c r="D97" t="s">
        <v>1798</v>
      </c>
      <c r="E97" s="25">
        <v>71.659599999999998</v>
      </c>
      <c r="F97" s="25" t="s">
        <v>1539</v>
      </c>
      <c r="G97" s="25" t="s">
        <v>13</v>
      </c>
      <c r="H97" s="25" t="s">
        <v>16</v>
      </c>
      <c r="I97" s="25">
        <v>0</v>
      </c>
      <c r="J97" s="25">
        <v>0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0</v>
      </c>
      <c r="W97" s="25">
        <v>0</v>
      </c>
      <c r="X97" s="25">
        <v>0</v>
      </c>
      <c r="Y97" s="25">
        <v>0</v>
      </c>
      <c r="Z97" s="25">
        <v>0</v>
      </c>
      <c r="AA97" s="25">
        <v>0</v>
      </c>
      <c r="AB97" s="25">
        <v>0</v>
      </c>
      <c r="AC97" s="25">
        <v>0</v>
      </c>
      <c r="AD97" s="25">
        <v>0</v>
      </c>
      <c r="AE97" s="25">
        <v>0</v>
      </c>
      <c r="AF97" s="25">
        <v>0</v>
      </c>
      <c r="AG97" s="25">
        <v>0</v>
      </c>
      <c r="AH97" s="25">
        <v>1</v>
      </c>
      <c r="AI97" s="25">
        <v>0</v>
      </c>
      <c r="AJ97" s="25">
        <v>1</v>
      </c>
      <c r="AK97" s="25">
        <v>0</v>
      </c>
      <c r="AL97" s="25">
        <v>0</v>
      </c>
      <c r="AM97" s="25">
        <v>0</v>
      </c>
      <c r="AN97" s="25">
        <v>1</v>
      </c>
      <c r="AO97" s="25">
        <v>0</v>
      </c>
      <c r="AP97" s="25">
        <v>1</v>
      </c>
      <c r="AQ97" s="25">
        <v>0</v>
      </c>
      <c r="AR97" s="25">
        <v>0</v>
      </c>
      <c r="AS97" s="25">
        <v>0</v>
      </c>
      <c r="AT97" s="25">
        <v>0</v>
      </c>
      <c r="AU97" s="25">
        <v>0</v>
      </c>
      <c r="AV97" s="25">
        <v>0</v>
      </c>
      <c r="AW97" s="25">
        <v>0</v>
      </c>
      <c r="AX97" s="25">
        <v>0</v>
      </c>
      <c r="AY97" s="25">
        <v>0</v>
      </c>
      <c r="AZ97" s="25">
        <v>0</v>
      </c>
      <c r="BA97" s="25">
        <v>0</v>
      </c>
      <c r="BB97" s="25">
        <v>1</v>
      </c>
      <c r="BC97" s="25">
        <v>0</v>
      </c>
      <c r="BD97" s="25">
        <v>0</v>
      </c>
      <c r="BE97" s="25">
        <v>0</v>
      </c>
      <c r="BF97" s="25">
        <v>0</v>
      </c>
      <c r="BG97" s="25">
        <v>0</v>
      </c>
      <c r="BH97" s="25">
        <v>0</v>
      </c>
      <c r="BI97" s="25">
        <v>0</v>
      </c>
      <c r="BJ97" s="25">
        <v>1</v>
      </c>
      <c r="BK97" s="25">
        <v>0</v>
      </c>
      <c r="BL97" s="25">
        <v>0</v>
      </c>
      <c r="BM97" s="25">
        <v>0</v>
      </c>
      <c r="BN97" s="25">
        <v>0</v>
      </c>
      <c r="BO97" s="25">
        <v>0</v>
      </c>
      <c r="BP97" s="25">
        <v>0</v>
      </c>
      <c r="BQ97" s="25">
        <v>0</v>
      </c>
      <c r="BR97" s="25">
        <v>0</v>
      </c>
      <c r="BS97" s="25">
        <v>0</v>
      </c>
      <c r="BT97" s="25">
        <v>0</v>
      </c>
      <c r="BU97" s="25">
        <v>0</v>
      </c>
      <c r="BV97" s="25">
        <v>0</v>
      </c>
      <c r="BW97" s="25">
        <v>0</v>
      </c>
      <c r="BX97" s="25">
        <v>0</v>
      </c>
      <c r="BY97" s="25">
        <v>0</v>
      </c>
      <c r="BZ97" s="25">
        <v>0</v>
      </c>
      <c r="CA97" s="25">
        <v>0</v>
      </c>
      <c r="CB97" s="25">
        <v>0</v>
      </c>
      <c r="CC97" s="25">
        <v>0</v>
      </c>
      <c r="CD97" s="25">
        <v>0</v>
      </c>
      <c r="CE97" s="25">
        <v>0</v>
      </c>
      <c r="CF97" s="25">
        <v>0</v>
      </c>
      <c r="CG97" s="25">
        <v>1</v>
      </c>
      <c r="CH97" s="25">
        <v>0</v>
      </c>
      <c r="CI97" s="25">
        <v>0</v>
      </c>
      <c r="CJ97" s="25">
        <v>0</v>
      </c>
      <c r="CK97" s="25">
        <v>0</v>
      </c>
      <c r="CL97" s="25">
        <v>0</v>
      </c>
      <c r="CM97" s="25">
        <v>0</v>
      </c>
      <c r="CN97" s="25">
        <v>0</v>
      </c>
      <c r="CO97" s="25">
        <v>0</v>
      </c>
      <c r="CP97" s="25">
        <v>0</v>
      </c>
      <c r="CQ97" s="25">
        <v>0</v>
      </c>
      <c r="CR97" s="25">
        <v>0</v>
      </c>
      <c r="CS97" s="25">
        <v>0</v>
      </c>
      <c r="CT97" s="25">
        <v>0</v>
      </c>
      <c r="CU97" s="25">
        <v>0</v>
      </c>
      <c r="CV97" s="25">
        <v>0</v>
      </c>
      <c r="CW97" s="25">
        <v>0</v>
      </c>
      <c r="CX97" s="25">
        <v>0</v>
      </c>
      <c r="CY97" s="25">
        <v>0</v>
      </c>
      <c r="CZ97" s="25">
        <v>0</v>
      </c>
      <c r="DA97" s="25">
        <v>0</v>
      </c>
      <c r="DB97" s="25">
        <v>0</v>
      </c>
      <c r="DC97" s="25">
        <v>0</v>
      </c>
      <c r="DD97" s="25">
        <v>0</v>
      </c>
      <c r="DE97" s="25">
        <v>0</v>
      </c>
      <c r="DF97" s="25">
        <v>0</v>
      </c>
      <c r="DG97" s="25">
        <v>0</v>
      </c>
      <c r="DH97" s="25">
        <v>0</v>
      </c>
      <c r="DI97" s="25">
        <v>0</v>
      </c>
      <c r="DJ97" s="25">
        <v>1</v>
      </c>
    </row>
    <row r="98" spans="1:114" s="25" customFormat="1" x14ac:dyDescent="0.25">
      <c r="A98" s="25">
        <v>97</v>
      </c>
      <c r="B98" s="1" t="s">
        <v>235</v>
      </c>
      <c r="C98" s="26" t="s">
        <v>1443</v>
      </c>
      <c r="D98" t="s">
        <v>1453</v>
      </c>
      <c r="E98" s="25">
        <v>58.739899999999999</v>
      </c>
      <c r="F98" s="25" t="s">
        <v>1539</v>
      </c>
      <c r="G98" s="25" t="s">
        <v>13</v>
      </c>
      <c r="H98" s="25" t="s">
        <v>16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0</v>
      </c>
      <c r="AB98" s="25">
        <v>0</v>
      </c>
      <c r="AC98" s="25">
        <v>0</v>
      </c>
      <c r="AD98" s="25">
        <v>0</v>
      </c>
      <c r="AE98" s="25">
        <v>0</v>
      </c>
      <c r="AF98" s="25">
        <v>0</v>
      </c>
      <c r="AG98" s="25">
        <v>0</v>
      </c>
      <c r="AH98" s="25">
        <v>0</v>
      </c>
      <c r="AI98" s="25">
        <v>1</v>
      </c>
      <c r="AJ98" s="25">
        <v>0</v>
      </c>
      <c r="AK98" s="25">
        <v>0</v>
      </c>
      <c r="AL98" s="25">
        <v>0</v>
      </c>
      <c r="AM98" s="25">
        <v>0</v>
      </c>
      <c r="AN98" s="25">
        <v>0</v>
      </c>
      <c r="AO98" s="25">
        <v>0</v>
      </c>
      <c r="AP98" s="25">
        <v>0</v>
      </c>
      <c r="AQ98" s="25">
        <v>0</v>
      </c>
      <c r="AR98" s="25">
        <v>0</v>
      </c>
      <c r="AS98" s="25">
        <v>0</v>
      </c>
      <c r="AT98" s="25">
        <v>0</v>
      </c>
      <c r="AU98" s="25">
        <v>1</v>
      </c>
      <c r="AV98" s="25">
        <v>0</v>
      </c>
      <c r="AW98" s="25">
        <v>0</v>
      </c>
      <c r="AX98" s="25">
        <v>0</v>
      </c>
      <c r="AY98" s="25">
        <v>0</v>
      </c>
      <c r="AZ98" s="25">
        <v>0</v>
      </c>
      <c r="BA98" s="25">
        <v>0</v>
      </c>
      <c r="BB98" s="25">
        <v>0</v>
      </c>
      <c r="BC98" s="25">
        <v>0</v>
      </c>
      <c r="BD98" s="25">
        <v>1</v>
      </c>
      <c r="BE98" s="25">
        <v>0</v>
      </c>
      <c r="BF98" s="25">
        <v>0</v>
      </c>
      <c r="BG98" s="25">
        <v>0</v>
      </c>
      <c r="BH98" s="25">
        <v>0</v>
      </c>
      <c r="BI98" s="25">
        <v>0</v>
      </c>
      <c r="BJ98" s="25">
        <v>0</v>
      </c>
      <c r="BK98" s="25">
        <v>0</v>
      </c>
      <c r="BL98" s="25">
        <v>0</v>
      </c>
      <c r="BM98" s="25">
        <v>0</v>
      </c>
      <c r="BN98" s="25">
        <v>0</v>
      </c>
      <c r="BO98" s="25">
        <v>0</v>
      </c>
      <c r="BP98" s="25">
        <v>0</v>
      </c>
      <c r="BQ98" s="25">
        <v>0</v>
      </c>
      <c r="BR98" s="25">
        <v>0</v>
      </c>
      <c r="BS98" s="25">
        <v>0</v>
      </c>
      <c r="BT98" s="25">
        <v>0</v>
      </c>
      <c r="BU98" s="25">
        <v>0</v>
      </c>
      <c r="BV98" s="25">
        <v>0</v>
      </c>
      <c r="BW98" s="25">
        <v>0</v>
      </c>
      <c r="BX98" s="25">
        <v>0</v>
      </c>
      <c r="BY98" s="25">
        <v>0</v>
      </c>
      <c r="BZ98" s="25">
        <v>0</v>
      </c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0</v>
      </c>
      <c r="CH98" s="25">
        <v>0</v>
      </c>
      <c r="CI98" s="25">
        <v>0</v>
      </c>
      <c r="CJ98" s="25">
        <v>0</v>
      </c>
      <c r="CK98" s="25">
        <v>0</v>
      </c>
      <c r="CL98" s="25">
        <v>0</v>
      </c>
      <c r="CM98" s="25">
        <v>0</v>
      </c>
      <c r="CN98" s="25">
        <v>0</v>
      </c>
      <c r="CO98" s="25">
        <v>0</v>
      </c>
      <c r="CP98" s="25">
        <v>0</v>
      </c>
      <c r="CQ98" s="25">
        <v>0</v>
      </c>
      <c r="CR98" s="25">
        <v>0</v>
      </c>
      <c r="CS98" s="25">
        <v>1</v>
      </c>
      <c r="CT98" s="25">
        <v>0</v>
      </c>
      <c r="CU98" s="25">
        <v>1</v>
      </c>
      <c r="CV98" s="25">
        <v>0</v>
      </c>
      <c r="CW98" s="25">
        <v>0</v>
      </c>
      <c r="CX98" s="25">
        <v>0</v>
      </c>
      <c r="CY98" s="25">
        <v>0</v>
      </c>
      <c r="CZ98" s="25">
        <v>0</v>
      </c>
      <c r="DA98" s="25">
        <v>0</v>
      </c>
      <c r="DB98" s="25">
        <v>0</v>
      </c>
      <c r="DC98" s="25">
        <v>0</v>
      </c>
      <c r="DD98" s="25">
        <v>0</v>
      </c>
      <c r="DE98" s="25">
        <v>0</v>
      </c>
      <c r="DF98" s="25">
        <v>0</v>
      </c>
      <c r="DG98" s="25">
        <v>0</v>
      </c>
      <c r="DH98" s="25">
        <v>0</v>
      </c>
      <c r="DI98" s="25">
        <v>0</v>
      </c>
      <c r="DJ98" s="25">
        <v>1</v>
      </c>
    </row>
    <row r="99" spans="1:114" s="25" customFormat="1" x14ac:dyDescent="0.25">
      <c r="A99" s="25">
        <v>98</v>
      </c>
      <c r="B99" s="1" t="s">
        <v>235</v>
      </c>
      <c r="C99" s="26" t="s">
        <v>441</v>
      </c>
      <c r="D99" t="s">
        <v>1453</v>
      </c>
      <c r="E99" s="25">
        <v>66.781700000000001</v>
      </c>
      <c r="F99" s="25" t="s">
        <v>1539</v>
      </c>
      <c r="G99" s="25" t="s">
        <v>13</v>
      </c>
      <c r="H99" s="25" t="s">
        <v>16</v>
      </c>
      <c r="I99" s="25">
        <v>0</v>
      </c>
      <c r="J99" s="25">
        <v>0</v>
      </c>
      <c r="K99" s="25">
        <v>0</v>
      </c>
      <c r="L99" s="25">
        <v>0</v>
      </c>
      <c r="M99" s="25">
        <v>1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0</v>
      </c>
      <c r="W99" s="25">
        <v>0</v>
      </c>
      <c r="X99" s="25">
        <v>0</v>
      </c>
      <c r="Y99" s="25">
        <v>0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  <c r="AE99" s="25">
        <v>0</v>
      </c>
      <c r="AF99" s="25">
        <v>0</v>
      </c>
      <c r="AG99" s="25">
        <v>0</v>
      </c>
      <c r="AH99" s="25">
        <v>0</v>
      </c>
      <c r="AI99" s="25">
        <v>1</v>
      </c>
      <c r="AJ99" s="25">
        <v>0</v>
      </c>
      <c r="AK99" s="25">
        <v>0</v>
      </c>
      <c r="AL99" s="25">
        <v>0</v>
      </c>
      <c r="AM99" s="25">
        <v>0</v>
      </c>
      <c r="AN99" s="25">
        <v>0</v>
      </c>
      <c r="AO99" s="25">
        <v>0</v>
      </c>
      <c r="AP99" s="25">
        <v>0</v>
      </c>
      <c r="AQ99" s="25">
        <v>0</v>
      </c>
      <c r="AR99" s="25">
        <v>0</v>
      </c>
      <c r="AS99" s="25">
        <v>0</v>
      </c>
      <c r="AT99" s="25">
        <v>0</v>
      </c>
      <c r="AU99" s="25">
        <v>0</v>
      </c>
      <c r="AV99" s="25">
        <v>0</v>
      </c>
      <c r="AW99" s="25">
        <v>0</v>
      </c>
      <c r="AX99" s="25">
        <v>0</v>
      </c>
      <c r="AY99" s="25">
        <v>0</v>
      </c>
      <c r="AZ99" s="25">
        <v>0</v>
      </c>
      <c r="BA99" s="25">
        <v>0</v>
      </c>
      <c r="BB99" s="25">
        <v>0</v>
      </c>
      <c r="BC99" s="25">
        <v>0</v>
      </c>
      <c r="BD99" s="25">
        <v>0</v>
      </c>
      <c r="BE99" s="25">
        <v>0</v>
      </c>
      <c r="BF99" s="25">
        <v>0</v>
      </c>
      <c r="BG99" s="25">
        <v>0</v>
      </c>
      <c r="BH99" s="25">
        <v>0</v>
      </c>
      <c r="BI99" s="25">
        <v>0</v>
      </c>
      <c r="BJ99" s="25">
        <v>0</v>
      </c>
      <c r="BK99" s="25">
        <v>0</v>
      </c>
      <c r="BL99" s="25">
        <v>0</v>
      </c>
      <c r="BM99" s="25">
        <v>0</v>
      </c>
      <c r="BN99" s="25">
        <v>0</v>
      </c>
      <c r="BO99" s="25">
        <v>1</v>
      </c>
      <c r="BP99" s="25">
        <v>0</v>
      </c>
      <c r="BQ99" s="25">
        <v>0</v>
      </c>
      <c r="BR99" s="25">
        <v>1</v>
      </c>
      <c r="BS99" s="25">
        <v>0</v>
      </c>
      <c r="BT99" s="25">
        <v>0</v>
      </c>
      <c r="BU99" s="25">
        <v>0</v>
      </c>
      <c r="BV99" s="25">
        <v>0</v>
      </c>
      <c r="BW99" s="25">
        <v>0</v>
      </c>
      <c r="BX99" s="25">
        <v>0</v>
      </c>
      <c r="BY99" s="25">
        <v>0</v>
      </c>
      <c r="BZ99" s="25">
        <v>0</v>
      </c>
      <c r="CA99" s="25">
        <v>0</v>
      </c>
      <c r="CB99" s="25">
        <v>0</v>
      </c>
      <c r="CC99" s="25">
        <v>0</v>
      </c>
      <c r="CD99" s="25">
        <v>1</v>
      </c>
      <c r="CE99" s="25">
        <v>0</v>
      </c>
      <c r="CF99" s="25">
        <v>0</v>
      </c>
      <c r="CG99" s="25">
        <v>0</v>
      </c>
      <c r="CH99" s="25">
        <v>0</v>
      </c>
      <c r="CI99" s="25">
        <v>0</v>
      </c>
      <c r="CJ99" s="25">
        <v>0</v>
      </c>
      <c r="CK99" s="25">
        <v>1</v>
      </c>
      <c r="CL99" s="25">
        <v>0</v>
      </c>
      <c r="CM99" s="25">
        <v>0</v>
      </c>
      <c r="CN99" s="25">
        <v>0</v>
      </c>
      <c r="CO99" s="25">
        <v>0</v>
      </c>
      <c r="CP99" s="25">
        <v>0</v>
      </c>
      <c r="CQ99" s="25">
        <v>0</v>
      </c>
      <c r="CR99" s="25">
        <v>0</v>
      </c>
      <c r="CS99" s="25">
        <v>1</v>
      </c>
      <c r="CT99" s="25">
        <v>0</v>
      </c>
      <c r="CU99" s="25">
        <v>1</v>
      </c>
      <c r="CV99" s="25">
        <v>0</v>
      </c>
      <c r="CW99" s="25">
        <v>0</v>
      </c>
      <c r="CX99" s="25">
        <v>0</v>
      </c>
      <c r="CY99" s="25">
        <v>0</v>
      </c>
      <c r="CZ99" s="25">
        <v>0</v>
      </c>
      <c r="DA99" s="25">
        <v>0</v>
      </c>
      <c r="DB99" s="25">
        <v>0</v>
      </c>
      <c r="DC99" s="25">
        <v>0</v>
      </c>
      <c r="DD99" s="25">
        <v>0</v>
      </c>
      <c r="DE99" s="25">
        <v>0</v>
      </c>
      <c r="DF99" s="25">
        <v>1</v>
      </c>
      <c r="DG99" s="25">
        <v>0</v>
      </c>
      <c r="DH99" s="25">
        <v>0</v>
      </c>
      <c r="DI99" s="25">
        <v>0</v>
      </c>
      <c r="DJ99" s="25">
        <v>0</v>
      </c>
    </row>
    <row r="100" spans="1:114" s="25" customFormat="1" x14ac:dyDescent="0.25">
      <c r="A100" s="25">
        <v>99</v>
      </c>
      <c r="B100" s="21" t="s">
        <v>333</v>
      </c>
      <c r="C100" s="21" t="s">
        <v>334</v>
      </c>
      <c r="D100" t="s">
        <v>1798</v>
      </c>
      <c r="E100" s="19">
        <v>8.1369900000000008</v>
      </c>
      <c r="F100" s="19" t="s">
        <v>1537</v>
      </c>
      <c r="G100" s="19" t="s">
        <v>13</v>
      </c>
      <c r="H100" s="19" t="s">
        <v>17</v>
      </c>
      <c r="I100" s="25">
        <v>0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25">
        <v>0</v>
      </c>
      <c r="AB100" s="25">
        <v>0</v>
      </c>
      <c r="AC100" s="25">
        <v>0</v>
      </c>
      <c r="AD100" s="25">
        <v>0</v>
      </c>
      <c r="AE100" s="25">
        <v>0</v>
      </c>
      <c r="AF100" s="25">
        <v>0</v>
      </c>
      <c r="AG100" s="25">
        <v>0</v>
      </c>
      <c r="AH100" s="25">
        <v>0</v>
      </c>
      <c r="AI100" s="25">
        <v>0</v>
      </c>
      <c r="AJ100" s="25">
        <v>0</v>
      </c>
      <c r="AK100" s="25">
        <v>0</v>
      </c>
      <c r="AL100" s="25">
        <v>0</v>
      </c>
      <c r="AM100" s="25">
        <v>0</v>
      </c>
      <c r="AN100" s="25">
        <v>0</v>
      </c>
      <c r="AO100" s="25">
        <v>0</v>
      </c>
      <c r="AP100" s="25">
        <v>0</v>
      </c>
      <c r="AQ100" s="25">
        <v>0</v>
      </c>
      <c r="AR100" s="25">
        <v>0</v>
      </c>
      <c r="AS100" s="25">
        <v>0</v>
      </c>
      <c r="AT100" s="25">
        <v>0</v>
      </c>
      <c r="AU100" s="25">
        <v>0</v>
      </c>
      <c r="AV100" s="25">
        <v>0</v>
      </c>
      <c r="AW100" s="25">
        <v>0</v>
      </c>
      <c r="AX100" s="25">
        <v>0</v>
      </c>
      <c r="AY100" s="25">
        <v>0</v>
      </c>
      <c r="AZ100" s="25">
        <v>0</v>
      </c>
      <c r="BA100" s="25">
        <v>0</v>
      </c>
      <c r="BB100" s="25">
        <v>0</v>
      </c>
      <c r="BC100" s="25">
        <v>0</v>
      </c>
      <c r="BD100" s="25">
        <v>0</v>
      </c>
      <c r="BE100" s="25">
        <v>0</v>
      </c>
      <c r="BF100" s="25">
        <v>0</v>
      </c>
      <c r="BG100" s="25">
        <v>0</v>
      </c>
      <c r="BH100" s="25">
        <v>0</v>
      </c>
      <c r="BI100" s="25">
        <v>0</v>
      </c>
      <c r="BJ100" s="25">
        <v>0</v>
      </c>
      <c r="BK100" s="25">
        <v>0</v>
      </c>
      <c r="BL100" s="25">
        <v>0</v>
      </c>
      <c r="BM100" s="25">
        <v>0</v>
      </c>
      <c r="BN100" s="25">
        <v>0</v>
      </c>
      <c r="BO100" s="25">
        <v>0</v>
      </c>
      <c r="BP100" s="25">
        <v>0</v>
      </c>
      <c r="BQ100" s="25">
        <v>0</v>
      </c>
      <c r="BR100" s="25">
        <v>0</v>
      </c>
      <c r="BS100" s="25">
        <v>0</v>
      </c>
      <c r="BT100" s="25">
        <v>0</v>
      </c>
      <c r="BU100" s="25">
        <v>0</v>
      </c>
      <c r="BV100" s="25">
        <v>0</v>
      </c>
      <c r="BW100" s="25">
        <v>0</v>
      </c>
      <c r="BX100" s="25">
        <v>0</v>
      </c>
      <c r="BY100" s="25">
        <v>0</v>
      </c>
      <c r="BZ100" s="25">
        <v>0</v>
      </c>
      <c r="CA100" s="25">
        <v>0</v>
      </c>
      <c r="CB100" s="25">
        <v>0</v>
      </c>
      <c r="CC100" s="25">
        <v>0</v>
      </c>
      <c r="CD100" s="25">
        <v>1</v>
      </c>
      <c r="CE100" s="25">
        <v>0</v>
      </c>
      <c r="CF100" s="25">
        <v>0</v>
      </c>
      <c r="CG100" s="25">
        <v>0</v>
      </c>
      <c r="CH100" s="25">
        <v>0</v>
      </c>
      <c r="CI100" s="25">
        <v>0</v>
      </c>
      <c r="CJ100" s="25">
        <v>0</v>
      </c>
      <c r="CK100" s="25">
        <v>0</v>
      </c>
      <c r="CL100" s="25">
        <v>0</v>
      </c>
      <c r="CM100" s="25">
        <v>0</v>
      </c>
      <c r="CN100" s="25">
        <v>0</v>
      </c>
      <c r="CO100" s="25">
        <v>0</v>
      </c>
      <c r="CP100" s="25">
        <v>0</v>
      </c>
      <c r="CQ100" s="25">
        <v>0</v>
      </c>
      <c r="CR100" s="25">
        <v>0</v>
      </c>
      <c r="CS100" s="25">
        <v>0</v>
      </c>
      <c r="CT100" s="25">
        <v>0</v>
      </c>
      <c r="CU100" s="25">
        <v>0</v>
      </c>
      <c r="CV100" s="25">
        <v>0</v>
      </c>
      <c r="CW100" s="25">
        <v>0</v>
      </c>
      <c r="CX100" s="25">
        <v>0</v>
      </c>
      <c r="CY100" s="25">
        <v>0</v>
      </c>
      <c r="CZ100" s="25">
        <v>0</v>
      </c>
      <c r="DA100" s="25">
        <v>0</v>
      </c>
      <c r="DB100" s="25">
        <v>0</v>
      </c>
      <c r="DC100" s="25">
        <v>0</v>
      </c>
      <c r="DD100" s="25">
        <v>0</v>
      </c>
      <c r="DE100" s="25">
        <v>0</v>
      </c>
      <c r="DF100" s="25">
        <v>0</v>
      </c>
      <c r="DG100" s="25">
        <v>0</v>
      </c>
      <c r="DH100" s="25">
        <v>0</v>
      </c>
      <c r="DI100" s="25">
        <v>0</v>
      </c>
      <c r="DJ100" s="25">
        <v>0</v>
      </c>
    </row>
    <row r="101" spans="1:114" s="25" customFormat="1" x14ac:dyDescent="0.25">
      <c r="A101" s="25">
        <v>100</v>
      </c>
      <c r="B101" t="s">
        <v>633</v>
      </c>
      <c r="C101" s="26" t="s">
        <v>630</v>
      </c>
      <c r="D101" t="s">
        <v>1453</v>
      </c>
      <c r="E101" s="25">
        <v>3.2624900000000001</v>
      </c>
      <c r="F101" s="25" t="s">
        <v>1538</v>
      </c>
      <c r="G101" s="25" t="s">
        <v>14</v>
      </c>
      <c r="H101" s="25" t="s">
        <v>17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>
        <v>0</v>
      </c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0</v>
      </c>
      <c r="AV101" s="25">
        <v>0</v>
      </c>
      <c r="AW101" s="25">
        <v>0</v>
      </c>
      <c r="AX101" s="25">
        <v>0</v>
      </c>
      <c r="AY101" s="25">
        <v>0</v>
      </c>
      <c r="AZ101" s="25">
        <v>0</v>
      </c>
      <c r="BA101" s="25">
        <v>0</v>
      </c>
      <c r="BB101" s="25">
        <v>0</v>
      </c>
      <c r="BC101" s="25">
        <v>0</v>
      </c>
      <c r="BD101" s="25">
        <v>0</v>
      </c>
      <c r="BE101" s="25">
        <v>0</v>
      </c>
      <c r="BF101" s="25">
        <v>0</v>
      </c>
      <c r="BG101" s="25">
        <v>0</v>
      </c>
      <c r="BH101" s="25">
        <v>0</v>
      </c>
      <c r="BI101" s="25">
        <v>0</v>
      </c>
      <c r="BJ101" s="25">
        <v>0</v>
      </c>
      <c r="BK101" s="25">
        <v>0</v>
      </c>
      <c r="BL101" s="25">
        <v>0</v>
      </c>
      <c r="BM101" s="25">
        <v>0</v>
      </c>
      <c r="BN101" s="25">
        <v>0</v>
      </c>
      <c r="BO101" s="25">
        <v>0</v>
      </c>
      <c r="BP101" s="25">
        <v>0</v>
      </c>
      <c r="BQ101" s="25">
        <v>0</v>
      </c>
      <c r="BR101" s="25">
        <v>0</v>
      </c>
      <c r="BS101" s="25">
        <v>0</v>
      </c>
      <c r="BT101" s="25">
        <v>0</v>
      </c>
      <c r="BU101" s="25">
        <v>0</v>
      </c>
      <c r="BV101" s="25">
        <v>0</v>
      </c>
      <c r="BW101" s="25">
        <v>0</v>
      </c>
      <c r="BX101" s="25">
        <v>0</v>
      </c>
      <c r="BY101" s="25">
        <v>0</v>
      </c>
      <c r="BZ101" s="25">
        <v>0</v>
      </c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0</v>
      </c>
      <c r="CH101" s="25">
        <v>0</v>
      </c>
      <c r="CI101" s="25">
        <v>0</v>
      </c>
      <c r="CJ101" s="25">
        <v>0</v>
      </c>
      <c r="CK101" s="25">
        <v>0</v>
      </c>
      <c r="CL101" s="25">
        <v>0</v>
      </c>
      <c r="CM101" s="25">
        <v>0</v>
      </c>
      <c r="CN101" s="25">
        <v>0</v>
      </c>
      <c r="CO101" s="25">
        <v>0</v>
      </c>
      <c r="CP101" s="25">
        <v>0</v>
      </c>
      <c r="CQ101" s="25">
        <v>1</v>
      </c>
      <c r="CR101" s="25">
        <v>0</v>
      </c>
      <c r="CS101" s="25">
        <v>0</v>
      </c>
      <c r="CT101" s="25">
        <v>0</v>
      </c>
      <c r="CU101" s="25">
        <v>1</v>
      </c>
      <c r="CV101" s="25">
        <v>0</v>
      </c>
      <c r="CW101" s="25">
        <v>0</v>
      </c>
      <c r="CX101" s="25">
        <v>0</v>
      </c>
      <c r="CY101" s="25">
        <v>0</v>
      </c>
      <c r="CZ101" s="25">
        <v>0</v>
      </c>
      <c r="DA101" s="25">
        <v>0</v>
      </c>
      <c r="DB101" s="25">
        <v>0</v>
      </c>
      <c r="DC101" s="25">
        <v>0</v>
      </c>
      <c r="DD101" s="25">
        <v>0</v>
      </c>
      <c r="DE101" s="25">
        <v>0</v>
      </c>
      <c r="DF101" s="25">
        <v>0</v>
      </c>
      <c r="DG101" s="25">
        <v>0</v>
      </c>
      <c r="DH101" s="25">
        <v>0</v>
      </c>
      <c r="DI101" s="25">
        <v>0</v>
      </c>
      <c r="DJ101" s="25">
        <v>0</v>
      </c>
    </row>
    <row r="102" spans="1:114" s="25" customFormat="1" x14ac:dyDescent="0.25">
      <c r="A102" s="25">
        <v>101</v>
      </c>
      <c r="B102" t="s">
        <v>633</v>
      </c>
      <c r="C102" s="26" t="s">
        <v>694</v>
      </c>
      <c r="D102" t="s">
        <v>1453</v>
      </c>
      <c r="E102" s="25">
        <v>3.2624900000000001</v>
      </c>
      <c r="F102" s="25" t="s">
        <v>1538</v>
      </c>
      <c r="G102" s="25" t="s">
        <v>14</v>
      </c>
      <c r="H102" s="25" t="s">
        <v>17</v>
      </c>
      <c r="I102" s="25">
        <v>0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0</v>
      </c>
      <c r="W102" s="25">
        <v>0</v>
      </c>
      <c r="X102" s="25">
        <v>0</v>
      </c>
      <c r="Y102" s="25">
        <v>0</v>
      </c>
      <c r="Z102" s="25">
        <v>0</v>
      </c>
      <c r="AA102" s="25">
        <v>1</v>
      </c>
      <c r="AB102" s="25">
        <v>0</v>
      </c>
      <c r="AC102" s="25">
        <v>0</v>
      </c>
      <c r="AD102" s="25">
        <v>0</v>
      </c>
      <c r="AE102" s="25">
        <v>0</v>
      </c>
      <c r="AF102" s="25">
        <v>0</v>
      </c>
      <c r="AG102" s="25">
        <v>0</v>
      </c>
      <c r="AH102" s="25">
        <v>0</v>
      </c>
      <c r="AI102" s="25">
        <v>0</v>
      </c>
      <c r="AJ102" s="25">
        <v>0</v>
      </c>
      <c r="AK102" s="25">
        <v>0</v>
      </c>
      <c r="AL102" s="25">
        <v>0</v>
      </c>
      <c r="AM102" s="25">
        <v>0</v>
      </c>
      <c r="AN102" s="25">
        <v>0</v>
      </c>
      <c r="AO102" s="25">
        <v>0</v>
      </c>
      <c r="AP102" s="25">
        <v>0</v>
      </c>
      <c r="AQ102" s="25">
        <v>0</v>
      </c>
      <c r="AR102" s="25">
        <v>0</v>
      </c>
      <c r="AS102" s="25">
        <v>0</v>
      </c>
      <c r="AT102" s="25">
        <v>0</v>
      </c>
      <c r="AU102" s="25">
        <v>0</v>
      </c>
      <c r="AV102" s="25">
        <v>0</v>
      </c>
      <c r="AW102" s="25">
        <v>0</v>
      </c>
      <c r="AX102" s="25">
        <v>0</v>
      </c>
      <c r="AY102" s="25">
        <v>0</v>
      </c>
      <c r="AZ102" s="25">
        <v>0</v>
      </c>
      <c r="BA102" s="25">
        <v>0</v>
      </c>
      <c r="BB102" s="25">
        <v>0</v>
      </c>
      <c r="BC102" s="25">
        <v>0</v>
      </c>
      <c r="BD102" s="25">
        <v>0</v>
      </c>
      <c r="BE102" s="25">
        <v>0</v>
      </c>
      <c r="BF102" s="25">
        <v>0</v>
      </c>
      <c r="BG102" s="25">
        <v>0</v>
      </c>
      <c r="BH102" s="25">
        <v>0</v>
      </c>
      <c r="BI102" s="25">
        <v>0</v>
      </c>
      <c r="BJ102" s="25">
        <v>0</v>
      </c>
      <c r="BK102" s="25">
        <v>0</v>
      </c>
      <c r="BL102" s="25">
        <v>0</v>
      </c>
      <c r="BM102" s="25">
        <v>0</v>
      </c>
      <c r="BN102" s="25">
        <v>0</v>
      </c>
      <c r="BO102" s="25">
        <v>0</v>
      </c>
      <c r="BP102" s="25">
        <v>0</v>
      </c>
      <c r="BQ102" s="25">
        <v>0</v>
      </c>
      <c r="BR102" s="25">
        <v>0</v>
      </c>
      <c r="BS102" s="25">
        <v>0</v>
      </c>
      <c r="BT102" s="25">
        <v>0</v>
      </c>
      <c r="BU102" s="25">
        <v>0</v>
      </c>
      <c r="BV102" s="25">
        <v>0</v>
      </c>
      <c r="BW102" s="25">
        <v>0</v>
      </c>
      <c r="BX102" s="25">
        <v>0</v>
      </c>
      <c r="BY102" s="25">
        <v>0</v>
      </c>
      <c r="BZ102" s="25">
        <v>0</v>
      </c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0</v>
      </c>
      <c r="CH102" s="25">
        <v>0</v>
      </c>
      <c r="CI102" s="25">
        <v>0</v>
      </c>
      <c r="CJ102" s="25">
        <v>0</v>
      </c>
      <c r="CK102" s="25">
        <v>0</v>
      </c>
      <c r="CL102" s="25">
        <v>0</v>
      </c>
      <c r="CM102" s="25">
        <v>0</v>
      </c>
      <c r="CN102" s="25">
        <v>0</v>
      </c>
      <c r="CO102" s="25">
        <v>0</v>
      </c>
      <c r="CP102" s="25">
        <v>0</v>
      </c>
      <c r="CQ102" s="25">
        <v>1</v>
      </c>
      <c r="CR102" s="25">
        <v>0</v>
      </c>
      <c r="CS102" s="25">
        <v>0</v>
      </c>
      <c r="CT102" s="25">
        <v>0</v>
      </c>
      <c r="CU102" s="25">
        <v>1</v>
      </c>
      <c r="CV102" s="25">
        <v>0</v>
      </c>
      <c r="CW102" s="25">
        <v>0</v>
      </c>
      <c r="CX102" s="25">
        <v>1</v>
      </c>
      <c r="CY102" s="25">
        <v>0</v>
      </c>
      <c r="CZ102" s="25">
        <v>0</v>
      </c>
      <c r="DA102" s="25">
        <v>0</v>
      </c>
      <c r="DB102" s="25">
        <v>0</v>
      </c>
      <c r="DC102" s="25">
        <v>0</v>
      </c>
      <c r="DD102" s="25">
        <v>0</v>
      </c>
      <c r="DE102" s="25">
        <v>0</v>
      </c>
      <c r="DF102" s="25">
        <v>0</v>
      </c>
      <c r="DG102" s="25">
        <v>0</v>
      </c>
      <c r="DH102" s="25">
        <v>0</v>
      </c>
      <c r="DI102" s="25">
        <v>0</v>
      </c>
      <c r="DJ102" s="25">
        <v>0</v>
      </c>
    </row>
    <row r="103" spans="1:114" s="25" customFormat="1" x14ac:dyDescent="0.25">
      <c r="A103" s="25">
        <v>102</v>
      </c>
      <c r="B103" s="1" t="s">
        <v>205</v>
      </c>
      <c r="C103" s="26" t="s">
        <v>204</v>
      </c>
      <c r="D103" t="s">
        <v>1802</v>
      </c>
      <c r="E103" s="25">
        <v>9.7389899999999994</v>
      </c>
      <c r="F103" s="25" t="s">
        <v>1538</v>
      </c>
      <c r="G103" s="25" t="s">
        <v>13</v>
      </c>
      <c r="H103" s="25" t="s">
        <v>16</v>
      </c>
      <c r="I103" s="25">
        <v>0</v>
      </c>
      <c r="J103" s="25">
        <v>0</v>
      </c>
      <c r="K103" s="25">
        <v>1</v>
      </c>
      <c r="L103" s="25">
        <v>0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  <c r="V103" s="25">
        <v>0</v>
      </c>
      <c r="W103" s="25">
        <v>0</v>
      </c>
      <c r="X103" s="25">
        <v>0</v>
      </c>
      <c r="Y103" s="25">
        <v>0</v>
      </c>
      <c r="Z103" s="25">
        <v>0</v>
      </c>
      <c r="AA103" s="25">
        <v>0</v>
      </c>
      <c r="AB103" s="25">
        <v>0</v>
      </c>
      <c r="AC103" s="25">
        <v>0</v>
      </c>
      <c r="AD103" s="25">
        <v>0</v>
      </c>
      <c r="AE103" s="25">
        <v>0</v>
      </c>
      <c r="AF103" s="25">
        <v>0</v>
      </c>
      <c r="AG103" s="25">
        <v>0</v>
      </c>
      <c r="AH103" s="25">
        <v>0</v>
      </c>
      <c r="AI103" s="25">
        <v>0</v>
      </c>
      <c r="AJ103" s="25">
        <v>0</v>
      </c>
      <c r="AK103" s="25">
        <v>0</v>
      </c>
      <c r="AL103" s="25">
        <v>0</v>
      </c>
      <c r="AM103" s="25">
        <v>0</v>
      </c>
      <c r="AN103" s="25">
        <v>0</v>
      </c>
      <c r="AO103" s="25">
        <v>0</v>
      </c>
      <c r="AP103" s="25">
        <v>0</v>
      </c>
      <c r="AQ103" s="25">
        <v>0</v>
      </c>
      <c r="AR103" s="25">
        <v>0</v>
      </c>
      <c r="AS103" s="25">
        <v>0</v>
      </c>
      <c r="AT103" s="25">
        <v>0</v>
      </c>
      <c r="AU103" s="25">
        <v>0</v>
      </c>
      <c r="AV103" s="25">
        <v>0</v>
      </c>
      <c r="AW103" s="25">
        <v>0</v>
      </c>
      <c r="AX103" s="25">
        <v>0</v>
      </c>
      <c r="AY103" s="25">
        <v>0</v>
      </c>
      <c r="AZ103" s="25">
        <v>0</v>
      </c>
      <c r="BA103" s="25">
        <v>0</v>
      </c>
      <c r="BB103" s="25">
        <v>0</v>
      </c>
      <c r="BC103" s="25">
        <v>0</v>
      </c>
      <c r="BD103" s="25">
        <v>1</v>
      </c>
      <c r="BE103" s="25">
        <v>0</v>
      </c>
      <c r="BF103" s="25">
        <v>0</v>
      </c>
      <c r="BG103" s="25">
        <v>0</v>
      </c>
      <c r="BH103" s="25">
        <v>0</v>
      </c>
      <c r="BI103" s="25">
        <v>0</v>
      </c>
      <c r="BJ103" s="25">
        <v>0</v>
      </c>
      <c r="BK103" s="25">
        <v>0</v>
      </c>
      <c r="BL103" s="25">
        <v>1</v>
      </c>
      <c r="BM103" s="25">
        <v>0</v>
      </c>
      <c r="BN103" s="25">
        <v>0</v>
      </c>
      <c r="BO103" s="25">
        <v>0</v>
      </c>
      <c r="BP103" s="25">
        <v>0</v>
      </c>
      <c r="BQ103" s="25">
        <v>0</v>
      </c>
      <c r="BR103" s="25">
        <v>0</v>
      </c>
      <c r="BS103" s="25">
        <v>0</v>
      </c>
      <c r="BT103" s="25">
        <v>0</v>
      </c>
      <c r="BU103" s="25">
        <v>0</v>
      </c>
      <c r="BV103" s="25">
        <v>0</v>
      </c>
      <c r="BW103" s="25">
        <v>0</v>
      </c>
      <c r="BX103" s="25">
        <v>0</v>
      </c>
      <c r="BY103" s="25">
        <v>0</v>
      </c>
      <c r="BZ103" s="25">
        <v>0</v>
      </c>
      <c r="CA103" s="25">
        <v>0</v>
      </c>
      <c r="CB103" s="25">
        <v>1</v>
      </c>
      <c r="CC103" s="25">
        <v>0</v>
      </c>
      <c r="CD103" s="25">
        <v>0</v>
      </c>
      <c r="CE103" s="25">
        <v>0</v>
      </c>
      <c r="CF103" s="25">
        <v>0</v>
      </c>
      <c r="CG103" s="25">
        <v>0</v>
      </c>
      <c r="CH103" s="25">
        <v>1</v>
      </c>
      <c r="CI103" s="25">
        <v>0</v>
      </c>
      <c r="CJ103" s="25">
        <v>0</v>
      </c>
      <c r="CK103" s="25">
        <v>0</v>
      </c>
      <c r="CL103" s="25">
        <v>0</v>
      </c>
      <c r="CM103" s="25">
        <v>0</v>
      </c>
      <c r="CN103" s="25">
        <v>0</v>
      </c>
      <c r="CO103" s="25">
        <v>0</v>
      </c>
      <c r="CP103" s="25">
        <v>0</v>
      </c>
      <c r="CQ103" s="25">
        <v>0</v>
      </c>
      <c r="CR103" s="25">
        <v>0</v>
      </c>
      <c r="CS103" s="25">
        <v>0</v>
      </c>
      <c r="CT103" s="25">
        <v>0</v>
      </c>
      <c r="CU103" s="25">
        <v>0</v>
      </c>
      <c r="CV103" s="25">
        <v>0</v>
      </c>
      <c r="CW103" s="25">
        <v>0</v>
      </c>
      <c r="CX103" s="25">
        <v>0</v>
      </c>
      <c r="CY103" s="25">
        <v>0</v>
      </c>
      <c r="CZ103" s="25">
        <v>0</v>
      </c>
      <c r="DA103" s="25">
        <v>0</v>
      </c>
      <c r="DB103" s="25">
        <v>0</v>
      </c>
      <c r="DC103" s="25">
        <v>0</v>
      </c>
      <c r="DD103" s="25">
        <v>0</v>
      </c>
      <c r="DE103" s="25">
        <v>0</v>
      </c>
      <c r="DF103" s="25">
        <v>0</v>
      </c>
      <c r="DG103" s="25">
        <v>0</v>
      </c>
      <c r="DH103" s="25">
        <v>0</v>
      </c>
      <c r="DI103" s="25">
        <v>0</v>
      </c>
      <c r="DJ103" s="25">
        <v>0</v>
      </c>
    </row>
    <row r="104" spans="1:114" s="25" customFormat="1" x14ac:dyDescent="0.25">
      <c r="A104" s="25">
        <v>103</v>
      </c>
      <c r="B104" t="s">
        <v>927</v>
      </c>
      <c r="C104" s="26" t="s">
        <v>923</v>
      </c>
      <c r="D104" t="s">
        <v>1798</v>
      </c>
      <c r="E104" s="26">
        <v>54.136499999999998</v>
      </c>
      <c r="F104" s="25" t="s">
        <v>1539</v>
      </c>
      <c r="G104" s="25" t="s">
        <v>15</v>
      </c>
      <c r="H104" s="25" t="s">
        <v>17</v>
      </c>
      <c r="I104" s="25">
        <v>0</v>
      </c>
      <c r="J104" s="25">
        <v>0</v>
      </c>
      <c r="K104" s="25">
        <v>1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1</v>
      </c>
      <c r="AA104" s="25">
        <v>1</v>
      </c>
      <c r="AB104" s="25">
        <v>0</v>
      </c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1</v>
      </c>
      <c r="AI104" s="25">
        <v>0</v>
      </c>
      <c r="AJ104" s="25">
        <v>1</v>
      </c>
      <c r="AK104" s="25">
        <v>0</v>
      </c>
      <c r="AL104" s="25">
        <v>0</v>
      </c>
      <c r="AM104" s="25">
        <v>0</v>
      </c>
      <c r="AN104" s="25">
        <v>1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1</v>
      </c>
      <c r="AU104" s="25">
        <v>0</v>
      </c>
      <c r="AV104" s="25">
        <v>0</v>
      </c>
      <c r="AW104" s="25">
        <v>0</v>
      </c>
      <c r="AX104" s="25">
        <v>0</v>
      </c>
      <c r="AY104" s="25">
        <v>0</v>
      </c>
      <c r="AZ104" s="25">
        <v>0</v>
      </c>
      <c r="BA104" s="25">
        <v>0</v>
      </c>
      <c r="BB104" s="25">
        <v>1</v>
      </c>
      <c r="BC104" s="25">
        <v>0</v>
      </c>
      <c r="BD104" s="25">
        <v>0</v>
      </c>
      <c r="BE104" s="25">
        <v>0</v>
      </c>
      <c r="BF104" s="25">
        <v>0</v>
      </c>
      <c r="BG104" s="25">
        <v>0</v>
      </c>
      <c r="BH104" s="25">
        <v>0</v>
      </c>
      <c r="BI104" s="25">
        <v>0</v>
      </c>
      <c r="BJ104" s="25">
        <v>1</v>
      </c>
      <c r="BK104" s="25">
        <v>0</v>
      </c>
      <c r="BL104" s="25">
        <v>0</v>
      </c>
      <c r="BM104" s="25">
        <v>0</v>
      </c>
      <c r="BN104" s="25">
        <v>0</v>
      </c>
      <c r="BO104" s="25">
        <v>0</v>
      </c>
      <c r="BP104" s="25">
        <v>0</v>
      </c>
      <c r="BQ104" s="25">
        <v>0</v>
      </c>
      <c r="BR104" s="25">
        <v>0</v>
      </c>
      <c r="BS104" s="25">
        <v>0</v>
      </c>
      <c r="BT104" s="25">
        <v>0</v>
      </c>
      <c r="BU104" s="25">
        <v>0</v>
      </c>
      <c r="BV104" s="25">
        <v>0</v>
      </c>
      <c r="BW104" s="25">
        <v>0</v>
      </c>
      <c r="BX104" s="25">
        <v>0</v>
      </c>
      <c r="BY104" s="25">
        <v>0</v>
      </c>
      <c r="BZ104" s="25">
        <v>0</v>
      </c>
      <c r="CA104" s="25">
        <v>0</v>
      </c>
      <c r="CB104" s="25">
        <v>0</v>
      </c>
      <c r="CC104" s="25">
        <v>0</v>
      </c>
      <c r="CD104" s="25">
        <v>0</v>
      </c>
      <c r="CE104" s="25">
        <v>0</v>
      </c>
      <c r="CF104" s="25">
        <v>0</v>
      </c>
      <c r="CG104" s="25">
        <v>0</v>
      </c>
      <c r="CH104" s="25">
        <v>0</v>
      </c>
      <c r="CI104" s="25">
        <v>0</v>
      </c>
      <c r="CJ104" s="25">
        <v>0</v>
      </c>
      <c r="CK104" s="25">
        <v>0</v>
      </c>
      <c r="CL104" s="25">
        <v>0</v>
      </c>
      <c r="CM104" s="25">
        <v>0</v>
      </c>
      <c r="CN104" s="25">
        <v>1</v>
      </c>
      <c r="CO104" s="25">
        <v>0</v>
      </c>
      <c r="CP104" s="25">
        <v>0</v>
      </c>
      <c r="CQ104" s="25">
        <v>0</v>
      </c>
      <c r="CR104" s="25">
        <v>0</v>
      </c>
      <c r="CS104" s="25">
        <v>0</v>
      </c>
      <c r="CT104" s="25">
        <v>0</v>
      </c>
      <c r="CU104" s="25">
        <v>0</v>
      </c>
      <c r="CV104" s="25">
        <v>0</v>
      </c>
      <c r="CW104" s="25">
        <v>0</v>
      </c>
      <c r="CX104" s="25">
        <v>0</v>
      </c>
      <c r="CY104" s="25">
        <v>0</v>
      </c>
      <c r="CZ104" s="25">
        <v>0</v>
      </c>
      <c r="DA104" s="25">
        <v>0</v>
      </c>
      <c r="DB104" s="25">
        <v>0</v>
      </c>
      <c r="DC104" s="25">
        <v>0</v>
      </c>
      <c r="DD104" s="25">
        <v>0</v>
      </c>
      <c r="DE104" s="25">
        <v>0</v>
      </c>
      <c r="DF104" s="25">
        <v>0</v>
      </c>
      <c r="DG104" s="25">
        <v>0</v>
      </c>
      <c r="DH104" s="25">
        <v>0</v>
      </c>
      <c r="DI104" s="25">
        <v>1</v>
      </c>
      <c r="DJ104" s="25">
        <v>1</v>
      </c>
    </row>
    <row r="105" spans="1:114" s="25" customFormat="1" x14ac:dyDescent="0.25">
      <c r="A105" s="25">
        <v>104</v>
      </c>
      <c r="B105" t="s">
        <v>1440</v>
      </c>
      <c r="C105" s="26" t="s">
        <v>525</v>
      </c>
      <c r="D105" t="s">
        <v>1453</v>
      </c>
      <c r="E105" s="25">
        <v>6.3351100000000002</v>
      </c>
      <c r="F105" s="25" t="s">
        <v>1536</v>
      </c>
      <c r="G105" s="25" t="s">
        <v>13</v>
      </c>
      <c r="H105" s="25" t="s">
        <v>16</v>
      </c>
      <c r="I105" s="25">
        <v>0</v>
      </c>
      <c r="J105" s="25">
        <v>0</v>
      </c>
      <c r="K105" s="25">
        <v>0</v>
      </c>
      <c r="L105" s="25">
        <v>0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0</v>
      </c>
      <c r="W105" s="25">
        <v>0</v>
      </c>
      <c r="X105" s="25">
        <v>0</v>
      </c>
      <c r="Y105" s="25">
        <v>0</v>
      </c>
      <c r="Z105" s="25">
        <v>0</v>
      </c>
      <c r="AA105" s="25">
        <v>0</v>
      </c>
      <c r="AB105" s="25">
        <v>0</v>
      </c>
      <c r="AC105" s="25">
        <v>0</v>
      </c>
      <c r="AD105" s="25">
        <v>0</v>
      </c>
      <c r="AE105" s="25">
        <v>0</v>
      </c>
      <c r="AF105" s="25">
        <v>0</v>
      </c>
      <c r="AG105" s="25">
        <v>0</v>
      </c>
      <c r="AH105" s="25">
        <v>0</v>
      </c>
      <c r="AI105" s="25">
        <v>0</v>
      </c>
      <c r="AJ105" s="25">
        <v>0</v>
      </c>
      <c r="AK105" s="25">
        <v>0</v>
      </c>
      <c r="AL105" s="25">
        <v>0</v>
      </c>
      <c r="AM105" s="25">
        <v>0</v>
      </c>
      <c r="AN105" s="25">
        <v>0</v>
      </c>
      <c r="AO105" s="25">
        <v>0</v>
      </c>
      <c r="AP105" s="25">
        <v>0</v>
      </c>
      <c r="AQ105" s="25">
        <v>0</v>
      </c>
      <c r="AR105" s="25">
        <v>0</v>
      </c>
      <c r="AS105" s="25">
        <v>0</v>
      </c>
      <c r="AT105" s="25">
        <v>0</v>
      </c>
      <c r="AU105" s="25">
        <v>0</v>
      </c>
      <c r="AV105" s="25">
        <v>0</v>
      </c>
      <c r="AW105" s="25">
        <v>0</v>
      </c>
      <c r="AX105" s="25">
        <v>0</v>
      </c>
      <c r="AY105" s="25">
        <v>0</v>
      </c>
      <c r="AZ105" s="25">
        <v>0</v>
      </c>
      <c r="BA105" s="25">
        <v>0</v>
      </c>
      <c r="BB105" s="25">
        <v>0</v>
      </c>
      <c r="BC105" s="25">
        <v>0</v>
      </c>
      <c r="BD105" s="25">
        <v>0</v>
      </c>
      <c r="BE105" s="25">
        <v>0</v>
      </c>
      <c r="BF105" s="25">
        <v>0</v>
      </c>
      <c r="BG105" s="25">
        <v>0</v>
      </c>
      <c r="BH105" s="25">
        <v>0</v>
      </c>
      <c r="BI105" s="25">
        <v>0</v>
      </c>
      <c r="BJ105" s="25">
        <v>0</v>
      </c>
      <c r="BK105" s="25">
        <v>0</v>
      </c>
      <c r="BL105" s="25">
        <v>0</v>
      </c>
      <c r="BM105" s="25">
        <v>0</v>
      </c>
      <c r="BN105" s="25">
        <v>0</v>
      </c>
      <c r="BO105" s="25">
        <v>0</v>
      </c>
      <c r="BP105" s="25">
        <v>0</v>
      </c>
      <c r="BQ105" s="25">
        <v>0</v>
      </c>
      <c r="BR105" s="25">
        <v>0</v>
      </c>
      <c r="BS105" s="25">
        <v>0</v>
      </c>
      <c r="BT105" s="25">
        <v>0</v>
      </c>
      <c r="BU105" s="25">
        <v>0</v>
      </c>
      <c r="BV105" s="25">
        <v>0</v>
      </c>
      <c r="BW105" s="25">
        <v>1</v>
      </c>
      <c r="BX105" s="25">
        <v>0</v>
      </c>
      <c r="BY105" s="25">
        <v>0</v>
      </c>
      <c r="BZ105" s="25">
        <v>0</v>
      </c>
      <c r="CA105" s="25">
        <v>0</v>
      </c>
      <c r="CB105" s="25">
        <v>0</v>
      </c>
      <c r="CC105" s="25">
        <v>0</v>
      </c>
      <c r="CD105" s="25">
        <v>0</v>
      </c>
      <c r="CE105" s="25">
        <v>0</v>
      </c>
      <c r="CF105" s="25">
        <v>0</v>
      </c>
      <c r="CG105" s="25">
        <v>1</v>
      </c>
      <c r="CH105" s="25">
        <v>0</v>
      </c>
      <c r="CI105" s="25">
        <v>0</v>
      </c>
      <c r="CJ105" s="25">
        <v>0</v>
      </c>
      <c r="CK105" s="25">
        <v>0</v>
      </c>
      <c r="CL105" s="25">
        <v>0</v>
      </c>
      <c r="CM105" s="25">
        <v>0</v>
      </c>
      <c r="CN105" s="25">
        <v>0</v>
      </c>
      <c r="CO105" s="25">
        <v>0</v>
      </c>
      <c r="CP105" s="25">
        <v>0</v>
      </c>
      <c r="CQ105" s="25">
        <v>0</v>
      </c>
      <c r="CR105" s="25">
        <v>0</v>
      </c>
      <c r="CS105" s="25">
        <v>0</v>
      </c>
      <c r="CT105" s="25">
        <v>0</v>
      </c>
      <c r="CU105" s="25">
        <v>0</v>
      </c>
      <c r="CV105" s="25">
        <v>0</v>
      </c>
      <c r="CW105" s="25">
        <v>0</v>
      </c>
      <c r="CX105" s="25">
        <v>0</v>
      </c>
      <c r="CY105" s="25">
        <v>0</v>
      </c>
      <c r="CZ105" s="25">
        <v>0</v>
      </c>
      <c r="DA105" s="25">
        <v>0</v>
      </c>
      <c r="DB105" s="25">
        <v>0</v>
      </c>
      <c r="DC105" s="25">
        <v>0</v>
      </c>
      <c r="DD105" s="25">
        <v>0</v>
      </c>
      <c r="DE105" s="25">
        <v>0</v>
      </c>
      <c r="DF105" s="25">
        <v>0</v>
      </c>
      <c r="DG105" s="25">
        <v>0</v>
      </c>
      <c r="DH105" s="25">
        <v>0</v>
      </c>
      <c r="DI105" s="25">
        <v>0</v>
      </c>
      <c r="DJ105" s="25">
        <v>0</v>
      </c>
    </row>
    <row r="106" spans="1:114" s="25" customFormat="1" x14ac:dyDescent="0.25">
      <c r="A106" s="25">
        <v>105</v>
      </c>
      <c r="B106" t="s">
        <v>1440</v>
      </c>
      <c r="C106" s="26" t="s">
        <v>525</v>
      </c>
      <c r="D106" t="s">
        <v>1453</v>
      </c>
      <c r="E106" s="25">
        <v>5.64276</v>
      </c>
      <c r="F106" s="25" t="s">
        <v>1536</v>
      </c>
      <c r="G106" s="25" t="s">
        <v>14</v>
      </c>
      <c r="H106" s="25" t="s">
        <v>17</v>
      </c>
      <c r="I106" s="25">
        <v>0</v>
      </c>
      <c r="J106" s="25">
        <v>0</v>
      </c>
      <c r="K106" s="25">
        <v>0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>
        <v>0</v>
      </c>
      <c r="T106" s="25">
        <v>0</v>
      </c>
      <c r="U106" s="25">
        <v>0</v>
      </c>
      <c r="V106" s="25">
        <v>0</v>
      </c>
      <c r="W106" s="25">
        <v>0</v>
      </c>
      <c r="X106" s="25">
        <v>0</v>
      </c>
      <c r="Y106" s="25">
        <v>0</v>
      </c>
      <c r="Z106" s="25">
        <v>0</v>
      </c>
      <c r="AA106" s="25">
        <v>1</v>
      </c>
      <c r="AB106" s="25">
        <v>0</v>
      </c>
      <c r="AC106" s="25">
        <v>0</v>
      </c>
      <c r="AD106" s="25">
        <v>0</v>
      </c>
      <c r="AE106" s="25">
        <v>0</v>
      </c>
      <c r="AF106" s="25">
        <v>0</v>
      </c>
      <c r="AG106" s="25">
        <v>0</v>
      </c>
      <c r="AH106" s="25">
        <v>1</v>
      </c>
      <c r="AI106" s="25">
        <v>0</v>
      </c>
      <c r="AJ106" s="25">
        <v>0</v>
      </c>
      <c r="AK106" s="25">
        <v>0</v>
      </c>
      <c r="AL106" s="25">
        <v>0</v>
      </c>
      <c r="AM106" s="25">
        <v>0</v>
      </c>
      <c r="AN106" s="25">
        <v>0</v>
      </c>
      <c r="AO106" s="25">
        <v>0</v>
      </c>
      <c r="AP106" s="25">
        <v>0</v>
      </c>
      <c r="AQ106" s="25">
        <v>0</v>
      </c>
      <c r="AR106" s="25">
        <v>0</v>
      </c>
      <c r="AS106" s="25">
        <v>0</v>
      </c>
      <c r="AT106" s="25">
        <v>0</v>
      </c>
      <c r="AU106" s="25">
        <v>0</v>
      </c>
      <c r="AV106" s="25">
        <v>0</v>
      </c>
      <c r="AW106" s="25">
        <v>0</v>
      </c>
      <c r="AX106" s="25">
        <v>0</v>
      </c>
      <c r="AY106" s="25">
        <v>0</v>
      </c>
      <c r="AZ106" s="25">
        <v>0</v>
      </c>
      <c r="BA106" s="25">
        <v>0</v>
      </c>
      <c r="BB106" s="25">
        <v>0</v>
      </c>
      <c r="BC106" s="25">
        <v>0</v>
      </c>
      <c r="BD106" s="25">
        <v>0</v>
      </c>
      <c r="BE106" s="25">
        <v>0</v>
      </c>
      <c r="BF106" s="25">
        <v>0</v>
      </c>
      <c r="BG106" s="25">
        <v>0</v>
      </c>
      <c r="BH106" s="25">
        <v>0</v>
      </c>
      <c r="BI106" s="25">
        <v>0</v>
      </c>
      <c r="BJ106" s="25">
        <v>0</v>
      </c>
      <c r="BK106" s="25">
        <v>0</v>
      </c>
      <c r="BL106" s="25">
        <v>0</v>
      </c>
      <c r="BM106" s="25">
        <v>0</v>
      </c>
      <c r="BN106" s="25">
        <v>0</v>
      </c>
      <c r="BO106" s="25">
        <v>0</v>
      </c>
      <c r="BP106" s="25">
        <v>1</v>
      </c>
      <c r="BQ106" s="25">
        <v>0</v>
      </c>
      <c r="BR106" s="25">
        <v>0</v>
      </c>
      <c r="BS106" s="25">
        <v>0</v>
      </c>
      <c r="BT106" s="25">
        <v>0</v>
      </c>
      <c r="BU106" s="25">
        <v>0</v>
      </c>
      <c r="BV106" s="25">
        <v>0</v>
      </c>
      <c r="BW106" s="25">
        <v>1</v>
      </c>
      <c r="BX106" s="25">
        <v>0</v>
      </c>
      <c r="BY106" s="25">
        <v>0</v>
      </c>
      <c r="BZ106" s="25">
        <v>0</v>
      </c>
      <c r="CA106" s="25">
        <v>0</v>
      </c>
      <c r="CB106" s="25">
        <v>0</v>
      </c>
      <c r="CC106" s="25">
        <v>0</v>
      </c>
      <c r="CD106" s="25">
        <v>0</v>
      </c>
      <c r="CE106" s="25">
        <v>0</v>
      </c>
      <c r="CF106" s="25">
        <v>0</v>
      </c>
      <c r="CG106" s="25">
        <v>0</v>
      </c>
      <c r="CH106" s="25">
        <v>0</v>
      </c>
      <c r="CI106" s="25">
        <v>0</v>
      </c>
      <c r="CJ106" s="25">
        <v>0</v>
      </c>
      <c r="CK106" s="25">
        <v>0</v>
      </c>
      <c r="CL106" s="25">
        <v>0</v>
      </c>
      <c r="CM106" s="25">
        <v>0</v>
      </c>
      <c r="CN106" s="25">
        <v>1</v>
      </c>
      <c r="CO106" s="25">
        <v>0</v>
      </c>
      <c r="CP106" s="25">
        <v>0</v>
      </c>
      <c r="CQ106" s="25">
        <v>0</v>
      </c>
      <c r="CR106" s="25">
        <v>0</v>
      </c>
      <c r="CS106" s="25">
        <v>0</v>
      </c>
      <c r="CT106" s="25">
        <v>0</v>
      </c>
      <c r="CU106" s="25">
        <v>0</v>
      </c>
      <c r="CV106" s="25">
        <v>0</v>
      </c>
      <c r="CW106" s="25">
        <v>0</v>
      </c>
      <c r="CX106" s="25">
        <v>0</v>
      </c>
      <c r="CY106" s="25">
        <v>0</v>
      </c>
      <c r="CZ106" s="25">
        <v>0</v>
      </c>
      <c r="DA106" s="25">
        <v>1</v>
      </c>
      <c r="DB106" s="25">
        <v>0</v>
      </c>
      <c r="DC106" s="25">
        <v>0</v>
      </c>
      <c r="DD106" s="25">
        <v>0</v>
      </c>
      <c r="DE106" s="25">
        <v>0</v>
      </c>
      <c r="DF106" s="25">
        <v>0</v>
      </c>
      <c r="DG106" s="25">
        <v>0</v>
      </c>
      <c r="DH106" s="25">
        <v>0</v>
      </c>
      <c r="DI106" s="25">
        <v>0</v>
      </c>
      <c r="DJ106" s="25">
        <v>0</v>
      </c>
    </row>
    <row r="107" spans="1:114" s="25" customFormat="1" x14ac:dyDescent="0.25">
      <c r="A107" s="25">
        <v>106</v>
      </c>
      <c r="B107" t="s">
        <v>1440</v>
      </c>
      <c r="C107" s="26" t="s">
        <v>525</v>
      </c>
      <c r="D107" t="s">
        <v>1453</v>
      </c>
      <c r="E107" s="25">
        <v>5.1398900000000003</v>
      </c>
      <c r="F107" s="25" t="s">
        <v>1536</v>
      </c>
      <c r="G107" s="25" t="s">
        <v>14</v>
      </c>
      <c r="H107" s="25" t="s">
        <v>17</v>
      </c>
      <c r="I107" s="25">
        <v>0</v>
      </c>
      <c r="J107" s="25">
        <v>0</v>
      </c>
      <c r="K107" s="25">
        <v>1</v>
      </c>
      <c r="L107" s="25">
        <v>0</v>
      </c>
      <c r="M107" s="25">
        <v>0</v>
      </c>
      <c r="N107" s="25">
        <v>0</v>
      </c>
      <c r="O107" s="25">
        <v>0</v>
      </c>
      <c r="P107" s="25">
        <v>1</v>
      </c>
      <c r="Q107" s="25">
        <v>0</v>
      </c>
      <c r="R107" s="25">
        <v>0</v>
      </c>
      <c r="S107" s="25">
        <v>0</v>
      </c>
      <c r="T107" s="25">
        <v>0</v>
      </c>
      <c r="U107" s="25">
        <v>0</v>
      </c>
      <c r="V107" s="25">
        <v>0</v>
      </c>
      <c r="W107" s="25">
        <v>0</v>
      </c>
      <c r="X107" s="25">
        <v>1</v>
      </c>
      <c r="Y107" s="25">
        <v>0</v>
      </c>
      <c r="Z107" s="25">
        <v>0</v>
      </c>
      <c r="AA107" s="25">
        <v>0</v>
      </c>
      <c r="AB107" s="25">
        <v>0</v>
      </c>
      <c r="AC107" s="25">
        <v>0</v>
      </c>
      <c r="AD107" s="25">
        <v>0</v>
      </c>
      <c r="AE107" s="25">
        <v>0</v>
      </c>
      <c r="AF107" s="25">
        <v>0</v>
      </c>
      <c r="AG107" s="25">
        <v>0</v>
      </c>
      <c r="AH107" s="25">
        <v>0</v>
      </c>
      <c r="AI107" s="25">
        <v>0</v>
      </c>
      <c r="AJ107" s="25">
        <v>0</v>
      </c>
      <c r="AK107" s="25">
        <v>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  <c r="AR107" s="25">
        <v>0</v>
      </c>
      <c r="AS107" s="25">
        <v>0</v>
      </c>
      <c r="AT107" s="25">
        <v>0</v>
      </c>
      <c r="AU107" s="25">
        <v>0</v>
      </c>
      <c r="AV107" s="25">
        <v>0</v>
      </c>
      <c r="AW107" s="25">
        <v>0</v>
      </c>
      <c r="AX107" s="25">
        <v>0</v>
      </c>
      <c r="AY107" s="25">
        <v>0</v>
      </c>
      <c r="AZ107" s="25">
        <v>0</v>
      </c>
      <c r="BA107" s="25">
        <v>0</v>
      </c>
      <c r="BB107" s="25">
        <v>0</v>
      </c>
      <c r="BC107" s="25">
        <v>0</v>
      </c>
      <c r="BD107" s="25">
        <v>0</v>
      </c>
      <c r="BE107" s="25">
        <v>0</v>
      </c>
      <c r="BF107" s="25">
        <v>0</v>
      </c>
      <c r="BG107" s="25">
        <v>1</v>
      </c>
      <c r="BH107" s="25">
        <v>0</v>
      </c>
      <c r="BI107" s="25">
        <v>0</v>
      </c>
      <c r="BJ107" s="25">
        <v>0</v>
      </c>
      <c r="BK107" s="25">
        <v>0</v>
      </c>
      <c r="BL107" s="25">
        <v>0</v>
      </c>
      <c r="BM107" s="25">
        <v>0</v>
      </c>
      <c r="BN107" s="25">
        <v>0</v>
      </c>
      <c r="BO107" s="25">
        <v>0</v>
      </c>
      <c r="BP107" s="25">
        <v>1</v>
      </c>
      <c r="BQ107" s="25">
        <v>0</v>
      </c>
      <c r="BR107" s="25">
        <v>0</v>
      </c>
      <c r="BS107" s="25">
        <v>0</v>
      </c>
      <c r="BT107" s="25">
        <v>0</v>
      </c>
      <c r="BU107" s="25">
        <v>0</v>
      </c>
      <c r="BV107" s="25">
        <v>0</v>
      </c>
      <c r="BW107" s="25">
        <v>0</v>
      </c>
      <c r="BX107" s="25">
        <v>0</v>
      </c>
      <c r="BY107" s="25">
        <v>0</v>
      </c>
      <c r="BZ107" s="25">
        <v>0</v>
      </c>
      <c r="CA107" s="25">
        <v>0</v>
      </c>
      <c r="CB107" s="25">
        <v>0</v>
      </c>
      <c r="CC107" s="25">
        <v>0</v>
      </c>
      <c r="CD107" s="25">
        <v>0</v>
      </c>
      <c r="CE107" s="25">
        <v>0</v>
      </c>
      <c r="CF107" s="25">
        <v>0</v>
      </c>
      <c r="CG107" s="25">
        <v>0</v>
      </c>
      <c r="CH107" s="25">
        <v>0</v>
      </c>
      <c r="CI107" s="25">
        <v>0</v>
      </c>
      <c r="CJ107" s="25">
        <v>0</v>
      </c>
      <c r="CK107" s="25">
        <v>0</v>
      </c>
      <c r="CL107" s="25">
        <v>0</v>
      </c>
      <c r="CM107" s="25">
        <v>0</v>
      </c>
      <c r="CN107" s="25">
        <v>0</v>
      </c>
      <c r="CO107" s="25">
        <v>0</v>
      </c>
      <c r="CP107" s="25">
        <v>0</v>
      </c>
      <c r="CQ107" s="25">
        <v>0</v>
      </c>
      <c r="CR107" s="25">
        <v>0</v>
      </c>
      <c r="CS107" s="25">
        <v>0</v>
      </c>
      <c r="CT107" s="25">
        <v>0</v>
      </c>
      <c r="CU107" s="25">
        <v>0</v>
      </c>
      <c r="CV107" s="25">
        <v>0</v>
      </c>
      <c r="CW107" s="25">
        <v>0</v>
      </c>
      <c r="CX107" s="25">
        <v>0</v>
      </c>
      <c r="CY107" s="25">
        <v>0</v>
      </c>
      <c r="CZ107" s="25">
        <v>1</v>
      </c>
      <c r="DA107" s="25">
        <v>0</v>
      </c>
      <c r="DB107" s="25">
        <v>0</v>
      </c>
      <c r="DC107" s="25">
        <v>0</v>
      </c>
      <c r="DD107" s="25">
        <v>0</v>
      </c>
      <c r="DE107" s="25">
        <v>0</v>
      </c>
      <c r="DF107" s="25">
        <v>0</v>
      </c>
      <c r="DG107" s="25">
        <v>1</v>
      </c>
      <c r="DH107" s="25">
        <v>0</v>
      </c>
      <c r="DI107" s="25">
        <v>0</v>
      </c>
      <c r="DJ107" s="25">
        <v>0</v>
      </c>
    </row>
    <row r="108" spans="1:114" s="25" customFormat="1" x14ac:dyDescent="0.25">
      <c r="A108" s="25">
        <v>107</v>
      </c>
      <c r="B108" t="s">
        <v>1436</v>
      </c>
      <c r="C108" s="26" t="s">
        <v>804</v>
      </c>
      <c r="D108" t="s">
        <v>1453</v>
      </c>
      <c r="E108" s="25">
        <v>10.8522</v>
      </c>
      <c r="F108" s="25" t="s">
        <v>1536</v>
      </c>
      <c r="G108" s="25" t="s">
        <v>14</v>
      </c>
      <c r="H108" s="25" t="s">
        <v>18</v>
      </c>
      <c r="I108" s="25">
        <v>0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>
        <v>0</v>
      </c>
      <c r="T108" s="25">
        <v>0</v>
      </c>
      <c r="U108" s="25">
        <v>0</v>
      </c>
      <c r="V108" s="25">
        <v>0</v>
      </c>
      <c r="W108" s="25">
        <v>0</v>
      </c>
      <c r="X108" s="25">
        <v>0</v>
      </c>
      <c r="Y108" s="25">
        <v>0</v>
      </c>
      <c r="Z108" s="25">
        <v>0</v>
      </c>
      <c r="AA108" s="25">
        <v>0</v>
      </c>
      <c r="AB108" s="25">
        <v>0</v>
      </c>
      <c r="AC108" s="25">
        <v>0</v>
      </c>
      <c r="AD108" s="25">
        <v>0</v>
      </c>
      <c r="AE108" s="25">
        <v>0</v>
      </c>
      <c r="AF108" s="25">
        <v>0</v>
      </c>
      <c r="AG108" s="25">
        <v>0</v>
      </c>
      <c r="AH108" s="25">
        <v>0</v>
      </c>
      <c r="AI108" s="25">
        <v>0</v>
      </c>
      <c r="AJ108" s="25">
        <v>0</v>
      </c>
      <c r="AK108" s="25">
        <v>0</v>
      </c>
      <c r="AL108" s="25">
        <v>0</v>
      </c>
      <c r="AM108" s="25">
        <v>0</v>
      </c>
      <c r="AN108" s="25">
        <v>0</v>
      </c>
      <c r="AO108" s="25">
        <v>0</v>
      </c>
      <c r="AP108" s="25">
        <v>0</v>
      </c>
      <c r="AQ108" s="25">
        <v>0</v>
      </c>
      <c r="AR108" s="25">
        <v>0</v>
      </c>
      <c r="AS108" s="25">
        <v>0</v>
      </c>
      <c r="AT108" s="25">
        <v>0</v>
      </c>
      <c r="AU108" s="25">
        <v>0</v>
      </c>
      <c r="AV108" s="25">
        <v>0</v>
      </c>
      <c r="AW108" s="25">
        <v>0</v>
      </c>
      <c r="AX108" s="25">
        <v>0</v>
      </c>
      <c r="AY108" s="25">
        <v>0</v>
      </c>
      <c r="AZ108" s="25">
        <v>0</v>
      </c>
      <c r="BA108" s="25">
        <v>0</v>
      </c>
      <c r="BB108" s="25">
        <v>0</v>
      </c>
      <c r="BC108" s="25">
        <v>0</v>
      </c>
      <c r="BD108" s="25">
        <v>0</v>
      </c>
      <c r="BE108" s="25">
        <v>0</v>
      </c>
      <c r="BF108" s="25">
        <v>0</v>
      </c>
      <c r="BG108" s="25">
        <v>0</v>
      </c>
      <c r="BH108" s="25">
        <v>0</v>
      </c>
      <c r="BI108" s="25">
        <v>0</v>
      </c>
      <c r="BJ108" s="25">
        <v>0</v>
      </c>
      <c r="BK108" s="25">
        <v>0</v>
      </c>
      <c r="BL108" s="25">
        <v>0</v>
      </c>
      <c r="BM108" s="25">
        <v>0</v>
      </c>
      <c r="BN108" s="25">
        <v>0</v>
      </c>
      <c r="BO108" s="25">
        <v>0</v>
      </c>
      <c r="BP108" s="25">
        <v>0</v>
      </c>
      <c r="BQ108" s="25">
        <v>0</v>
      </c>
      <c r="BR108" s="25">
        <v>0</v>
      </c>
      <c r="BS108" s="25">
        <v>0</v>
      </c>
      <c r="BT108" s="25">
        <v>0</v>
      </c>
      <c r="BU108" s="25">
        <v>0</v>
      </c>
      <c r="BV108" s="25">
        <v>0</v>
      </c>
      <c r="BW108" s="25">
        <v>1</v>
      </c>
      <c r="BX108" s="25">
        <v>0</v>
      </c>
      <c r="BY108" s="25">
        <v>0</v>
      </c>
      <c r="BZ108" s="25">
        <v>0</v>
      </c>
      <c r="CA108" s="25">
        <v>0</v>
      </c>
      <c r="CB108" s="25">
        <v>0</v>
      </c>
      <c r="CC108" s="25">
        <v>0</v>
      </c>
      <c r="CD108" s="25">
        <v>0</v>
      </c>
      <c r="CE108" s="25">
        <v>0</v>
      </c>
      <c r="CF108" s="25">
        <v>0</v>
      </c>
      <c r="CG108" s="25">
        <v>0</v>
      </c>
      <c r="CH108" s="25">
        <v>0</v>
      </c>
      <c r="CI108" s="25">
        <v>0</v>
      </c>
      <c r="CJ108" s="25">
        <v>0</v>
      </c>
      <c r="CK108" s="25">
        <v>0</v>
      </c>
      <c r="CL108" s="25">
        <v>0</v>
      </c>
      <c r="CM108" s="25">
        <v>0</v>
      </c>
      <c r="CN108" s="25">
        <v>0</v>
      </c>
      <c r="CO108" s="25">
        <v>0</v>
      </c>
      <c r="CP108" s="25">
        <v>0</v>
      </c>
      <c r="CQ108" s="25">
        <v>0</v>
      </c>
      <c r="CR108" s="25">
        <v>0</v>
      </c>
      <c r="CS108" s="25">
        <v>0</v>
      </c>
      <c r="CT108" s="25">
        <v>0</v>
      </c>
      <c r="CU108" s="25">
        <v>0</v>
      </c>
      <c r="CV108" s="25">
        <v>0</v>
      </c>
      <c r="CW108" s="25">
        <v>0</v>
      </c>
      <c r="CX108" s="25">
        <v>0</v>
      </c>
      <c r="CY108" s="25">
        <v>0</v>
      </c>
      <c r="CZ108" s="25">
        <v>0</v>
      </c>
      <c r="DA108" s="25">
        <v>0</v>
      </c>
      <c r="DB108" s="25">
        <v>0</v>
      </c>
      <c r="DC108" s="25">
        <v>0</v>
      </c>
      <c r="DD108" s="25">
        <v>0</v>
      </c>
      <c r="DE108" s="25">
        <v>0</v>
      </c>
      <c r="DF108" s="25">
        <v>0</v>
      </c>
      <c r="DG108" s="25">
        <v>0</v>
      </c>
      <c r="DH108" s="25">
        <v>0</v>
      </c>
      <c r="DI108" s="25">
        <v>0</v>
      </c>
      <c r="DJ108" s="25">
        <v>0</v>
      </c>
    </row>
    <row r="109" spans="1:114" s="25" customFormat="1" x14ac:dyDescent="0.25">
      <c r="A109" s="25">
        <v>108</v>
      </c>
      <c r="B109" t="s">
        <v>1438</v>
      </c>
      <c r="C109" s="26" t="s">
        <v>1437</v>
      </c>
      <c r="D109" t="s">
        <v>1453</v>
      </c>
      <c r="E109" s="25">
        <v>11.6432</v>
      </c>
      <c r="F109" s="25" t="s">
        <v>1536</v>
      </c>
      <c r="G109" s="25" t="s">
        <v>14</v>
      </c>
      <c r="H109" s="25" t="s">
        <v>18</v>
      </c>
      <c r="I109" s="25">
        <v>0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0</v>
      </c>
      <c r="AB109" s="25">
        <v>0</v>
      </c>
      <c r="AC109" s="25">
        <v>0</v>
      </c>
      <c r="AD109" s="25">
        <v>0</v>
      </c>
      <c r="AE109" s="25">
        <v>0</v>
      </c>
      <c r="AF109" s="25">
        <v>0</v>
      </c>
      <c r="AG109" s="25">
        <v>0</v>
      </c>
      <c r="AH109" s="25">
        <v>0</v>
      </c>
      <c r="AI109" s="25">
        <v>0</v>
      </c>
      <c r="AJ109" s="25">
        <v>0</v>
      </c>
      <c r="AK109" s="25">
        <v>0</v>
      </c>
      <c r="AL109" s="25">
        <v>0</v>
      </c>
      <c r="AM109" s="25">
        <v>0</v>
      </c>
      <c r="AN109" s="25">
        <v>0</v>
      </c>
      <c r="AO109" s="25">
        <v>0</v>
      </c>
      <c r="AP109" s="25">
        <v>0</v>
      </c>
      <c r="AQ109" s="25">
        <v>0</v>
      </c>
      <c r="AR109" s="25">
        <v>0</v>
      </c>
      <c r="AS109" s="25">
        <v>0</v>
      </c>
      <c r="AT109" s="25">
        <v>0</v>
      </c>
      <c r="AU109" s="25">
        <v>0</v>
      </c>
      <c r="AV109" s="25">
        <v>0</v>
      </c>
      <c r="AW109" s="25">
        <v>0</v>
      </c>
      <c r="AX109" s="25">
        <v>0</v>
      </c>
      <c r="AY109" s="25">
        <v>0</v>
      </c>
      <c r="AZ109" s="25">
        <v>0</v>
      </c>
      <c r="BA109" s="25">
        <v>0</v>
      </c>
      <c r="BB109" s="25">
        <v>0</v>
      </c>
      <c r="BC109" s="25">
        <v>0</v>
      </c>
      <c r="BD109" s="25">
        <v>0</v>
      </c>
      <c r="BE109" s="25">
        <v>0</v>
      </c>
      <c r="BF109" s="25">
        <v>0</v>
      </c>
      <c r="BG109" s="25">
        <v>0</v>
      </c>
      <c r="BH109" s="25">
        <v>0</v>
      </c>
      <c r="BI109" s="25">
        <v>0</v>
      </c>
      <c r="BJ109" s="25">
        <v>0</v>
      </c>
      <c r="BK109" s="25">
        <v>0</v>
      </c>
      <c r="BL109" s="25">
        <v>0</v>
      </c>
      <c r="BM109" s="25">
        <v>0</v>
      </c>
      <c r="BN109" s="25">
        <v>0</v>
      </c>
      <c r="BO109" s="25">
        <v>0</v>
      </c>
      <c r="BP109" s="25">
        <v>0</v>
      </c>
      <c r="BQ109" s="25">
        <v>0</v>
      </c>
      <c r="BR109" s="25">
        <v>0</v>
      </c>
      <c r="BS109" s="25">
        <v>0</v>
      </c>
      <c r="BT109" s="25">
        <v>0</v>
      </c>
      <c r="BU109" s="25">
        <v>0</v>
      </c>
      <c r="BV109" s="25">
        <v>0</v>
      </c>
      <c r="BW109" s="25">
        <v>0</v>
      </c>
      <c r="BX109" s="25">
        <v>0</v>
      </c>
      <c r="BY109" s="25">
        <v>0</v>
      </c>
      <c r="BZ109" s="25">
        <v>0</v>
      </c>
      <c r="CA109" s="25">
        <v>0</v>
      </c>
      <c r="CB109" s="25">
        <v>0</v>
      </c>
      <c r="CC109" s="25">
        <v>0</v>
      </c>
      <c r="CD109" s="25">
        <v>1</v>
      </c>
      <c r="CE109" s="25">
        <v>0</v>
      </c>
      <c r="CF109" s="25">
        <v>0</v>
      </c>
      <c r="CG109" s="25">
        <v>0</v>
      </c>
      <c r="CH109" s="25">
        <v>0</v>
      </c>
      <c r="CI109" s="25">
        <v>0</v>
      </c>
      <c r="CJ109" s="25">
        <v>0</v>
      </c>
      <c r="CK109" s="25">
        <v>0</v>
      </c>
      <c r="CL109" s="25">
        <v>0</v>
      </c>
      <c r="CM109" s="25">
        <v>0</v>
      </c>
      <c r="CN109" s="25">
        <v>0</v>
      </c>
      <c r="CO109" s="25">
        <v>0</v>
      </c>
      <c r="CP109" s="25">
        <v>0</v>
      </c>
      <c r="CQ109" s="25">
        <v>0</v>
      </c>
      <c r="CR109" s="25">
        <v>0</v>
      </c>
      <c r="CS109" s="25">
        <v>0</v>
      </c>
      <c r="CT109" s="25">
        <v>0</v>
      </c>
      <c r="CU109" s="25">
        <v>0</v>
      </c>
      <c r="CV109" s="25">
        <v>0</v>
      </c>
      <c r="CW109" s="25">
        <v>0</v>
      </c>
      <c r="CX109" s="25">
        <v>0</v>
      </c>
      <c r="CY109" s="25">
        <v>0</v>
      </c>
      <c r="CZ109" s="25">
        <v>0</v>
      </c>
      <c r="DA109" s="25">
        <v>0</v>
      </c>
      <c r="DB109" s="25">
        <v>0</v>
      </c>
      <c r="DC109" s="25">
        <v>0</v>
      </c>
      <c r="DD109" s="25">
        <v>0</v>
      </c>
      <c r="DE109" s="25">
        <v>0</v>
      </c>
      <c r="DF109" s="25">
        <v>0</v>
      </c>
      <c r="DG109" s="25">
        <v>0</v>
      </c>
      <c r="DH109" s="25">
        <v>0</v>
      </c>
      <c r="DI109" s="25">
        <v>0</v>
      </c>
      <c r="DJ109" s="25">
        <v>0</v>
      </c>
    </row>
    <row r="110" spans="1:114" s="25" customFormat="1" x14ac:dyDescent="0.25">
      <c r="A110" s="25">
        <v>109</v>
      </c>
      <c r="B110" t="s">
        <v>1439</v>
      </c>
      <c r="C110" s="26" t="s">
        <v>572</v>
      </c>
      <c r="D110" t="s">
        <v>1453</v>
      </c>
      <c r="E110" s="25">
        <v>1.98817</v>
      </c>
      <c r="F110" s="25" t="s">
        <v>1538</v>
      </c>
      <c r="G110" s="25" t="s">
        <v>13</v>
      </c>
      <c r="H110" s="25" t="s">
        <v>17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>
        <v>0</v>
      </c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1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0</v>
      </c>
      <c r="AQ110" s="25">
        <v>0</v>
      </c>
      <c r="AR110" s="25">
        <v>0</v>
      </c>
      <c r="AS110" s="25">
        <v>0</v>
      </c>
      <c r="AT110" s="25">
        <v>0</v>
      </c>
      <c r="AU110" s="25">
        <v>0</v>
      </c>
      <c r="AV110" s="25">
        <v>0</v>
      </c>
      <c r="AW110" s="25">
        <v>0</v>
      </c>
      <c r="AX110" s="25">
        <v>0</v>
      </c>
      <c r="AY110" s="25">
        <v>0</v>
      </c>
      <c r="AZ110" s="25">
        <v>0</v>
      </c>
      <c r="BA110" s="25">
        <v>0</v>
      </c>
      <c r="BB110" s="25">
        <v>0</v>
      </c>
      <c r="BC110" s="25">
        <v>0</v>
      </c>
      <c r="BD110" s="25">
        <v>0</v>
      </c>
      <c r="BE110" s="25">
        <v>0</v>
      </c>
      <c r="BF110" s="25">
        <v>0</v>
      </c>
      <c r="BG110" s="25">
        <v>0</v>
      </c>
      <c r="BH110" s="25">
        <v>0</v>
      </c>
      <c r="BI110" s="25">
        <v>0</v>
      </c>
      <c r="BJ110" s="25">
        <v>0</v>
      </c>
      <c r="BK110" s="25">
        <v>0</v>
      </c>
      <c r="BL110" s="25">
        <v>0</v>
      </c>
      <c r="BM110" s="25">
        <v>0</v>
      </c>
      <c r="BN110" s="25">
        <v>0</v>
      </c>
      <c r="BO110" s="25">
        <v>0</v>
      </c>
      <c r="BP110" s="25">
        <v>0</v>
      </c>
      <c r="BQ110" s="25">
        <v>0</v>
      </c>
      <c r="BR110" s="25">
        <v>0</v>
      </c>
      <c r="BS110" s="25">
        <v>0</v>
      </c>
      <c r="BT110" s="25">
        <v>0</v>
      </c>
      <c r="BU110" s="25">
        <v>0</v>
      </c>
      <c r="BV110" s="25">
        <v>0</v>
      </c>
      <c r="BW110" s="25">
        <v>0</v>
      </c>
      <c r="BX110" s="25">
        <v>0</v>
      </c>
      <c r="BY110" s="25">
        <v>0</v>
      </c>
      <c r="BZ110" s="25">
        <v>0</v>
      </c>
      <c r="CA110" s="25">
        <v>0</v>
      </c>
      <c r="CB110" s="25">
        <v>0</v>
      </c>
      <c r="CC110" s="25">
        <v>0</v>
      </c>
      <c r="CD110" s="25">
        <v>0</v>
      </c>
      <c r="CE110" s="25">
        <v>0</v>
      </c>
      <c r="CF110" s="25">
        <v>0</v>
      </c>
      <c r="CG110" s="25">
        <v>0</v>
      </c>
      <c r="CH110" s="25">
        <v>0</v>
      </c>
      <c r="CI110" s="25">
        <v>0</v>
      </c>
      <c r="CJ110" s="25">
        <v>0</v>
      </c>
      <c r="CK110" s="25">
        <v>0</v>
      </c>
      <c r="CL110" s="25">
        <v>0</v>
      </c>
      <c r="CM110" s="25">
        <v>0</v>
      </c>
      <c r="CN110" s="25">
        <v>0</v>
      </c>
      <c r="CO110" s="25">
        <v>0</v>
      </c>
      <c r="CP110" s="25">
        <v>0</v>
      </c>
      <c r="CQ110" s="25">
        <v>0</v>
      </c>
      <c r="CR110" s="25">
        <v>0</v>
      </c>
      <c r="CS110" s="25">
        <v>0</v>
      </c>
      <c r="CT110" s="25">
        <v>0</v>
      </c>
      <c r="CU110" s="25">
        <v>0</v>
      </c>
      <c r="CV110" s="25">
        <v>1</v>
      </c>
      <c r="CW110" s="25">
        <v>0</v>
      </c>
      <c r="CX110" s="25">
        <v>0</v>
      </c>
      <c r="CY110" s="25">
        <v>0</v>
      </c>
      <c r="CZ110" s="25">
        <v>0</v>
      </c>
      <c r="DA110" s="25">
        <v>0</v>
      </c>
      <c r="DB110" s="25">
        <v>0</v>
      </c>
      <c r="DC110" s="25">
        <v>0</v>
      </c>
      <c r="DD110" s="25">
        <v>0</v>
      </c>
      <c r="DE110" s="25">
        <v>0</v>
      </c>
      <c r="DF110" s="25">
        <v>0</v>
      </c>
      <c r="DG110" s="25">
        <v>0</v>
      </c>
      <c r="DH110" s="25">
        <v>0</v>
      </c>
      <c r="DI110" s="25">
        <v>1</v>
      </c>
      <c r="DJ110" s="25">
        <v>0</v>
      </c>
    </row>
    <row r="111" spans="1:114" s="25" customFormat="1" x14ac:dyDescent="0.25">
      <c r="A111" s="25">
        <v>110</v>
      </c>
      <c r="B111" t="s">
        <v>1440</v>
      </c>
      <c r="C111" s="26" t="s">
        <v>1569</v>
      </c>
      <c r="D111" t="s">
        <v>1453</v>
      </c>
      <c r="E111" s="26">
        <v>1.1099000000000001</v>
      </c>
      <c r="F111" s="25" t="s">
        <v>1538</v>
      </c>
      <c r="G111" s="25" t="s">
        <v>15</v>
      </c>
      <c r="H111" s="25" t="s">
        <v>18</v>
      </c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>
        <v>0</v>
      </c>
      <c r="T111" s="25">
        <v>0</v>
      </c>
      <c r="U111" s="25">
        <v>0</v>
      </c>
      <c r="V111" s="25">
        <v>0</v>
      </c>
      <c r="W111" s="25">
        <v>0</v>
      </c>
      <c r="X111" s="25">
        <v>0</v>
      </c>
      <c r="Y111" s="25">
        <v>0</v>
      </c>
      <c r="Z111" s="25">
        <v>0</v>
      </c>
      <c r="AA111" s="25">
        <v>1</v>
      </c>
      <c r="AB111" s="25">
        <v>0</v>
      </c>
      <c r="AC111" s="25">
        <v>0</v>
      </c>
      <c r="AD111" s="25">
        <v>0</v>
      </c>
      <c r="AE111" s="25">
        <v>0</v>
      </c>
      <c r="AF111" s="25">
        <v>0</v>
      </c>
      <c r="AG111" s="25">
        <v>0</v>
      </c>
      <c r="AH111" s="25">
        <v>1</v>
      </c>
      <c r="AI111" s="25">
        <v>0</v>
      </c>
      <c r="AJ111" s="25">
        <v>0</v>
      </c>
      <c r="AK111" s="25">
        <v>0</v>
      </c>
      <c r="AL111" s="25">
        <v>0</v>
      </c>
      <c r="AM111" s="25">
        <v>0</v>
      </c>
      <c r="AN111" s="25">
        <v>0</v>
      </c>
      <c r="AO111" s="25">
        <v>1</v>
      </c>
      <c r="AP111" s="25">
        <v>0</v>
      </c>
      <c r="AQ111" s="25">
        <v>0</v>
      </c>
      <c r="AR111" s="25">
        <v>0</v>
      </c>
      <c r="AS111" s="25">
        <v>0</v>
      </c>
      <c r="AT111" s="25">
        <v>1</v>
      </c>
      <c r="AU111" s="25">
        <v>0</v>
      </c>
      <c r="AV111" s="25">
        <v>0</v>
      </c>
      <c r="AW111" s="25">
        <v>0</v>
      </c>
      <c r="AX111" s="25">
        <v>0</v>
      </c>
      <c r="AY111" s="25">
        <v>0</v>
      </c>
      <c r="AZ111" s="25">
        <v>0</v>
      </c>
      <c r="BA111" s="25">
        <v>0</v>
      </c>
      <c r="BB111" s="25">
        <v>0</v>
      </c>
      <c r="BC111" s="25">
        <v>0</v>
      </c>
      <c r="BD111" s="25">
        <v>1</v>
      </c>
      <c r="BE111" s="25">
        <v>0</v>
      </c>
      <c r="BF111" s="25">
        <v>0</v>
      </c>
      <c r="BG111" s="25">
        <v>1</v>
      </c>
      <c r="BH111" s="25">
        <v>0</v>
      </c>
      <c r="BI111" s="25">
        <v>0</v>
      </c>
      <c r="BJ111" s="25">
        <v>0</v>
      </c>
      <c r="BK111" s="25">
        <v>0</v>
      </c>
      <c r="BL111" s="25">
        <v>0</v>
      </c>
      <c r="BM111" s="25">
        <v>0</v>
      </c>
      <c r="BN111" s="25">
        <v>0</v>
      </c>
      <c r="BO111" s="25">
        <v>0</v>
      </c>
      <c r="BP111" s="25">
        <v>0</v>
      </c>
      <c r="BQ111" s="25">
        <v>0</v>
      </c>
      <c r="BR111" s="25">
        <v>0</v>
      </c>
      <c r="BS111" s="25">
        <v>0</v>
      </c>
      <c r="BT111" s="25">
        <v>0</v>
      </c>
      <c r="BU111" s="25">
        <v>0</v>
      </c>
      <c r="BV111" s="25">
        <v>0</v>
      </c>
      <c r="BW111" s="25">
        <v>0</v>
      </c>
      <c r="BX111" s="25">
        <v>0</v>
      </c>
      <c r="BY111" s="25">
        <v>0</v>
      </c>
      <c r="BZ111" s="25">
        <v>0</v>
      </c>
      <c r="CA111" s="25">
        <v>0</v>
      </c>
      <c r="CB111" s="25">
        <v>0</v>
      </c>
      <c r="CC111" s="25">
        <v>0</v>
      </c>
      <c r="CD111" s="25">
        <v>1</v>
      </c>
      <c r="CE111" s="25">
        <v>0</v>
      </c>
      <c r="CF111" s="25">
        <v>0</v>
      </c>
      <c r="CG111" s="25">
        <v>0</v>
      </c>
      <c r="CH111" s="25">
        <v>0</v>
      </c>
      <c r="CI111" s="25">
        <v>0</v>
      </c>
      <c r="CJ111" s="25">
        <v>0</v>
      </c>
      <c r="CK111" s="25">
        <v>0</v>
      </c>
      <c r="CL111" s="25">
        <v>0</v>
      </c>
      <c r="CM111" s="25">
        <v>0</v>
      </c>
      <c r="CN111" s="25">
        <v>1</v>
      </c>
      <c r="CO111" s="25">
        <v>0</v>
      </c>
      <c r="CP111" s="25">
        <v>0</v>
      </c>
      <c r="CQ111" s="25">
        <v>0</v>
      </c>
      <c r="CR111" s="25">
        <v>0</v>
      </c>
      <c r="CS111" s="25">
        <v>0</v>
      </c>
      <c r="CT111" s="25">
        <v>0</v>
      </c>
      <c r="CU111" s="25">
        <v>0</v>
      </c>
      <c r="CV111" s="25">
        <v>0</v>
      </c>
      <c r="CW111" s="25">
        <v>0</v>
      </c>
      <c r="CX111" s="25">
        <v>0</v>
      </c>
      <c r="CY111" s="25">
        <v>0</v>
      </c>
      <c r="CZ111" s="25">
        <v>0</v>
      </c>
      <c r="DA111" s="25">
        <v>0</v>
      </c>
      <c r="DB111" s="25">
        <v>1</v>
      </c>
      <c r="DC111" s="25">
        <v>0</v>
      </c>
      <c r="DD111" s="25">
        <v>0</v>
      </c>
      <c r="DE111" s="25">
        <v>0</v>
      </c>
      <c r="DF111" s="25">
        <v>0</v>
      </c>
      <c r="DG111" s="25">
        <v>0</v>
      </c>
      <c r="DH111" s="25">
        <v>0</v>
      </c>
      <c r="DI111" s="25">
        <v>1</v>
      </c>
      <c r="DJ111" s="25">
        <v>0</v>
      </c>
    </row>
    <row r="112" spans="1:114" s="25" customFormat="1" x14ac:dyDescent="0.25">
      <c r="A112" s="25">
        <v>111</v>
      </c>
      <c r="B112" t="s">
        <v>1526</v>
      </c>
      <c r="C112" s="26" t="s">
        <v>715</v>
      </c>
      <c r="D112" t="s">
        <v>1453</v>
      </c>
      <c r="E112" s="25">
        <v>11.5609</v>
      </c>
      <c r="F112" s="25" t="s">
        <v>1536</v>
      </c>
      <c r="G112" s="25" t="s">
        <v>14</v>
      </c>
      <c r="H112" s="25" t="s">
        <v>18</v>
      </c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0</v>
      </c>
      <c r="AB112" s="25">
        <v>0</v>
      </c>
      <c r="AC112" s="25">
        <v>0</v>
      </c>
      <c r="AD112" s="25">
        <v>0</v>
      </c>
      <c r="AE112" s="25">
        <v>0</v>
      </c>
      <c r="AF112" s="25">
        <v>0</v>
      </c>
      <c r="AG112" s="25">
        <v>0</v>
      </c>
      <c r="AH112" s="25">
        <v>0</v>
      </c>
      <c r="AI112" s="25">
        <v>0</v>
      </c>
      <c r="AJ112" s="25">
        <v>1</v>
      </c>
      <c r="AK112" s="25">
        <v>0</v>
      </c>
      <c r="AL112" s="25">
        <v>0</v>
      </c>
      <c r="AM112" s="25">
        <v>0</v>
      </c>
      <c r="AN112" s="25">
        <v>0</v>
      </c>
      <c r="AO112" s="25">
        <v>0</v>
      </c>
      <c r="AP112" s="25">
        <v>0</v>
      </c>
      <c r="AQ112" s="25">
        <v>0</v>
      </c>
      <c r="AR112" s="25">
        <v>0</v>
      </c>
      <c r="AS112" s="25">
        <v>0</v>
      </c>
      <c r="AT112" s="25">
        <v>0</v>
      </c>
      <c r="AU112" s="25">
        <v>0</v>
      </c>
      <c r="AV112" s="25">
        <v>0</v>
      </c>
      <c r="AW112" s="25">
        <v>0</v>
      </c>
      <c r="AX112" s="25">
        <v>0</v>
      </c>
      <c r="AY112" s="25">
        <v>0</v>
      </c>
      <c r="AZ112" s="25">
        <v>0</v>
      </c>
      <c r="BA112" s="25">
        <v>0</v>
      </c>
      <c r="BB112" s="25">
        <v>0</v>
      </c>
      <c r="BC112" s="25">
        <v>0</v>
      </c>
      <c r="BD112" s="25">
        <v>0</v>
      </c>
      <c r="BE112" s="25">
        <v>0</v>
      </c>
      <c r="BF112" s="25">
        <v>0</v>
      </c>
      <c r="BG112" s="25">
        <v>1</v>
      </c>
      <c r="BH112" s="25">
        <v>0</v>
      </c>
      <c r="BI112" s="25">
        <v>0</v>
      </c>
      <c r="BJ112" s="25">
        <v>0</v>
      </c>
      <c r="BK112" s="25">
        <v>0</v>
      </c>
      <c r="BL112" s="25">
        <v>0</v>
      </c>
      <c r="BM112" s="25">
        <v>0</v>
      </c>
      <c r="BN112" s="25">
        <v>0</v>
      </c>
      <c r="BO112" s="25">
        <v>0</v>
      </c>
      <c r="BP112" s="25">
        <v>0</v>
      </c>
      <c r="BQ112" s="25">
        <v>0</v>
      </c>
      <c r="BR112" s="25">
        <v>0</v>
      </c>
      <c r="BS112" s="25">
        <v>1</v>
      </c>
      <c r="BT112" s="25">
        <v>1</v>
      </c>
      <c r="BU112" s="25">
        <v>0</v>
      </c>
      <c r="BV112" s="25">
        <v>0</v>
      </c>
      <c r="BW112" s="25">
        <v>0</v>
      </c>
      <c r="BX112" s="25">
        <v>1</v>
      </c>
      <c r="BY112" s="25">
        <v>0</v>
      </c>
      <c r="BZ112" s="25">
        <v>0</v>
      </c>
      <c r="CA112" s="25">
        <v>0</v>
      </c>
      <c r="CB112" s="25">
        <v>0</v>
      </c>
      <c r="CC112" s="25">
        <v>0</v>
      </c>
      <c r="CD112" s="25">
        <v>0</v>
      </c>
      <c r="CE112" s="25">
        <v>0</v>
      </c>
      <c r="CF112" s="25">
        <v>0</v>
      </c>
      <c r="CG112" s="25">
        <v>0</v>
      </c>
      <c r="CH112" s="25">
        <v>0</v>
      </c>
      <c r="CI112" s="25">
        <v>0</v>
      </c>
      <c r="CJ112" s="25">
        <v>0</v>
      </c>
      <c r="CK112" s="25">
        <v>0</v>
      </c>
      <c r="CL112" s="25">
        <v>0</v>
      </c>
      <c r="CM112" s="25">
        <v>0</v>
      </c>
      <c r="CN112" s="25">
        <v>0</v>
      </c>
      <c r="CO112" s="25">
        <v>1</v>
      </c>
      <c r="CP112" s="25">
        <v>0</v>
      </c>
      <c r="CQ112" s="25">
        <v>0</v>
      </c>
      <c r="CR112" s="25">
        <v>0</v>
      </c>
      <c r="CS112" s="25">
        <v>0</v>
      </c>
      <c r="CT112" s="25">
        <v>0</v>
      </c>
      <c r="CU112" s="25">
        <v>0</v>
      </c>
      <c r="CV112" s="25">
        <v>0</v>
      </c>
      <c r="CW112" s="25">
        <v>0</v>
      </c>
      <c r="CX112" s="25">
        <v>0</v>
      </c>
      <c r="CY112" s="25">
        <v>0</v>
      </c>
      <c r="CZ112" s="25">
        <v>0</v>
      </c>
      <c r="DA112" s="25">
        <v>0</v>
      </c>
      <c r="DB112" s="25">
        <v>1</v>
      </c>
      <c r="DC112" s="25">
        <v>0</v>
      </c>
      <c r="DD112" s="25">
        <v>0</v>
      </c>
      <c r="DE112" s="25">
        <v>0</v>
      </c>
      <c r="DF112" s="25">
        <v>0</v>
      </c>
      <c r="DG112" s="25">
        <v>0</v>
      </c>
      <c r="DH112" s="25">
        <v>0</v>
      </c>
      <c r="DI112" s="25">
        <v>0</v>
      </c>
      <c r="DJ112" s="25">
        <v>0</v>
      </c>
    </row>
    <row r="113" spans="1:114" s="25" customFormat="1" x14ac:dyDescent="0.25">
      <c r="A113" s="25">
        <v>112</v>
      </c>
      <c r="B113" t="s">
        <v>97</v>
      </c>
      <c r="C113" s="26" t="s">
        <v>1250</v>
      </c>
      <c r="D113" t="s">
        <v>1798</v>
      </c>
      <c r="E113" s="25">
        <v>6.8112700000000004</v>
      </c>
      <c r="F113" s="25" t="s">
        <v>1538</v>
      </c>
      <c r="G113" s="25" t="s">
        <v>15</v>
      </c>
      <c r="H113" s="25" t="s">
        <v>18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>
        <v>0</v>
      </c>
      <c r="AC113" s="25">
        <v>0</v>
      </c>
      <c r="AD113" s="25">
        <v>0</v>
      </c>
      <c r="AE113" s="25">
        <v>0</v>
      </c>
      <c r="AF113" s="25">
        <v>0</v>
      </c>
      <c r="AG113" s="25">
        <v>0</v>
      </c>
      <c r="AH113" s="25">
        <v>1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0</v>
      </c>
      <c r="AS113" s="25">
        <v>0</v>
      </c>
      <c r="AT113" s="25">
        <v>0</v>
      </c>
      <c r="AU113" s="25">
        <v>0</v>
      </c>
      <c r="AV113" s="25">
        <v>0</v>
      </c>
      <c r="AW113" s="25">
        <v>0</v>
      </c>
      <c r="AX113" s="25">
        <v>0</v>
      </c>
      <c r="AY113" s="25">
        <v>0</v>
      </c>
      <c r="AZ113" s="25">
        <v>0</v>
      </c>
      <c r="BA113" s="25">
        <v>0</v>
      </c>
      <c r="BB113" s="25">
        <v>0</v>
      </c>
      <c r="BC113" s="25">
        <v>0</v>
      </c>
      <c r="BD113" s="25">
        <v>0</v>
      </c>
      <c r="BE113" s="25">
        <v>0</v>
      </c>
      <c r="BF113" s="25">
        <v>0</v>
      </c>
      <c r="BG113" s="25">
        <v>0</v>
      </c>
      <c r="BH113" s="25">
        <v>0</v>
      </c>
      <c r="BI113" s="25">
        <v>0</v>
      </c>
      <c r="BJ113" s="25">
        <v>0</v>
      </c>
      <c r="BK113" s="25">
        <v>0</v>
      </c>
      <c r="BL113" s="25">
        <v>0</v>
      </c>
      <c r="BM113" s="25">
        <v>0</v>
      </c>
      <c r="BN113" s="25">
        <v>0</v>
      </c>
      <c r="BO113" s="25">
        <v>0</v>
      </c>
      <c r="BP113" s="25">
        <v>0</v>
      </c>
      <c r="BQ113" s="25">
        <v>0</v>
      </c>
      <c r="BR113" s="25">
        <v>0</v>
      </c>
      <c r="BS113" s="25">
        <v>0</v>
      </c>
      <c r="BT113" s="25">
        <v>0</v>
      </c>
      <c r="BU113" s="25">
        <v>0</v>
      </c>
      <c r="BV113" s="25">
        <v>0</v>
      </c>
      <c r="BW113" s="25">
        <v>0</v>
      </c>
      <c r="BX113" s="25">
        <v>0</v>
      </c>
      <c r="BY113" s="25">
        <v>0</v>
      </c>
      <c r="BZ113" s="25">
        <v>0</v>
      </c>
      <c r="CA113" s="25">
        <v>0</v>
      </c>
      <c r="CB113" s="25">
        <v>0</v>
      </c>
      <c r="CC113" s="25">
        <v>0</v>
      </c>
      <c r="CD113" s="25">
        <v>0</v>
      </c>
      <c r="CE113" s="25">
        <v>0</v>
      </c>
      <c r="CF113" s="25">
        <v>0</v>
      </c>
      <c r="CG113" s="25">
        <v>0</v>
      </c>
      <c r="CH113" s="25">
        <v>0</v>
      </c>
      <c r="CI113" s="25">
        <v>0</v>
      </c>
      <c r="CJ113" s="25">
        <v>0</v>
      </c>
      <c r="CK113" s="25">
        <v>0</v>
      </c>
      <c r="CL113" s="25">
        <v>0</v>
      </c>
      <c r="CM113" s="25">
        <v>0</v>
      </c>
      <c r="CN113" s="25">
        <v>0</v>
      </c>
      <c r="CO113" s="25">
        <v>0</v>
      </c>
      <c r="CP113" s="25">
        <v>0</v>
      </c>
      <c r="CQ113" s="25">
        <v>0</v>
      </c>
      <c r="CR113" s="25">
        <v>0</v>
      </c>
      <c r="CS113" s="25">
        <v>0</v>
      </c>
      <c r="CT113" s="25">
        <v>0</v>
      </c>
      <c r="CU113" s="25">
        <v>0</v>
      </c>
      <c r="CV113" s="25">
        <v>0</v>
      </c>
      <c r="CW113" s="25">
        <v>0</v>
      </c>
      <c r="CX113" s="25">
        <v>0</v>
      </c>
      <c r="CY113" s="25">
        <v>0</v>
      </c>
      <c r="CZ113" s="25">
        <v>0</v>
      </c>
      <c r="DA113" s="25">
        <v>0</v>
      </c>
      <c r="DB113" s="25">
        <v>0</v>
      </c>
      <c r="DC113" s="25">
        <v>0</v>
      </c>
      <c r="DD113" s="25">
        <v>0</v>
      </c>
      <c r="DE113" s="25">
        <v>0</v>
      </c>
      <c r="DF113" s="25">
        <v>0</v>
      </c>
      <c r="DG113" s="25">
        <v>0</v>
      </c>
      <c r="DH113" s="25">
        <v>0</v>
      </c>
      <c r="DI113" s="25">
        <v>0</v>
      </c>
      <c r="DJ113" s="25">
        <v>0</v>
      </c>
    </row>
    <row r="114" spans="1:114" s="25" customFormat="1" x14ac:dyDescent="0.25">
      <c r="A114" s="25">
        <v>113</v>
      </c>
      <c r="B114" s="1" t="s">
        <v>1442</v>
      </c>
      <c r="C114" s="26" t="s">
        <v>1441</v>
      </c>
      <c r="D114" t="s">
        <v>1453</v>
      </c>
      <c r="E114" s="25">
        <v>11.364800000000001</v>
      </c>
      <c r="F114" s="25" t="s">
        <v>1536</v>
      </c>
      <c r="G114" s="25" t="s">
        <v>14</v>
      </c>
      <c r="H114" s="25" t="s">
        <v>18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5">
        <v>0</v>
      </c>
      <c r="AK114" s="25">
        <v>0</v>
      </c>
      <c r="AL114" s="25">
        <v>0</v>
      </c>
      <c r="AM114" s="25">
        <v>0</v>
      </c>
      <c r="AN114" s="25">
        <v>0</v>
      </c>
      <c r="AO114" s="25">
        <v>0</v>
      </c>
      <c r="AP114" s="25">
        <v>0</v>
      </c>
      <c r="AQ114" s="25">
        <v>0</v>
      </c>
      <c r="AR114" s="25">
        <v>0</v>
      </c>
      <c r="AS114" s="25">
        <v>0</v>
      </c>
      <c r="AT114" s="25">
        <v>0</v>
      </c>
      <c r="AU114" s="25">
        <v>0</v>
      </c>
      <c r="AV114" s="25">
        <v>0</v>
      </c>
      <c r="AW114" s="25">
        <v>0</v>
      </c>
      <c r="AX114" s="25">
        <v>0</v>
      </c>
      <c r="AY114" s="25">
        <v>0</v>
      </c>
      <c r="AZ114" s="25">
        <v>0</v>
      </c>
      <c r="BA114" s="25">
        <v>0</v>
      </c>
      <c r="BB114" s="25">
        <v>0</v>
      </c>
      <c r="BC114" s="25">
        <v>0</v>
      </c>
      <c r="BD114" s="25">
        <v>0</v>
      </c>
      <c r="BE114" s="25">
        <v>0</v>
      </c>
      <c r="BF114" s="25">
        <v>0</v>
      </c>
      <c r="BG114" s="25">
        <v>1</v>
      </c>
      <c r="BH114" s="25">
        <v>0</v>
      </c>
      <c r="BI114" s="25">
        <v>0</v>
      </c>
      <c r="BJ114" s="25">
        <v>0</v>
      </c>
      <c r="BK114" s="25">
        <v>0</v>
      </c>
      <c r="BL114" s="25">
        <v>0</v>
      </c>
      <c r="BM114" s="25">
        <v>0</v>
      </c>
      <c r="BN114" s="25">
        <v>0</v>
      </c>
      <c r="BO114" s="25">
        <v>0</v>
      </c>
      <c r="BP114" s="25">
        <v>0</v>
      </c>
      <c r="BQ114" s="25">
        <v>0</v>
      </c>
      <c r="BR114" s="25">
        <v>0</v>
      </c>
      <c r="BS114" s="25">
        <v>1</v>
      </c>
      <c r="BT114" s="25">
        <v>0</v>
      </c>
      <c r="BU114" s="25">
        <v>0</v>
      </c>
      <c r="BV114" s="25">
        <v>0</v>
      </c>
      <c r="BW114" s="25">
        <v>0</v>
      </c>
      <c r="BX114" s="25">
        <v>1</v>
      </c>
      <c r="BY114" s="25">
        <v>0</v>
      </c>
      <c r="BZ114" s="25">
        <v>0</v>
      </c>
      <c r="CA114" s="25">
        <v>0</v>
      </c>
      <c r="CB114" s="25">
        <v>0</v>
      </c>
      <c r="CC114" s="25">
        <v>0</v>
      </c>
      <c r="CD114" s="25">
        <v>0</v>
      </c>
      <c r="CE114" s="25">
        <v>0</v>
      </c>
      <c r="CF114" s="25">
        <v>0</v>
      </c>
      <c r="CG114" s="25">
        <v>0</v>
      </c>
      <c r="CH114" s="25">
        <v>0</v>
      </c>
      <c r="CI114" s="25">
        <v>0</v>
      </c>
      <c r="CJ114" s="25">
        <v>0</v>
      </c>
      <c r="CK114" s="25">
        <v>0</v>
      </c>
      <c r="CL114" s="25">
        <v>0</v>
      </c>
      <c r="CM114" s="25">
        <v>0</v>
      </c>
      <c r="CN114" s="25">
        <v>0</v>
      </c>
      <c r="CO114" s="25">
        <v>0</v>
      </c>
      <c r="CP114" s="25">
        <v>0</v>
      </c>
      <c r="CQ114" s="25">
        <v>0</v>
      </c>
      <c r="CR114" s="25">
        <v>0</v>
      </c>
      <c r="CS114" s="25">
        <v>0</v>
      </c>
      <c r="CT114" s="25">
        <v>0</v>
      </c>
      <c r="CU114" s="25">
        <v>0</v>
      </c>
      <c r="CV114" s="25">
        <v>0</v>
      </c>
      <c r="CW114" s="25">
        <v>0</v>
      </c>
      <c r="CX114" s="25">
        <v>0</v>
      </c>
      <c r="CY114" s="25">
        <v>0</v>
      </c>
      <c r="CZ114" s="25">
        <v>0</v>
      </c>
      <c r="DA114" s="25">
        <v>0</v>
      </c>
      <c r="DB114" s="25">
        <v>0</v>
      </c>
      <c r="DC114" s="25">
        <v>0</v>
      </c>
      <c r="DD114" s="25">
        <v>0</v>
      </c>
      <c r="DE114" s="25">
        <v>0</v>
      </c>
      <c r="DF114" s="25">
        <v>0</v>
      </c>
      <c r="DG114" s="25">
        <v>0</v>
      </c>
      <c r="DH114" s="25">
        <v>0</v>
      </c>
      <c r="DI114" s="25">
        <v>0</v>
      </c>
      <c r="DJ114" s="25">
        <v>0</v>
      </c>
    </row>
    <row r="115" spans="1:114" s="25" customFormat="1" x14ac:dyDescent="0.25">
      <c r="A115" s="25">
        <v>114</v>
      </c>
      <c r="B115" s="1" t="s">
        <v>187</v>
      </c>
      <c r="C115" s="26" t="s">
        <v>184</v>
      </c>
      <c r="D115" t="s">
        <v>1802</v>
      </c>
      <c r="E115" s="25">
        <v>10.378500000000001</v>
      </c>
      <c r="F115" s="25" t="s">
        <v>1538</v>
      </c>
      <c r="G115" s="25" t="s">
        <v>13</v>
      </c>
      <c r="H115" s="25" t="s">
        <v>16</v>
      </c>
      <c r="I115" s="25">
        <v>0</v>
      </c>
      <c r="J115" s="25">
        <v>0</v>
      </c>
      <c r="K115" s="25">
        <v>0</v>
      </c>
      <c r="L115" s="25">
        <v>0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1</v>
      </c>
      <c r="V115" s="25">
        <v>0</v>
      </c>
      <c r="W115" s="25">
        <v>0</v>
      </c>
      <c r="X115" s="25">
        <v>0</v>
      </c>
      <c r="Y115" s="25">
        <v>0</v>
      </c>
      <c r="Z115" s="25">
        <v>0</v>
      </c>
      <c r="AA115" s="25">
        <v>0</v>
      </c>
      <c r="AB115" s="25">
        <v>0</v>
      </c>
      <c r="AC115" s="25">
        <v>0</v>
      </c>
      <c r="AD115" s="25">
        <v>0</v>
      </c>
      <c r="AE115" s="25">
        <v>0</v>
      </c>
      <c r="AF115" s="25">
        <v>0</v>
      </c>
      <c r="AG115" s="25">
        <v>0</v>
      </c>
      <c r="AH115" s="25">
        <v>0</v>
      </c>
      <c r="AI115" s="25">
        <v>1</v>
      </c>
      <c r="AJ115" s="25">
        <v>0</v>
      </c>
      <c r="AK115" s="25">
        <v>0</v>
      </c>
      <c r="AL115" s="25">
        <v>0</v>
      </c>
      <c r="AM115" s="25">
        <v>0</v>
      </c>
      <c r="AN115" s="25">
        <v>0</v>
      </c>
      <c r="AO115" s="25">
        <v>0</v>
      </c>
      <c r="AP115" s="25">
        <v>0</v>
      </c>
      <c r="AQ115" s="25">
        <v>0</v>
      </c>
      <c r="AR115" s="25">
        <v>0</v>
      </c>
      <c r="AS115" s="25">
        <v>0</v>
      </c>
      <c r="AT115" s="25">
        <v>0</v>
      </c>
      <c r="AU115" s="25">
        <v>0</v>
      </c>
      <c r="AV115" s="25">
        <v>0</v>
      </c>
      <c r="AW115" s="25">
        <v>0</v>
      </c>
      <c r="AX115" s="25">
        <v>0</v>
      </c>
      <c r="AY115" s="25">
        <v>0</v>
      </c>
      <c r="AZ115" s="25">
        <v>0</v>
      </c>
      <c r="BA115" s="25">
        <v>0</v>
      </c>
      <c r="BB115" s="25">
        <v>0</v>
      </c>
      <c r="BC115" s="25">
        <v>0</v>
      </c>
      <c r="BD115" s="25">
        <v>0</v>
      </c>
      <c r="BE115" s="25">
        <v>0</v>
      </c>
      <c r="BF115" s="25">
        <v>0</v>
      </c>
      <c r="BG115" s="25">
        <v>0</v>
      </c>
      <c r="BH115" s="25">
        <v>0</v>
      </c>
      <c r="BI115" s="25">
        <v>0</v>
      </c>
      <c r="BJ115" s="25">
        <v>0</v>
      </c>
      <c r="BK115" s="25">
        <v>0</v>
      </c>
      <c r="BL115" s="25">
        <v>0</v>
      </c>
      <c r="BM115" s="25">
        <v>0</v>
      </c>
      <c r="BN115" s="25">
        <v>0</v>
      </c>
      <c r="BO115" s="25">
        <v>0</v>
      </c>
      <c r="BP115" s="25">
        <v>0</v>
      </c>
      <c r="BQ115" s="25">
        <v>0</v>
      </c>
      <c r="BR115" s="25">
        <v>0</v>
      </c>
      <c r="BS115" s="25">
        <v>0</v>
      </c>
      <c r="BT115" s="25">
        <v>0</v>
      </c>
      <c r="BU115" s="25">
        <v>0</v>
      </c>
      <c r="BV115" s="25">
        <v>0</v>
      </c>
      <c r="BW115" s="25">
        <v>0</v>
      </c>
      <c r="BX115" s="25">
        <v>0</v>
      </c>
      <c r="BY115" s="25">
        <v>0</v>
      </c>
      <c r="BZ115" s="25">
        <v>0</v>
      </c>
      <c r="CA115" s="25">
        <v>0</v>
      </c>
      <c r="CB115" s="25">
        <v>0</v>
      </c>
      <c r="CC115" s="25">
        <v>0</v>
      </c>
      <c r="CD115" s="25">
        <v>1</v>
      </c>
      <c r="CE115" s="25">
        <v>0</v>
      </c>
      <c r="CF115" s="25">
        <v>0</v>
      </c>
      <c r="CG115" s="25">
        <v>0</v>
      </c>
      <c r="CH115" s="25">
        <v>0</v>
      </c>
      <c r="CI115" s="25">
        <v>0</v>
      </c>
      <c r="CJ115" s="25">
        <v>0</v>
      </c>
      <c r="CK115" s="25">
        <v>1</v>
      </c>
      <c r="CL115" s="25">
        <v>0</v>
      </c>
      <c r="CM115" s="25">
        <v>0</v>
      </c>
      <c r="CN115" s="25">
        <v>0</v>
      </c>
      <c r="CO115" s="25">
        <v>0</v>
      </c>
      <c r="CP115" s="25">
        <v>0</v>
      </c>
      <c r="CQ115" s="25">
        <v>0</v>
      </c>
      <c r="CR115" s="25">
        <v>0</v>
      </c>
      <c r="CS115" s="25">
        <v>0</v>
      </c>
      <c r="CT115" s="25">
        <v>0</v>
      </c>
      <c r="CU115" s="25">
        <v>0</v>
      </c>
      <c r="CV115" s="25">
        <v>0</v>
      </c>
      <c r="CW115" s="25">
        <v>0</v>
      </c>
      <c r="CX115" s="25">
        <v>0</v>
      </c>
      <c r="CY115" s="25">
        <v>0</v>
      </c>
      <c r="CZ115" s="25">
        <v>0</v>
      </c>
      <c r="DA115" s="25">
        <v>0</v>
      </c>
      <c r="DB115" s="25">
        <v>0</v>
      </c>
      <c r="DC115" s="25">
        <v>0</v>
      </c>
      <c r="DD115" s="25">
        <v>0</v>
      </c>
      <c r="DE115" s="25">
        <v>0</v>
      </c>
      <c r="DF115" s="25">
        <v>0</v>
      </c>
      <c r="DG115" s="25">
        <v>0</v>
      </c>
      <c r="DH115" s="25">
        <v>0</v>
      </c>
      <c r="DI115" s="25">
        <v>0</v>
      </c>
      <c r="DJ115" s="25">
        <v>0</v>
      </c>
    </row>
    <row r="116" spans="1:114" s="25" customFormat="1" x14ac:dyDescent="0.25">
      <c r="A116" s="25">
        <v>115</v>
      </c>
      <c r="B116" t="s">
        <v>1527</v>
      </c>
      <c r="C116" s="26" t="s">
        <v>573</v>
      </c>
      <c r="D116" t="s">
        <v>1453</v>
      </c>
      <c r="E116" s="25">
        <v>4.3205799999999996</v>
      </c>
      <c r="F116" s="25" t="s">
        <v>1536</v>
      </c>
      <c r="G116" s="25" t="s">
        <v>13</v>
      </c>
      <c r="H116" s="25" t="s">
        <v>17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  <c r="AE116" s="25">
        <v>0</v>
      </c>
      <c r="AF116" s="25">
        <v>0</v>
      </c>
      <c r="AG116" s="25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0</v>
      </c>
      <c r="AS116" s="25">
        <v>0</v>
      </c>
      <c r="AT116" s="25">
        <v>0</v>
      </c>
      <c r="AU116" s="25">
        <v>0</v>
      </c>
      <c r="AV116" s="25">
        <v>0</v>
      </c>
      <c r="AW116" s="25">
        <v>0</v>
      </c>
      <c r="AX116" s="25">
        <v>0</v>
      </c>
      <c r="AY116" s="25">
        <v>0</v>
      </c>
      <c r="AZ116" s="25">
        <v>0</v>
      </c>
      <c r="BA116" s="25">
        <v>0</v>
      </c>
      <c r="BB116" s="25">
        <v>0</v>
      </c>
      <c r="BC116" s="25">
        <v>0</v>
      </c>
      <c r="BD116" s="25">
        <v>0</v>
      </c>
      <c r="BE116" s="25">
        <v>0</v>
      </c>
      <c r="BF116" s="25">
        <v>0</v>
      </c>
      <c r="BG116" s="25">
        <v>0</v>
      </c>
      <c r="BH116" s="25">
        <v>0</v>
      </c>
      <c r="BI116" s="25">
        <v>0</v>
      </c>
      <c r="BJ116" s="25">
        <v>0</v>
      </c>
      <c r="BK116" s="25">
        <v>0</v>
      </c>
      <c r="BL116" s="25">
        <v>0</v>
      </c>
      <c r="BM116" s="25">
        <v>0</v>
      </c>
      <c r="BN116" s="25">
        <v>0</v>
      </c>
      <c r="BO116" s="25">
        <v>0</v>
      </c>
      <c r="BP116" s="25">
        <v>0</v>
      </c>
      <c r="BQ116" s="25">
        <v>0</v>
      </c>
      <c r="BR116" s="25">
        <v>0</v>
      </c>
      <c r="BS116" s="25">
        <v>0</v>
      </c>
      <c r="BT116" s="25">
        <v>0</v>
      </c>
      <c r="BU116" s="25">
        <v>0</v>
      </c>
      <c r="BV116" s="25">
        <v>0</v>
      </c>
      <c r="BW116" s="25">
        <v>0</v>
      </c>
      <c r="BX116" s="25">
        <v>0</v>
      </c>
      <c r="BY116" s="25">
        <v>0</v>
      </c>
      <c r="BZ116" s="25">
        <v>0</v>
      </c>
      <c r="CA116" s="25">
        <v>0</v>
      </c>
      <c r="CB116" s="25">
        <v>0</v>
      </c>
      <c r="CC116" s="25">
        <v>0</v>
      </c>
      <c r="CD116" s="25">
        <v>1</v>
      </c>
      <c r="CE116" s="25">
        <v>0</v>
      </c>
      <c r="CF116" s="25">
        <v>0</v>
      </c>
      <c r="CG116" s="25">
        <v>0</v>
      </c>
      <c r="CH116" s="25">
        <v>0</v>
      </c>
      <c r="CI116" s="25">
        <v>0</v>
      </c>
      <c r="CJ116" s="25">
        <v>0</v>
      </c>
      <c r="CK116" s="25">
        <v>0</v>
      </c>
      <c r="CL116" s="25">
        <v>0</v>
      </c>
      <c r="CM116" s="25">
        <v>0</v>
      </c>
      <c r="CN116" s="25">
        <v>0</v>
      </c>
      <c r="CO116" s="25">
        <v>0</v>
      </c>
      <c r="CP116" s="25">
        <v>0</v>
      </c>
      <c r="CQ116" s="25">
        <v>0</v>
      </c>
      <c r="CR116" s="25">
        <v>0</v>
      </c>
      <c r="CS116" s="25">
        <v>0</v>
      </c>
      <c r="CT116" s="25">
        <v>0</v>
      </c>
      <c r="CU116" s="25">
        <v>1</v>
      </c>
      <c r="CV116" s="25">
        <v>0</v>
      </c>
      <c r="CW116" s="25">
        <v>0</v>
      </c>
      <c r="CX116" s="25">
        <v>0</v>
      </c>
      <c r="CY116" s="25">
        <v>0</v>
      </c>
      <c r="CZ116" s="25">
        <v>0</v>
      </c>
      <c r="DA116" s="25">
        <v>0</v>
      </c>
      <c r="DB116" s="25">
        <v>1</v>
      </c>
      <c r="DC116" s="25">
        <v>0</v>
      </c>
      <c r="DD116" s="25">
        <v>0</v>
      </c>
      <c r="DE116" s="25">
        <v>0</v>
      </c>
      <c r="DF116" s="25">
        <v>0</v>
      </c>
      <c r="DG116" s="25">
        <v>0</v>
      </c>
      <c r="DH116" s="25">
        <v>0</v>
      </c>
      <c r="DI116" s="25">
        <v>0</v>
      </c>
      <c r="DJ116" s="25">
        <v>0</v>
      </c>
    </row>
    <row r="117" spans="1:114" s="25" customFormat="1" x14ac:dyDescent="0.25">
      <c r="A117" s="25">
        <v>116</v>
      </c>
      <c r="B117" s="1" t="s">
        <v>383</v>
      </c>
      <c r="C117" s="26" t="s">
        <v>381</v>
      </c>
      <c r="D117" t="s">
        <v>1798</v>
      </c>
      <c r="E117" s="25">
        <v>0.49387300000000001</v>
      </c>
      <c r="F117" s="25" t="s">
        <v>1538</v>
      </c>
      <c r="G117" s="25" t="s">
        <v>14</v>
      </c>
      <c r="H117" s="25" t="s">
        <v>17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5">
        <v>0</v>
      </c>
      <c r="AD117" s="25">
        <v>0</v>
      </c>
      <c r="AE117" s="25">
        <v>0</v>
      </c>
      <c r="AF117" s="25">
        <v>0</v>
      </c>
      <c r="AG117" s="25">
        <v>0</v>
      </c>
      <c r="AH117" s="25">
        <v>1</v>
      </c>
      <c r="AI117" s="25">
        <v>0</v>
      </c>
      <c r="AJ117" s="25">
        <v>0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  <c r="AR117" s="25">
        <v>0</v>
      </c>
      <c r="AS117" s="25">
        <v>0</v>
      </c>
      <c r="AT117" s="25">
        <v>0</v>
      </c>
      <c r="AU117" s="25">
        <v>0</v>
      </c>
      <c r="AV117" s="25">
        <v>0</v>
      </c>
      <c r="AW117" s="25">
        <v>0</v>
      </c>
      <c r="AX117" s="25">
        <v>0</v>
      </c>
      <c r="AY117" s="25">
        <v>0</v>
      </c>
      <c r="AZ117" s="25">
        <v>0</v>
      </c>
      <c r="BA117" s="25">
        <v>0</v>
      </c>
      <c r="BB117" s="25">
        <v>0</v>
      </c>
      <c r="BC117" s="25">
        <v>0</v>
      </c>
      <c r="BD117" s="25">
        <v>0</v>
      </c>
      <c r="BE117" s="25">
        <v>0</v>
      </c>
      <c r="BF117" s="25">
        <v>0</v>
      </c>
      <c r="BG117" s="25">
        <v>0</v>
      </c>
      <c r="BH117" s="25">
        <v>0</v>
      </c>
      <c r="BI117" s="25">
        <v>0</v>
      </c>
      <c r="BJ117" s="25">
        <v>0</v>
      </c>
      <c r="BK117" s="25">
        <v>0</v>
      </c>
      <c r="BL117" s="25">
        <v>0</v>
      </c>
      <c r="BM117" s="25">
        <v>0</v>
      </c>
      <c r="BN117" s="25">
        <v>0</v>
      </c>
      <c r="BO117" s="25">
        <v>0</v>
      </c>
      <c r="BP117" s="25">
        <v>0</v>
      </c>
      <c r="BQ117" s="25">
        <v>0</v>
      </c>
      <c r="BR117" s="25">
        <v>0</v>
      </c>
      <c r="BS117" s="25">
        <v>0</v>
      </c>
      <c r="BT117" s="25">
        <v>0</v>
      </c>
      <c r="BU117" s="25">
        <v>0</v>
      </c>
      <c r="BV117" s="25">
        <v>0</v>
      </c>
      <c r="BW117" s="25">
        <v>0</v>
      </c>
      <c r="BX117" s="25">
        <v>0</v>
      </c>
      <c r="BY117" s="25">
        <v>0</v>
      </c>
      <c r="BZ117" s="25">
        <v>0</v>
      </c>
      <c r="CA117" s="25">
        <v>0</v>
      </c>
      <c r="CB117" s="25">
        <v>0</v>
      </c>
      <c r="CC117" s="25">
        <v>0</v>
      </c>
      <c r="CD117" s="25">
        <v>0</v>
      </c>
      <c r="CE117" s="25">
        <v>0</v>
      </c>
      <c r="CF117" s="25">
        <v>0</v>
      </c>
      <c r="CG117" s="25">
        <v>0</v>
      </c>
      <c r="CH117" s="25">
        <v>0</v>
      </c>
      <c r="CI117" s="25">
        <v>0</v>
      </c>
      <c r="CJ117" s="25">
        <v>0</v>
      </c>
      <c r="CK117" s="25">
        <v>0</v>
      </c>
      <c r="CL117" s="25">
        <v>0</v>
      </c>
      <c r="CM117" s="25">
        <v>0</v>
      </c>
      <c r="CN117" s="25">
        <v>0</v>
      </c>
      <c r="CO117" s="25">
        <v>0</v>
      </c>
      <c r="CP117" s="25">
        <v>0</v>
      </c>
      <c r="CQ117" s="25">
        <v>0</v>
      </c>
      <c r="CR117" s="25">
        <v>0</v>
      </c>
      <c r="CS117" s="25">
        <v>0</v>
      </c>
      <c r="CT117" s="25">
        <v>0</v>
      </c>
      <c r="CU117" s="25">
        <v>0</v>
      </c>
      <c r="CV117" s="25">
        <v>0</v>
      </c>
      <c r="CW117" s="25">
        <v>0</v>
      </c>
      <c r="CX117" s="25">
        <v>0</v>
      </c>
      <c r="CY117" s="25">
        <v>0</v>
      </c>
      <c r="CZ117" s="25">
        <v>0</v>
      </c>
      <c r="DA117" s="25">
        <v>0</v>
      </c>
      <c r="DB117" s="25">
        <v>0</v>
      </c>
      <c r="DC117" s="25">
        <v>0</v>
      </c>
      <c r="DD117" s="25">
        <v>0</v>
      </c>
      <c r="DE117" s="25">
        <v>0</v>
      </c>
      <c r="DF117" s="25">
        <v>0</v>
      </c>
      <c r="DG117" s="25">
        <v>0</v>
      </c>
      <c r="DH117" s="25">
        <v>0</v>
      </c>
      <c r="DI117" s="25">
        <v>0</v>
      </c>
      <c r="DJ117" s="25">
        <v>0</v>
      </c>
    </row>
    <row r="118" spans="1:114" s="25" customFormat="1" x14ac:dyDescent="0.25">
      <c r="A118" s="25">
        <v>117</v>
      </c>
      <c r="B118" s="1" t="s">
        <v>383</v>
      </c>
      <c r="C118" s="26" t="s">
        <v>381</v>
      </c>
      <c r="D118" t="s">
        <v>1798</v>
      </c>
      <c r="E118" s="25">
        <v>0.96105399999999996</v>
      </c>
      <c r="F118" s="25" t="s">
        <v>1538</v>
      </c>
      <c r="G118" s="25" t="s">
        <v>15</v>
      </c>
      <c r="H118" s="25" t="s">
        <v>17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5">
        <v>0</v>
      </c>
      <c r="AG118" s="25">
        <v>0</v>
      </c>
      <c r="AH118" s="25">
        <v>1</v>
      </c>
      <c r="AI118" s="25">
        <v>0</v>
      </c>
      <c r="AJ118" s="25">
        <v>1</v>
      </c>
      <c r="AK118" s="25">
        <v>0</v>
      </c>
      <c r="AL118" s="25">
        <v>0</v>
      </c>
      <c r="AM118" s="25">
        <v>0</v>
      </c>
      <c r="AN118" s="25">
        <v>0</v>
      </c>
      <c r="AO118" s="25">
        <v>1</v>
      </c>
      <c r="AP118" s="25">
        <v>0</v>
      </c>
      <c r="AQ118" s="25">
        <v>0</v>
      </c>
      <c r="AR118" s="25">
        <v>0</v>
      </c>
      <c r="AS118" s="25">
        <v>0</v>
      </c>
      <c r="AT118" s="25">
        <v>1</v>
      </c>
      <c r="AU118" s="25">
        <v>0</v>
      </c>
      <c r="AV118" s="25">
        <v>0</v>
      </c>
      <c r="AW118" s="25">
        <v>0</v>
      </c>
      <c r="AX118" s="25">
        <v>0</v>
      </c>
      <c r="AY118" s="25">
        <v>0</v>
      </c>
      <c r="AZ118" s="25">
        <v>0</v>
      </c>
      <c r="BA118" s="25">
        <v>0</v>
      </c>
      <c r="BB118" s="25">
        <v>0</v>
      </c>
      <c r="BC118" s="25">
        <v>0</v>
      </c>
      <c r="BD118" s="25">
        <v>0</v>
      </c>
      <c r="BE118" s="25">
        <v>0</v>
      </c>
      <c r="BF118" s="25">
        <v>0</v>
      </c>
      <c r="BG118" s="25">
        <v>0</v>
      </c>
      <c r="BH118" s="25">
        <v>0</v>
      </c>
      <c r="BI118" s="25">
        <v>0</v>
      </c>
      <c r="BJ118" s="25">
        <v>0</v>
      </c>
      <c r="BK118" s="25">
        <v>0</v>
      </c>
      <c r="BL118" s="25">
        <v>0</v>
      </c>
      <c r="BM118" s="25">
        <v>0</v>
      </c>
      <c r="BN118" s="25">
        <v>0</v>
      </c>
      <c r="BO118" s="25">
        <v>0</v>
      </c>
      <c r="BP118" s="25">
        <v>0</v>
      </c>
      <c r="BQ118" s="25">
        <v>0</v>
      </c>
      <c r="BR118" s="25">
        <v>0</v>
      </c>
      <c r="BS118" s="25">
        <v>0</v>
      </c>
      <c r="BT118" s="25">
        <v>0</v>
      </c>
      <c r="BU118" s="25">
        <v>0</v>
      </c>
      <c r="BV118" s="25">
        <v>0</v>
      </c>
      <c r="BW118" s="25">
        <v>0</v>
      </c>
      <c r="BX118" s="25">
        <v>1</v>
      </c>
      <c r="BY118" s="25">
        <v>0</v>
      </c>
      <c r="BZ118" s="25">
        <v>0</v>
      </c>
      <c r="CA118" s="25">
        <v>0</v>
      </c>
      <c r="CB118" s="25">
        <v>0</v>
      </c>
      <c r="CC118" s="25">
        <v>0</v>
      </c>
      <c r="CD118" s="25">
        <v>0</v>
      </c>
      <c r="CE118" s="25">
        <v>0</v>
      </c>
      <c r="CF118" s="25">
        <v>1</v>
      </c>
      <c r="CG118" s="25">
        <v>0</v>
      </c>
      <c r="CH118" s="25">
        <v>0</v>
      </c>
      <c r="CI118" s="25">
        <v>0</v>
      </c>
      <c r="CJ118" s="25">
        <v>0</v>
      </c>
      <c r="CK118" s="25">
        <v>0</v>
      </c>
      <c r="CL118" s="25">
        <v>0</v>
      </c>
      <c r="CM118" s="25">
        <v>0</v>
      </c>
      <c r="CN118" s="25">
        <v>0</v>
      </c>
      <c r="CO118" s="25">
        <v>0</v>
      </c>
      <c r="CP118" s="25">
        <v>0</v>
      </c>
      <c r="CQ118" s="25">
        <v>0</v>
      </c>
      <c r="CR118" s="25">
        <v>0</v>
      </c>
      <c r="CS118" s="25">
        <v>0</v>
      </c>
      <c r="CT118" s="25">
        <v>0</v>
      </c>
      <c r="CU118" s="25">
        <v>0</v>
      </c>
      <c r="CV118" s="25">
        <v>0</v>
      </c>
      <c r="CW118" s="25">
        <v>0</v>
      </c>
      <c r="CX118" s="25">
        <v>0</v>
      </c>
      <c r="CY118" s="25">
        <v>0</v>
      </c>
      <c r="CZ118" s="25">
        <v>0</v>
      </c>
      <c r="DA118" s="25">
        <v>0</v>
      </c>
      <c r="DB118" s="25">
        <v>0</v>
      </c>
      <c r="DC118" s="25">
        <v>0</v>
      </c>
      <c r="DD118" s="25">
        <v>0</v>
      </c>
      <c r="DE118" s="25">
        <v>0</v>
      </c>
      <c r="DF118" s="25">
        <v>0</v>
      </c>
      <c r="DG118" s="25">
        <v>0</v>
      </c>
      <c r="DH118" s="25">
        <v>0</v>
      </c>
      <c r="DI118" s="25">
        <v>0</v>
      </c>
      <c r="DJ118" s="25">
        <v>0</v>
      </c>
    </row>
    <row r="119" spans="1:114" s="25" customFormat="1" x14ac:dyDescent="0.25">
      <c r="A119" s="25">
        <v>118</v>
      </c>
      <c r="B119" s="1" t="s">
        <v>97</v>
      </c>
      <c r="C119" s="26" t="s">
        <v>190</v>
      </c>
      <c r="D119" t="s">
        <v>1802</v>
      </c>
      <c r="E119" s="25">
        <v>12.8064</v>
      </c>
      <c r="F119" s="25" t="s">
        <v>1538</v>
      </c>
      <c r="G119" s="25" t="s">
        <v>13</v>
      </c>
      <c r="H119" s="25" t="s">
        <v>16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1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5">
        <v>0</v>
      </c>
      <c r="AD119" s="25">
        <v>0</v>
      </c>
      <c r="AE119" s="25">
        <v>0</v>
      </c>
      <c r="AF119" s="25">
        <v>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1</v>
      </c>
      <c r="AP119" s="25">
        <v>0</v>
      </c>
      <c r="AQ119" s="25">
        <v>0</v>
      </c>
      <c r="AR119" s="25">
        <v>0</v>
      </c>
      <c r="AS119" s="25">
        <v>0</v>
      </c>
      <c r="AT119" s="25">
        <v>0</v>
      </c>
      <c r="AU119" s="25">
        <v>0</v>
      </c>
      <c r="AV119" s="25">
        <v>0</v>
      </c>
      <c r="AW119" s="25">
        <v>0</v>
      </c>
      <c r="AX119" s="25">
        <v>0</v>
      </c>
      <c r="AY119" s="25">
        <v>0</v>
      </c>
      <c r="AZ119" s="25">
        <v>0</v>
      </c>
      <c r="BA119" s="25">
        <v>0</v>
      </c>
      <c r="BB119" s="25">
        <v>0</v>
      </c>
      <c r="BC119" s="25">
        <v>0</v>
      </c>
      <c r="BD119" s="25">
        <v>0</v>
      </c>
      <c r="BE119" s="25">
        <v>1</v>
      </c>
      <c r="BF119" s="25">
        <v>0</v>
      </c>
      <c r="BG119" s="25">
        <v>0</v>
      </c>
      <c r="BH119" s="25">
        <v>0</v>
      </c>
      <c r="BI119" s="25">
        <v>0</v>
      </c>
      <c r="BJ119" s="25">
        <v>0</v>
      </c>
      <c r="BK119" s="25">
        <v>0</v>
      </c>
      <c r="BL119" s="25">
        <v>0</v>
      </c>
      <c r="BM119" s="25">
        <v>0</v>
      </c>
      <c r="BN119" s="25">
        <v>0</v>
      </c>
      <c r="BO119" s="25">
        <v>0</v>
      </c>
      <c r="BP119" s="25">
        <v>0</v>
      </c>
      <c r="BQ119" s="25">
        <v>0</v>
      </c>
      <c r="BR119" s="25">
        <v>0</v>
      </c>
      <c r="BS119" s="25">
        <v>0</v>
      </c>
      <c r="BT119" s="25">
        <v>0</v>
      </c>
      <c r="BU119" s="25">
        <v>0</v>
      </c>
      <c r="BV119" s="25">
        <v>0</v>
      </c>
      <c r="BW119" s="25">
        <v>0</v>
      </c>
      <c r="BX119" s="25">
        <v>0</v>
      </c>
      <c r="BY119" s="25">
        <v>0</v>
      </c>
      <c r="BZ119" s="25">
        <v>0</v>
      </c>
      <c r="CA119" s="25">
        <v>0</v>
      </c>
      <c r="CB119" s="25">
        <v>0</v>
      </c>
      <c r="CC119" s="25">
        <v>0</v>
      </c>
      <c r="CD119" s="25">
        <v>0</v>
      </c>
      <c r="CE119" s="25">
        <v>0</v>
      </c>
      <c r="CF119" s="25">
        <v>0</v>
      </c>
      <c r="CG119" s="25">
        <v>0</v>
      </c>
      <c r="CH119" s="25">
        <v>0</v>
      </c>
      <c r="CI119" s="25">
        <v>0</v>
      </c>
      <c r="CJ119" s="25">
        <v>0</v>
      </c>
      <c r="CK119" s="25">
        <v>0</v>
      </c>
      <c r="CL119" s="25">
        <v>1</v>
      </c>
      <c r="CM119" s="25">
        <v>0</v>
      </c>
      <c r="CN119" s="25">
        <v>0</v>
      </c>
      <c r="CO119" s="25">
        <v>0</v>
      </c>
      <c r="CP119" s="25">
        <v>0</v>
      </c>
      <c r="CQ119" s="25">
        <v>0</v>
      </c>
      <c r="CR119" s="25">
        <v>0</v>
      </c>
      <c r="CS119" s="25">
        <v>0</v>
      </c>
      <c r="CT119" s="25">
        <v>0</v>
      </c>
      <c r="CU119" s="25">
        <v>1</v>
      </c>
      <c r="CV119" s="25">
        <v>0</v>
      </c>
      <c r="CW119" s="25">
        <v>0</v>
      </c>
      <c r="CX119" s="25">
        <v>0</v>
      </c>
      <c r="CY119" s="25">
        <v>0</v>
      </c>
      <c r="CZ119" s="25">
        <v>0</v>
      </c>
      <c r="DA119" s="25">
        <v>0</v>
      </c>
      <c r="DB119" s="25">
        <v>0</v>
      </c>
      <c r="DC119" s="25">
        <v>0</v>
      </c>
      <c r="DD119" s="25">
        <v>0</v>
      </c>
      <c r="DE119" s="25">
        <v>0</v>
      </c>
      <c r="DF119" s="25">
        <v>1</v>
      </c>
      <c r="DG119" s="25">
        <v>0</v>
      </c>
      <c r="DH119" s="25">
        <v>0</v>
      </c>
      <c r="DI119" s="25">
        <v>0</v>
      </c>
      <c r="DJ119" s="25">
        <v>0</v>
      </c>
    </row>
    <row r="120" spans="1:114" s="25" customFormat="1" x14ac:dyDescent="0.25">
      <c r="A120" s="25">
        <v>119</v>
      </c>
      <c r="B120" t="s">
        <v>1438</v>
      </c>
      <c r="C120" s="26" t="s">
        <v>1076</v>
      </c>
      <c r="D120" t="s">
        <v>1798</v>
      </c>
      <c r="E120" s="25">
        <v>5.4967199999999998</v>
      </c>
      <c r="F120" s="25" t="s">
        <v>1538</v>
      </c>
      <c r="G120" s="25" t="s">
        <v>14</v>
      </c>
      <c r="H120" s="25" t="s">
        <v>18</v>
      </c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0</v>
      </c>
      <c r="P120" s="25">
        <v>0</v>
      </c>
      <c r="Q120" s="25">
        <v>0</v>
      </c>
      <c r="R120" s="25">
        <v>0</v>
      </c>
      <c r="S120" s="25">
        <v>0</v>
      </c>
      <c r="T120" s="25">
        <v>0</v>
      </c>
      <c r="U120" s="25">
        <v>0</v>
      </c>
      <c r="V120" s="25">
        <v>0</v>
      </c>
      <c r="W120" s="25">
        <v>0</v>
      </c>
      <c r="X120" s="25">
        <v>0</v>
      </c>
      <c r="Y120" s="25">
        <v>0</v>
      </c>
      <c r="Z120" s="25">
        <v>0</v>
      </c>
      <c r="AA120" s="25">
        <v>0</v>
      </c>
      <c r="AB120" s="25">
        <v>0</v>
      </c>
      <c r="AC120" s="25">
        <v>0</v>
      </c>
      <c r="AD120" s="25">
        <v>0</v>
      </c>
      <c r="AE120" s="25">
        <v>0</v>
      </c>
      <c r="AF120" s="25">
        <v>0</v>
      </c>
      <c r="AG120" s="25">
        <v>0</v>
      </c>
      <c r="AH120" s="25">
        <v>1</v>
      </c>
      <c r="AI120" s="25">
        <v>0</v>
      </c>
      <c r="AJ120" s="25">
        <v>0</v>
      </c>
      <c r="AK120" s="25">
        <v>0</v>
      </c>
      <c r="AL120" s="25">
        <v>0</v>
      </c>
      <c r="AM120" s="25">
        <v>0</v>
      </c>
      <c r="AN120" s="25">
        <v>0</v>
      </c>
      <c r="AO120" s="25">
        <v>0</v>
      </c>
      <c r="AP120" s="25">
        <v>0</v>
      </c>
      <c r="AQ120" s="25">
        <v>0</v>
      </c>
      <c r="AR120" s="25">
        <v>0</v>
      </c>
      <c r="AS120" s="25">
        <v>0</v>
      </c>
      <c r="AT120" s="25">
        <v>0</v>
      </c>
      <c r="AU120" s="25">
        <v>0</v>
      </c>
      <c r="AV120" s="25">
        <v>0</v>
      </c>
      <c r="AW120" s="25">
        <v>0</v>
      </c>
      <c r="AX120" s="25">
        <v>0</v>
      </c>
      <c r="AY120" s="25">
        <v>0</v>
      </c>
      <c r="AZ120" s="25">
        <v>0</v>
      </c>
      <c r="BA120" s="25">
        <v>0</v>
      </c>
      <c r="BB120" s="25">
        <v>0</v>
      </c>
      <c r="BC120" s="25">
        <v>0</v>
      </c>
      <c r="BD120" s="25">
        <v>0</v>
      </c>
      <c r="BE120" s="25">
        <v>0</v>
      </c>
      <c r="BF120" s="25">
        <v>0</v>
      </c>
      <c r="BG120" s="25">
        <v>0</v>
      </c>
      <c r="BH120" s="25">
        <v>0</v>
      </c>
      <c r="BI120" s="25">
        <v>0</v>
      </c>
      <c r="BJ120" s="25">
        <v>0</v>
      </c>
      <c r="BK120" s="25">
        <v>0</v>
      </c>
      <c r="BL120" s="25">
        <v>0</v>
      </c>
      <c r="BM120" s="25">
        <v>0</v>
      </c>
      <c r="BN120" s="25">
        <v>0</v>
      </c>
      <c r="BO120" s="25">
        <v>0</v>
      </c>
      <c r="BP120" s="25">
        <v>0</v>
      </c>
      <c r="BQ120" s="25">
        <v>0</v>
      </c>
      <c r="BR120" s="25">
        <v>0</v>
      </c>
      <c r="BS120" s="25">
        <v>0</v>
      </c>
      <c r="BT120" s="25">
        <v>0</v>
      </c>
      <c r="BU120" s="25">
        <v>0</v>
      </c>
      <c r="BV120" s="25">
        <v>0</v>
      </c>
      <c r="BW120" s="25">
        <v>0</v>
      </c>
      <c r="BX120" s="25">
        <v>0</v>
      </c>
      <c r="BY120" s="25">
        <v>0</v>
      </c>
      <c r="BZ120" s="25">
        <v>0</v>
      </c>
      <c r="CA120" s="25">
        <v>0</v>
      </c>
      <c r="CB120" s="25">
        <v>0</v>
      </c>
      <c r="CC120" s="25">
        <v>0</v>
      </c>
      <c r="CD120" s="25">
        <v>0</v>
      </c>
      <c r="CE120" s="25">
        <v>0</v>
      </c>
      <c r="CF120" s="25">
        <v>0</v>
      </c>
      <c r="CG120" s="25">
        <v>0</v>
      </c>
      <c r="CH120" s="25">
        <v>0</v>
      </c>
      <c r="CI120" s="25">
        <v>0</v>
      </c>
      <c r="CJ120" s="25">
        <v>0</v>
      </c>
      <c r="CK120" s="25">
        <v>0</v>
      </c>
      <c r="CL120" s="25">
        <v>0</v>
      </c>
      <c r="CM120" s="25">
        <v>0</v>
      </c>
      <c r="CN120" s="25">
        <v>0</v>
      </c>
      <c r="CO120" s="25">
        <v>0</v>
      </c>
      <c r="CP120" s="25">
        <v>0</v>
      </c>
      <c r="CQ120" s="25">
        <v>0</v>
      </c>
      <c r="CR120" s="25">
        <v>0</v>
      </c>
      <c r="CS120" s="25">
        <v>0</v>
      </c>
      <c r="CT120" s="25">
        <v>0</v>
      </c>
      <c r="CU120" s="25">
        <v>0</v>
      </c>
      <c r="CV120" s="25">
        <v>0</v>
      </c>
      <c r="CW120" s="25">
        <v>0</v>
      </c>
      <c r="CX120" s="25">
        <v>0</v>
      </c>
      <c r="CY120" s="25">
        <v>0</v>
      </c>
      <c r="CZ120" s="25">
        <v>0</v>
      </c>
      <c r="DA120" s="25">
        <v>0</v>
      </c>
      <c r="DB120" s="25">
        <v>0</v>
      </c>
      <c r="DC120" s="25">
        <v>0</v>
      </c>
      <c r="DD120" s="25">
        <v>0</v>
      </c>
      <c r="DE120" s="25">
        <v>0</v>
      </c>
      <c r="DF120" s="25">
        <v>0</v>
      </c>
      <c r="DG120" s="25">
        <v>0</v>
      </c>
      <c r="DH120" s="25">
        <v>0</v>
      </c>
      <c r="DI120" s="25">
        <v>0</v>
      </c>
      <c r="DJ120" s="25">
        <v>0</v>
      </c>
    </row>
    <row r="121" spans="1:114" s="25" customFormat="1" x14ac:dyDescent="0.25">
      <c r="A121" s="25">
        <v>120</v>
      </c>
      <c r="B121" t="s">
        <v>1529</v>
      </c>
      <c r="C121" s="26" t="s">
        <v>790</v>
      </c>
      <c r="D121" t="s">
        <v>1453</v>
      </c>
      <c r="E121" s="25">
        <v>9.9005799999999997</v>
      </c>
      <c r="F121" s="25" t="s">
        <v>1536</v>
      </c>
      <c r="G121" s="25" t="s">
        <v>14</v>
      </c>
      <c r="H121" s="25" t="s">
        <v>18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0</v>
      </c>
      <c r="Q121" s="25">
        <v>0</v>
      </c>
      <c r="R121" s="25">
        <v>0</v>
      </c>
      <c r="S121" s="25">
        <v>0</v>
      </c>
      <c r="T121" s="25">
        <v>0</v>
      </c>
      <c r="U121" s="25">
        <v>0</v>
      </c>
      <c r="V121" s="25">
        <v>0</v>
      </c>
      <c r="W121" s="25">
        <v>0</v>
      </c>
      <c r="X121" s="25">
        <v>0</v>
      </c>
      <c r="Y121" s="25">
        <v>0</v>
      </c>
      <c r="Z121" s="25">
        <v>0</v>
      </c>
      <c r="AA121" s="25">
        <v>0</v>
      </c>
      <c r="AB121" s="25">
        <v>0</v>
      </c>
      <c r="AC121" s="25">
        <v>0</v>
      </c>
      <c r="AD121" s="25">
        <v>0</v>
      </c>
      <c r="AE121" s="25">
        <v>0</v>
      </c>
      <c r="AF121" s="25">
        <v>0</v>
      </c>
      <c r="AG121" s="25">
        <v>0</v>
      </c>
      <c r="AH121" s="25">
        <v>0</v>
      </c>
      <c r="AI121" s="25">
        <v>0</v>
      </c>
      <c r="AJ121" s="25">
        <v>0</v>
      </c>
      <c r="AK121" s="25">
        <v>0</v>
      </c>
      <c r="AL121" s="25">
        <v>0</v>
      </c>
      <c r="AM121" s="25">
        <v>0</v>
      </c>
      <c r="AN121" s="25">
        <v>0</v>
      </c>
      <c r="AO121" s="25">
        <v>0</v>
      </c>
      <c r="AP121" s="25">
        <v>0</v>
      </c>
      <c r="AQ121" s="25">
        <v>0</v>
      </c>
      <c r="AR121" s="25">
        <v>0</v>
      </c>
      <c r="AS121" s="25">
        <v>0</v>
      </c>
      <c r="AT121" s="25">
        <v>0</v>
      </c>
      <c r="AU121" s="25">
        <v>0</v>
      </c>
      <c r="AV121" s="25">
        <v>0</v>
      </c>
      <c r="AW121" s="25">
        <v>0</v>
      </c>
      <c r="AX121" s="25">
        <v>0</v>
      </c>
      <c r="AY121" s="25">
        <v>0</v>
      </c>
      <c r="AZ121" s="25">
        <v>0</v>
      </c>
      <c r="BA121" s="25">
        <v>0</v>
      </c>
      <c r="BB121" s="25">
        <v>0</v>
      </c>
      <c r="BC121" s="25">
        <v>0</v>
      </c>
      <c r="BD121" s="25">
        <v>0</v>
      </c>
      <c r="BE121" s="25">
        <v>0</v>
      </c>
      <c r="BF121" s="25">
        <v>0</v>
      </c>
      <c r="BG121" s="25">
        <v>0</v>
      </c>
      <c r="BH121" s="25">
        <v>0</v>
      </c>
      <c r="BI121" s="25">
        <v>0</v>
      </c>
      <c r="BJ121" s="25">
        <v>0</v>
      </c>
      <c r="BK121" s="25">
        <v>0</v>
      </c>
      <c r="BL121" s="25">
        <v>0</v>
      </c>
      <c r="BM121" s="25">
        <v>0</v>
      </c>
      <c r="BN121" s="25">
        <v>0</v>
      </c>
      <c r="BO121" s="25">
        <v>0</v>
      </c>
      <c r="BP121" s="25">
        <v>0</v>
      </c>
      <c r="BQ121" s="25">
        <v>0</v>
      </c>
      <c r="BR121" s="25">
        <v>0</v>
      </c>
      <c r="BS121" s="25">
        <v>0</v>
      </c>
      <c r="BT121" s="25">
        <v>0</v>
      </c>
      <c r="BU121" s="25">
        <v>0</v>
      </c>
      <c r="BV121" s="25">
        <v>0</v>
      </c>
      <c r="BW121" s="25">
        <v>0</v>
      </c>
      <c r="BX121" s="25">
        <v>1</v>
      </c>
      <c r="BY121" s="25">
        <v>0</v>
      </c>
      <c r="BZ121" s="25">
        <v>0</v>
      </c>
      <c r="CA121" s="25">
        <v>0</v>
      </c>
      <c r="CB121" s="25">
        <v>0</v>
      </c>
      <c r="CC121" s="25">
        <v>0</v>
      </c>
      <c r="CD121" s="25">
        <v>0</v>
      </c>
      <c r="CE121" s="25">
        <v>0</v>
      </c>
      <c r="CF121" s="25">
        <v>0</v>
      </c>
      <c r="CG121" s="25">
        <v>0</v>
      </c>
      <c r="CH121" s="25">
        <v>0</v>
      </c>
      <c r="CI121" s="25">
        <v>0</v>
      </c>
      <c r="CJ121" s="25">
        <v>0</v>
      </c>
      <c r="CK121" s="25">
        <v>0</v>
      </c>
      <c r="CL121" s="25">
        <v>0</v>
      </c>
      <c r="CM121" s="25">
        <v>0</v>
      </c>
      <c r="CN121" s="25">
        <v>0</v>
      </c>
      <c r="CO121" s="25">
        <v>0</v>
      </c>
      <c r="CP121" s="25">
        <v>0</v>
      </c>
      <c r="CQ121" s="25">
        <v>0</v>
      </c>
      <c r="CR121" s="25">
        <v>0</v>
      </c>
      <c r="CS121" s="25">
        <v>0</v>
      </c>
      <c r="CT121" s="25">
        <v>0</v>
      </c>
      <c r="CU121" s="25">
        <v>0</v>
      </c>
      <c r="CV121" s="25">
        <v>0</v>
      </c>
      <c r="CW121" s="25">
        <v>0</v>
      </c>
      <c r="CX121" s="25">
        <v>0</v>
      </c>
      <c r="CY121" s="25">
        <v>0</v>
      </c>
      <c r="CZ121" s="25">
        <v>0</v>
      </c>
      <c r="DA121" s="25">
        <v>0</v>
      </c>
      <c r="DB121" s="25">
        <v>0</v>
      </c>
      <c r="DC121" s="25">
        <v>0</v>
      </c>
      <c r="DD121" s="25">
        <v>0</v>
      </c>
      <c r="DE121" s="25">
        <v>0</v>
      </c>
      <c r="DF121" s="25">
        <v>0</v>
      </c>
      <c r="DG121" s="25">
        <v>0</v>
      </c>
      <c r="DH121" s="25">
        <v>0</v>
      </c>
      <c r="DI121" s="25">
        <v>0</v>
      </c>
      <c r="DJ121" s="25">
        <v>0</v>
      </c>
    </row>
    <row r="122" spans="1:114" s="25" customFormat="1" x14ac:dyDescent="0.25">
      <c r="A122" s="25">
        <v>121</v>
      </c>
      <c r="B122" s="1" t="s">
        <v>187</v>
      </c>
      <c r="C122" s="26" t="s">
        <v>210</v>
      </c>
      <c r="D122" t="s">
        <v>1802</v>
      </c>
      <c r="E122" s="25">
        <v>10.378500000000001</v>
      </c>
      <c r="F122" s="25" t="s">
        <v>1538</v>
      </c>
      <c r="G122" s="25" t="s">
        <v>13</v>
      </c>
      <c r="H122" s="25" t="s">
        <v>16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0</v>
      </c>
      <c r="AB122" s="25">
        <v>0</v>
      </c>
      <c r="AC122" s="25">
        <v>0</v>
      </c>
      <c r="AD122" s="25">
        <v>0</v>
      </c>
      <c r="AE122" s="25">
        <v>0</v>
      </c>
      <c r="AF122" s="25">
        <v>0</v>
      </c>
      <c r="AG122" s="25">
        <v>0</v>
      </c>
      <c r="AH122" s="25">
        <v>0</v>
      </c>
      <c r="AI122" s="25">
        <v>0</v>
      </c>
      <c r="AJ122" s="25">
        <v>0</v>
      </c>
      <c r="AK122" s="25">
        <v>0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  <c r="AR122" s="25">
        <v>0</v>
      </c>
      <c r="AS122" s="25">
        <v>0</v>
      </c>
      <c r="AT122" s="25">
        <v>0</v>
      </c>
      <c r="AU122" s="25">
        <v>0</v>
      </c>
      <c r="AV122" s="25">
        <v>0</v>
      </c>
      <c r="AW122" s="25">
        <v>0</v>
      </c>
      <c r="AX122" s="25">
        <v>0</v>
      </c>
      <c r="AY122" s="25">
        <v>0</v>
      </c>
      <c r="AZ122" s="25">
        <v>0</v>
      </c>
      <c r="BA122" s="25">
        <v>0</v>
      </c>
      <c r="BB122" s="25">
        <v>0</v>
      </c>
      <c r="BC122" s="25">
        <v>0</v>
      </c>
      <c r="BD122" s="25">
        <v>0</v>
      </c>
      <c r="BE122" s="25">
        <v>0</v>
      </c>
      <c r="BF122" s="25">
        <v>0</v>
      </c>
      <c r="BG122" s="25">
        <v>0</v>
      </c>
      <c r="BH122" s="25">
        <v>1</v>
      </c>
      <c r="BI122" s="25">
        <v>0</v>
      </c>
      <c r="BJ122" s="25">
        <v>0</v>
      </c>
      <c r="BK122" s="25">
        <v>0</v>
      </c>
      <c r="BL122" s="25">
        <v>0</v>
      </c>
      <c r="BM122" s="25">
        <v>0</v>
      </c>
      <c r="BN122" s="25">
        <v>0</v>
      </c>
      <c r="BO122" s="25">
        <v>0</v>
      </c>
      <c r="BP122" s="25">
        <v>0</v>
      </c>
      <c r="BQ122" s="25">
        <v>0</v>
      </c>
      <c r="BR122" s="25">
        <v>0</v>
      </c>
      <c r="BS122" s="25">
        <v>0</v>
      </c>
      <c r="BT122" s="25">
        <v>0</v>
      </c>
      <c r="BU122" s="25">
        <v>0</v>
      </c>
      <c r="BV122" s="25">
        <v>0</v>
      </c>
      <c r="BW122" s="25">
        <v>1</v>
      </c>
      <c r="BX122" s="25">
        <v>0</v>
      </c>
      <c r="BY122" s="25">
        <v>0</v>
      </c>
      <c r="BZ122" s="25">
        <v>0</v>
      </c>
      <c r="CA122" s="25">
        <v>0</v>
      </c>
      <c r="CB122" s="25">
        <v>0</v>
      </c>
      <c r="CC122" s="25">
        <v>0</v>
      </c>
      <c r="CD122" s="25">
        <v>0</v>
      </c>
      <c r="CE122" s="25">
        <v>0</v>
      </c>
      <c r="CF122" s="25">
        <v>0</v>
      </c>
      <c r="CG122" s="25">
        <v>0</v>
      </c>
      <c r="CH122" s="25">
        <v>0</v>
      </c>
      <c r="CI122" s="25">
        <v>0</v>
      </c>
      <c r="CJ122" s="25">
        <v>0</v>
      </c>
      <c r="CK122" s="25">
        <v>1</v>
      </c>
      <c r="CL122" s="25">
        <v>0</v>
      </c>
      <c r="CM122" s="25">
        <v>0</v>
      </c>
      <c r="CN122" s="25">
        <v>0</v>
      </c>
      <c r="CO122" s="25">
        <v>0</v>
      </c>
      <c r="CP122" s="25">
        <v>0</v>
      </c>
      <c r="CQ122" s="25">
        <v>0</v>
      </c>
      <c r="CR122" s="25">
        <v>0</v>
      </c>
      <c r="CS122" s="25">
        <v>0</v>
      </c>
      <c r="CT122" s="25">
        <v>0</v>
      </c>
      <c r="CU122" s="25">
        <v>0</v>
      </c>
      <c r="CV122" s="25">
        <v>0</v>
      </c>
      <c r="CW122" s="25">
        <v>0</v>
      </c>
      <c r="CX122" s="25">
        <v>0</v>
      </c>
      <c r="CY122" s="25">
        <v>0</v>
      </c>
      <c r="CZ122" s="25">
        <v>0</v>
      </c>
      <c r="DA122" s="25">
        <v>0</v>
      </c>
      <c r="DB122" s="25">
        <v>0</v>
      </c>
      <c r="DC122" s="25">
        <v>0</v>
      </c>
      <c r="DD122" s="25">
        <v>0</v>
      </c>
      <c r="DE122" s="25">
        <v>0</v>
      </c>
      <c r="DF122" s="25">
        <v>0</v>
      </c>
      <c r="DG122" s="25">
        <v>0</v>
      </c>
      <c r="DH122" s="25">
        <v>0</v>
      </c>
      <c r="DI122" s="25">
        <v>0</v>
      </c>
      <c r="DJ122" s="25">
        <v>0</v>
      </c>
    </row>
    <row r="123" spans="1:114" s="25" customFormat="1" x14ac:dyDescent="0.25">
      <c r="A123" s="25">
        <v>122</v>
      </c>
      <c r="B123" s="1" t="s">
        <v>187</v>
      </c>
      <c r="C123" s="26" t="s">
        <v>210</v>
      </c>
      <c r="D123" t="s">
        <v>1802</v>
      </c>
      <c r="E123" s="25">
        <v>10.378500000000001</v>
      </c>
      <c r="F123" s="25" t="s">
        <v>1538</v>
      </c>
      <c r="G123" s="25" t="s">
        <v>14</v>
      </c>
      <c r="H123" s="25" t="s">
        <v>17</v>
      </c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0</v>
      </c>
      <c r="P123" s="25">
        <v>0</v>
      </c>
      <c r="Q123" s="25">
        <v>0</v>
      </c>
      <c r="R123" s="25">
        <v>0</v>
      </c>
      <c r="S123" s="25">
        <v>0</v>
      </c>
      <c r="T123" s="25">
        <v>0</v>
      </c>
      <c r="U123" s="25">
        <v>0</v>
      </c>
      <c r="V123" s="25">
        <v>0</v>
      </c>
      <c r="W123" s="25">
        <v>0</v>
      </c>
      <c r="X123" s="25">
        <v>1</v>
      </c>
      <c r="Y123" s="25">
        <v>0</v>
      </c>
      <c r="Z123" s="25">
        <v>0</v>
      </c>
      <c r="AA123" s="25">
        <v>0</v>
      </c>
      <c r="AB123" s="25">
        <v>0</v>
      </c>
      <c r="AC123" s="25">
        <v>0</v>
      </c>
      <c r="AD123" s="25">
        <v>0</v>
      </c>
      <c r="AE123" s="25">
        <v>0</v>
      </c>
      <c r="AF123" s="25">
        <v>0</v>
      </c>
      <c r="AG123" s="25">
        <v>0</v>
      </c>
      <c r="AH123" s="25">
        <v>0</v>
      </c>
      <c r="AI123" s="25">
        <v>0</v>
      </c>
      <c r="AJ123" s="25">
        <v>0</v>
      </c>
      <c r="AK123" s="25">
        <v>0</v>
      </c>
      <c r="AL123" s="25">
        <v>0</v>
      </c>
      <c r="AM123" s="25">
        <v>0</v>
      </c>
      <c r="AN123" s="25">
        <v>0</v>
      </c>
      <c r="AO123" s="25">
        <v>0</v>
      </c>
      <c r="AP123" s="25">
        <v>0</v>
      </c>
      <c r="AQ123" s="25">
        <v>0</v>
      </c>
      <c r="AR123" s="25">
        <v>0</v>
      </c>
      <c r="AS123" s="25">
        <v>0</v>
      </c>
      <c r="AT123" s="25">
        <v>0</v>
      </c>
      <c r="AU123" s="25">
        <v>0</v>
      </c>
      <c r="AV123" s="25">
        <v>0</v>
      </c>
      <c r="AW123" s="25">
        <v>0</v>
      </c>
      <c r="AX123" s="25">
        <v>0</v>
      </c>
      <c r="AY123" s="25">
        <v>0</v>
      </c>
      <c r="AZ123" s="25">
        <v>0</v>
      </c>
      <c r="BA123" s="25">
        <v>0</v>
      </c>
      <c r="BB123" s="25">
        <v>0</v>
      </c>
      <c r="BC123" s="25">
        <v>0</v>
      </c>
      <c r="BD123" s="25">
        <v>0</v>
      </c>
      <c r="BE123" s="25">
        <v>0</v>
      </c>
      <c r="BF123" s="25">
        <v>0</v>
      </c>
      <c r="BG123" s="25">
        <v>0</v>
      </c>
      <c r="BH123" s="25">
        <v>0</v>
      </c>
      <c r="BI123" s="25">
        <v>1</v>
      </c>
      <c r="BJ123" s="25">
        <v>0</v>
      </c>
      <c r="BK123" s="25">
        <v>0</v>
      </c>
      <c r="BL123" s="25">
        <v>0</v>
      </c>
      <c r="BM123" s="25">
        <v>0</v>
      </c>
      <c r="BN123" s="25">
        <v>0</v>
      </c>
      <c r="BO123" s="25">
        <v>0</v>
      </c>
      <c r="BP123" s="25">
        <v>0</v>
      </c>
      <c r="BQ123" s="25">
        <v>0</v>
      </c>
      <c r="BR123" s="25">
        <v>0</v>
      </c>
      <c r="BS123" s="25">
        <v>0</v>
      </c>
      <c r="BT123" s="25">
        <v>0</v>
      </c>
      <c r="BU123" s="25">
        <v>0</v>
      </c>
      <c r="BV123" s="25">
        <v>0</v>
      </c>
      <c r="BW123" s="25">
        <v>1</v>
      </c>
      <c r="BX123" s="25">
        <v>0</v>
      </c>
      <c r="BY123" s="25">
        <v>0</v>
      </c>
      <c r="BZ123" s="25">
        <v>0</v>
      </c>
      <c r="CA123" s="25">
        <v>0</v>
      </c>
      <c r="CB123" s="25">
        <v>0</v>
      </c>
      <c r="CC123" s="25">
        <v>0</v>
      </c>
      <c r="CD123" s="25">
        <v>0</v>
      </c>
      <c r="CE123" s="25">
        <v>0</v>
      </c>
      <c r="CF123" s="25">
        <v>0</v>
      </c>
      <c r="CG123" s="25">
        <v>0</v>
      </c>
      <c r="CH123" s="25">
        <v>0</v>
      </c>
      <c r="CI123" s="25">
        <v>0</v>
      </c>
      <c r="CJ123" s="25">
        <v>0</v>
      </c>
      <c r="CK123" s="25">
        <v>0</v>
      </c>
      <c r="CL123" s="25">
        <v>0</v>
      </c>
      <c r="CM123" s="25">
        <v>0</v>
      </c>
      <c r="CN123" s="25">
        <v>0</v>
      </c>
      <c r="CO123" s="25">
        <v>0</v>
      </c>
      <c r="CP123" s="25">
        <v>0</v>
      </c>
      <c r="CQ123" s="25">
        <v>0</v>
      </c>
      <c r="CR123" s="25">
        <v>0</v>
      </c>
      <c r="CS123" s="25">
        <v>0</v>
      </c>
      <c r="CT123" s="25">
        <v>0</v>
      </c>
      <c r="CU123" s="25">
        <v>0</v>
      </c>
      <c r="CV123" s="25">
        <v>0</v>
      </c>
      <c r="CW123" s="25">
        <v>0</v>
      </c>
      <c r="CX123" s="25">
        <v>0</v>
      </c>
      <c r="CY123" s="25">
        <v>0</v>
      </c>
      <c r="CZ123" s="25">
        <v>0</v>
      </c>
      <c r="DA123" s="25">
        <v>0</v>
      </c>
      <c r="DB123" s="25">
        <v>0</v>
      </c>
      <c r="DC123" s="25">
        <v>0</v>
      </c>
      <c r="DD123" s="25">
        <v>0</v>
      </c>
      <c r="DE123" s="25">
        <v>0</v>
      </c>
      <c r="DF123" s="25">
        <v>0</v>
      </c>
      <c r="DG123" s="25">
        <v>0</v>
      </c>
      <c r="DH123" s="25">
        <v>0</v>
      </c>
      <c r="DI123" s="25">
        <v>0</v>
      </c>
      <c r="DJ123" s="25">
        <v>0</v>
      </c>
    </row>
    <row r="124" spans="1:114" s="25" customFormat="1" x14ac:dyDescent="0.25">
      <c r="A124" s="25">
        <v>123</v>
      </c>
      <c r="B124" s="1" t="s">
        <v>187</v>
      </c>
      <c r="C124" s="26" t="s">
        <v>210</v>
      </c>
      <c r="D124" t="s">
        <v>1802</v>
      </c>
      <c r="E124" s="25">
        <v>10.434699999999999</v>
      </c>
      <c r="F124" s="25" t="s">
        <v>1538</v>
      </c>
      <c r="G124" s="25" t="s">
        <v>13</v>
      </c>
      <c r="H124" s="25" t="s">
        <v>17</v>
      </c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0</v>
      </c>
      <c r="P124" s="25">
        <v>0</v>
      </c>
      <c r="Q124" s="25">
        <v>0</v>
      </c>
      <c r="R124" s="25">
        <v>0</v>
      </c>
      <c r="S124" s="25">
        <v>0</v>
      </c>
      <c r="T124" s="25">
        <v>0</v>
      </c>
      <c r="U124" s="25">
        <v>0</v>
      </c>
      <c r="V124" s="25">
        <v>0</v>
      </c>
      <c r="W124" s="25">
        <v>0</v>
      </c>
      <c r="X124" s="25">
        <v>1</v>
      </c>
      <c r="Y124" s="25">
        <v>0</v>
      </c>
      <c r="Z124" s="25">
        <v>0</v>
      </c>
      <c r="AA124" s="25">
        <v>0</v>
      </c>
      <c r="AB124" s="25">
        <v>0</v>
      </c>
      <c r="AC124" s="25">
        <v>0</v>
      </c>
      <c r="AD124" s="25">
        <v>0</v>
      </c>
      <c r="AE124" s="25">
        <v>0</v>
      </c>
      <c r="AF124" s="25">
        <v>0</v>
      </c>
      <c r="AG124" s="25">
        <v>0</v>
      </c>
      <c r="AH124" s="25">
        <v>0</v>
      </c>
      <c r="AI124" s="25">
        <v>0</v>
      </c>
      <c r="AJ124" s="25">
        <v>0</v>
      </c>
      <c r="AK124" s="25">
        <v>0</v>
      </c>
      <c r="AL124" s="25">
        <v>0</v>
      </c>
      <c r="AM124" s="25">
        <v>0</v>
      </c>
      <c r="AN124" s="25">
        <v>0</v>
      </c>
      <c r="AO124" s="25">
        <v>1</v>
      </c>
      <c r="AP124" s="25">
        <v>0</v>
      </c>
      <c r="AQ124" s="25">
        <v>0</v>
      </c>
      <c r="AR124" s="25">
        <v>0</v>
      </c>
      <c r="AS124" s="25">
        <v>0</v>
      </c>
      <c r="AT124" s="25">
        <v>0</v>
      </c>
      <c r="AU124" s="25">
        <v>0</v>
      </c>
      <c r="AV124" s="25">
        <v>0</v>
      </c>
      <c r="AW124" s="25">
        <v>0</v>
      </c>
      <c r="AX124" s="25">
        <v>0</v>
      </c>
      <c r="AY124" s="25">
        <v>0</v>
      </c>
      <c r="AZ124" s="25">
        <v>0</v>
      </c>
      <c r="BA124" s="25">
        <v>0</v>
      </c>
      <c r="BB124" s="25">
        <v>0</v>
      </c>
      <c r="BC124" s="25">
        <v>0</v>
      </c>
      <c r="BD124" s="25">
        <v>0</v>
      </c>
      <c r="BE124" s="25">
        <v>0</v>
      </c>
      <c r="BF124" s="25">
        <v>0</v>
      </c>
      <c r="BG124" s="25">
        <v>0</v>
      </c>
      <c r="BH124" s="25">
        <v>0</v>
      </c>
      <c r="BI124" s="25">
        <v>0</v>
      </c>
      <c r="BJ124" s="25">
        <v>1</v>
      </c>
      <c r="BK124" s="25">
        <v>0</v>
      </c>
      <c r="BL124" s="25">
        <v>0</v>
      </c>
      <c r="BM124" s="25">
        <v>0</v>
      </c>
      <c r="BN124" s="25">
        <v>0</v>
      </c>
      <c r="BO124" s="25">
        <v>0</v>
      </c>
      <c r="BP124" s="25">
        <v>0</v>
      </c>
      <c r="BQ124" s="25">
        <v>0</v>
      </c>
      <c r="BR124" s="25">
        <v>0</v>
      </c>
      <c r="BS124" s="25">
        <v>0</v>
      </c>
      <c r="BT124" s="25">
        <v>0</v>
      </c>
      <c r="BU124" s="25">
        <v>0</v>
      </c>
      <c r="BV124" s="25">
        <v>0</v>
      </c>
      <c r="BW124" s="25">
        <v>1</v>
      </c>
      <c r="BX124" s="25">
        <v>0</v>
      </c>
      <c r="BY124" s="25">
        <v>0</v>
      </c>
      <c r="BZ124" s="25">
        <v>0</v>
      </c>
      <c r="CA124" s="25">
        <v>0</v>
      </c>
      <c r="CB124" s="25">
        <v>0</v>
      </c>
      <c r="CC124" s="25">
        <v>0</v>
      </c>
      <c r="CD124" s="25">
        <v>0</v>
      </c>
      <c r="CE124" s="25">
        <v>0</v>
      </c>
      <c r="CF124" s="25">
        <v>0</v>
      </c>
      <c r="CG124" s="25">
        <v>0</v>
      </c>
      <c r="CH124" s="25">
        <v>0</v>
      </c>
      <c r="CI124" s="25">
        <v>1</v>
      </c>
      <c r="CJ124" s="25">
        <v>0</v>
      </c>
      <c r="CK124" s="25">
        <v>0</v>
      </c>
      <c r="CL124" s="25">
        <v>0</v>
      </c>
      <c r="CM124" s="25">
        <v>0</v>
      </c>
      <c r="CN124" s="25">
        <v>0</v>
      </c>
      <c r="CO124" s="25">
        <v>0</v>
      </c>
      <c r="CP124" s="25">
        <v>0</v>
      </c>
      <c r="CQ124" s="25">
        <v>0</v>
      </c>
      <c r="CR124" s="25">
        <v>0</v>
      </c>
      <c r="CS124" s="25">
        <v>0</v>
      </c>
      <c r="CT124" s="25">
        <v>0</v>
      </c>
      <c r="CU124" s="25">
        <v>0</v>
      </c>
      <c r="CV124" s="25">
        <v>0</v>
      </c>
      <c r="CW124" s="25">
        <v>0</v>
      </c>
      <c r="CX124" s="25">
        <v>0</v>
      </c>
      <c r="CY124" s="25">
        <v>0</v>
      </c>
      <c r="CZ124" s="25">
        <v>0</v>
      </c>
      <c r="DA124" s="25">
        <v>0</v>
      </c>
      <c r="DB124" s="25">
        <v>0</v>
      </c>
      <c r="DC124" s="25">
        <v>0</v>
      </c>
      <c r="DD124" s="25">
        <v>0</v>
      </c>
      <c r="DE124" s="25">
        <v>0</v>
      </c>
      <c r="DF124" s="25">
        <v>0</v>
      </c>
      <c r="DG124" s="25">
        <v>1</v>
      </c>
      <c r="DH124" s="25">
        <v>0</v>
      </c>
      <c r="DI124" s="25">
        <v>1</v>
      </c>
      <c r="DJ124" s="25">
        <v>0</v>
      </c>
    </row>
    <row r="125" spans="1:114" s="25" customFormat="1" x14ac:dyDescent="0.25">
      <c r="A125" s="25">
        <v>124</v>
      </c>
      <c r="B125" t="s">
        <v>97</v>
      </c>
      <c r="C125" s="26" t="s">
        <v>119</v>
      </c>
      <c r="D125" t="s">
        <v>1802</v>
      </c>
      <c r="E125" s="25">
        <v>11.742599999999999</v>
      </c>
      <c r="F125" s="25" t="s">
        <v>1538</v>
      </c>
      <c r="G125" s="25" t="s">
        <v>14</v>
      </c>
      <c r="H125" s="25" t="s">
        <v>17</v>
      </c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0</v>
      </c>
      <c r="P125" s="25">
        <v>0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0</v>
      </c>
      <c r="AA125" s="25">
        <v>1</v>
      </c>
      <c r="AB125" s="25">
        <v>0</v>
      </c>
      <c r="AC125" s="25">
        <v>0</v>
      </c>
      <c r="AD125" s="25">
        <v>0</v>
      </c>
      <c r="AE125" s="25">
        <v>0</v>
      </c>
      <c r="AF125" s="25">
        <v>0</v>
      </c>
      <c r="AG125" s="25">
        <v>0</v>
      </c>
      <c r="AH125" s="25">
        <v>1</v>
      </c>
      <c r="AI125" s="25">
        <v>0</v>
      </c>
      <c r="AJ125" s="25">
        <v>1</v>
      </c>
      <c r="AK125" s="25">
        <v>0</v>
      </c>
      <c r="AL125" s="25">
        <v>0</v>
      </c>
      <c r="AM125" s="25">
        <v>0</v>
      </c>
      <c r="AN125" s="25">
        <v>0</v>
      </c>
      <c r="AO125" s="25">
        <v>1</v>
      </c>
      <c r="AP125" s="25">
        <v>0</v>
      </c>
      <c r="AQ125" s="25">
        <v>0</v>
      </c>
      <c r="AR125" s="25">
        <v>0</v>
      </c>
      <c r="AS125" s="25">
        <v>0</v>
      </c>
      <c r="AT125" s="25">
        <v>0</v>
      </c>
      <c r="AU125" s="25">
        <v>0</v>
      </c>
      <c r="AV125" s="25">
        <v>0</v>
      </c>
      <c r="AW125" s="25">
        <v>0</v>
      </c>
      <c r="AX125" s="25">
        <v>0</v>
      </c>
      <c r="AY125" s="25">
        <v>0</v>
      </c>
      <c r="AZ125" s="25">
        <v>0</v>
      </c>
      <c r="BA125" s="25">
        <v>0</v>
      </c>
      <c r="BB125" s="25">
        <v>0</v>
      </c>
      <c r="BC125" s="25">
        <v>0</v>
      </c>
      <c r="BD125" s="25">
        <v>1</v>
      </c>
      <c r="BE125" s="25">
        <v>0</v>
      </c>
      <c r="BF125" s="25">
        <v>0</v>
      </c>
      <c r="BG125" s="25">
        <v>0</v>
      </c>
      <c r="BH125" s="25">
        <v>0</v>
      </c>
      <c r="BI125" s="25">
        <v>0</v>
      </c>
      <c r="BJ125" s="25">
        <v>0</v>
      </c>
      <c r="BK125" s="25">
        <v>0</v>
      </c>
      <c r="BL125" s="25">
        <v>0</v>
      </c>
      <c r="BM125" s="25">
        <v>0</v>
      </c>
      <c r="BN125" s="25">
        <v>0</v>
      </c>
      <c r="BO125" s="25">
        <v>0</v>
      </c>
      <c r="BP125" s="25">
        <v>0</v>
      </c>
      <c r="BQ125" s="25">
        <v>0</v>
      </c>
      <c r="BR125" s="25">
        <v>0</v>
      </c>
      <c r="BS125" s="25">
        <v>0</v>
      </c>
      <c r="BT125" s="25">
        <v>0</v>
      </c>
      <c r="BU125" s="25">
        <v>0</v>
      </c>
      <c r="BV125" s="25">
        <v>0</v>
      </c>
      <c r="BW125" s="25">
        <v>1</v>
      </c>
      <c r="BX125" s="25">
        <v>0</v>
      </c>
      <c r="BY125" s="25">
        <v>0</v>
      </c>
      <c r="BZ125" s="25">
        <v>0</v>
      </c>
      <c r="CA125" s="25">
        <v>0</v>
      </c>
      <c r="CB125" s="25">
        <v>0</v>
      </c>
      <c r="CC125" s="25">
        <v>0</v>
      </c>
      <c r="CD125" s="25">
        <v>1</v>
      </c>
      <c r="CE125" s="25">
        <v>0</v>
      </c>
      <c r="CF125" s="25">
        <v>0</v>
      </c>
      <c r="CG125" s="25">
        <v>0</v>
      </c>
      <c r="CH125" s="25">
        <v>0</v>
      </c>
      <c r="CI125" s="25">
        <v>0</v>
      </c>
      <c r="CJ125" s="25">
        <v>0</v>
      </c>
      <c r="CK125" s="25">
        <v>0</v>
      </c>
      <c r="CL125" s="25">
        <v>0</v>
      </c>
      <c r="CM125" s="25">
        <v>0</v>
      </c>
      <c r="CN125" s="25">
        <v>1</v>
      </c>
      <c r="CO125" s="25">
        <v>0</v>
      </c>
      <c r="CP125" s="25">
        <v>0</v>
      </c>
      <c r="CQ125" s="25">
        <v>0</v>
      </c>
      <c r="CR125" s="25">
        <v>0</v>
      </c>
      <c r="CS125" s="25">
        <v>0</v>
      </c>
      <c r="CT125" s="25">
        <v>0</v>
      </c>
      <c r="CU125" s="25">
        <v>0</v>
      </c>
      <c r="CV125" s="25">
        <v>0</v>
      </c>
      <c r="CW125" s="25">
        <v>0</v>
      </c>
      <c r="CX125" s="25">
        <v>0</v>
      </c>
      <c r="CY125" s="25">
        <v>1</v>
      </c>
      <c r="CZ125" s="25">
        <v>1</v>
      </c>
      <c r="DA125" s="25">
        <v>0</v>
      </c>
      <c r="DB125" s="25">
        <v>1</v>
      </c>
      <c r="DC125" s="25">
        <v>0</v>
      </c>
      <c r="DD125" s="25">
        <v>0</v>
      </c>
      <c r="DE125" s="25">
        <v>0</v>
      </c>
      <c r="DF125" s="25">
        <v>0</v>
      </c>
      <c r="DG125" s="25">
        <v>0</v>
      </c>
      <c r="DH125" s="25">
        <v>0</v>
      </c>
      <c r="DI125" s="25">
        <v>0</v>
      </c>
      <c r="DJ125" s="25">
        <v>0</v>
      </c>
    </row>
    <row r="126" spans="1:114" s="25" customFormat="1" x14ac:dyDescent="0.25">
      <c r="A126" s="25">
        <v>125</v>
      </c>
      <c r="B126" s="1" t="s">
        <v>302</v>
      </c>
      <c r="C126" s="26" t="s">
        <v>301</v>
      </c>
      <c r="D126" t="s">
        <v>1802</v>
      </c>
      <c r="E126" s="25">
        <v>9.74878</v>
      </c>
      <c r="F126" s="25" t="s">
        <v>1538</v>
      </c>
      <c r="G126" s="25" t="s">
        <v>13</v>
      </c>
      <c r="H126" s="25" t="s">
        <v>17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0</v>
      </c>
      <c r="P126" s="25">
        <v>0</v>
      </c>
      <c r="Q126" s="25">
        <v>0</v>
      </c>
      <c r="R126" s="25">
        <v>0</v>
      </c>
      <c r="S126" s="25">
        <v>0</v>
      </c>
      <c r="T126" s="25">
        <v>0</v>
      </c>
      <c r="U126" s="25">
        <v>0</v>
      </c>
      <c r="V126" s="25">
        <v>0</v>
      </c>
      <c r="W126" s="25">
        <v>0</v>
      </c>
      <c r="X126" s="25">
        <v>0</v>
      </c>
      <c r="Y126" s="25">
        <v>0</v>
      </c>
      <c r="Z126" s="25">
        <v>0</v>
      </c>
      <c r="AA126" s="25">
        <v>0</v>
      </c>
      <c r="AB126" s="25">
        <v>0</v>
      </c>
      <c r="AC126" s="25">
        <v>0</v>
      </c>
      <c r="AD126" s="25">
        <v>0</v>
      </c>
      <c r="AE126" s="25">
        <v>0</v>
      </c>
      <c r="AF126" s="25">
        <v>0</v>
      </c>
      <c r="AG126" s="25">
        <v>0</v>
      </c>
      <c r="AH126" s="25">
        <v>1</v>
      </c>
      <c r="AI126" s="25">
        <v>0</v>
      </c>
      <c r="AJ126" s="25">
        <v>1</v>
      </c>
      <c r="AK126" s="25">
        <v>0</v>
      </c>
      <c r="AL126" s="25">
        <v>0</v>
      </c>
      <c r="AM126" s="25">
        <v>0</v>
      </c>
      <c r="AN126" s="25">
        <v>0</v>
      </c>
      <c r="AO126" s="25">
        <v>1</v>
      </c>
      <c r="AP126" s="25">
        <v>0</v>
      </c>
      <c r="AQ126" s="25">
        <v>0</v>
      </c>
      <c r="AR126" s="25">
        <v>0</v>
      </c>
      <c r="AS126" s="25">
        <v>0</v>
      </c>
      <c r="AT126" s="25">
        <v>0</v>
      </c>
      <c r="AU126" s="25">
        <v>0</v>
      </c>
      <c r="AV126" s="25">
        <v>0</v>
      </c>
      <c r="AW126" s="25">
        <v>0</v>
      </c>
      <c r="AX126" s="25">
        <v>0</v>
      </c>
      <c r="AY126" s="25">
        <v>0</v>
      </c>
      <c r="AZ126" s="25">
        <v>0</v>
      </c>
      <c r="BA126" s="25">
        <v>0</v>
      </c>
      <c r="BB126" s="25">
        <v>0</v>
      </c>
      <c r="BC126" s="25">
        <v>0</v>
      </c>
      <c r="BD126" s="25">
        <v>0</v>
      </c>
      <c r="BE126" s="25">
        <v>0</v>
      </c>
      <c r="BF126" s="25">
        <v>0</v>
      </c>
      <c r="BG126" s="25">
        <v>0</v>
      </c>
      <c r="BH126" s="25">
        <v>0</v>
      </c>
      <c r="BI126" s="25">
        <v>0</v>
      </c>
      <c r="BJ126" s="25">
        <v>0</v>
      </c>
      <c r="BK126" s="25">
        <v>0</v>
      </c>
      <c r="BL126" s="25">
        <v>0</v>
      </c>
      <c r="BM126" s="25">
        <v>0</v>
      </c>
      <c r="BN126" s="25">
        <v>0</v>
      </c>
      <c r="BO126" s="25">
        <v>0</v>
      </c>
      <c r="BP126" s="25">
        <v>0</v>
      </c>
      <c r="BQ126" s="25">
        <v>0</v>
      </c>
      <c r="BR126" s="25">
        <v>0</v>
      </c>
      <c r="BS126" s="25">
        <v>0</v>
      </c>
      <c r="BT126" s="25">
        <v>0</v>
      </c>
      <c r="BU126" s="25">
        <v>0</v>
      </c>
      <c r="BV126" s="25">
        <v>0</v>
      </c>
      <c r="BW126" s="25">
        <v>0</v>
      </c>
      <c r="BX126" s="25">
        <v>1</v>
      </c>
      <c r="BY126" s="25">
        <v>0</v>
      </c>
      <c r="BZ126" s="25">
        <v>0</v>
      </c>
      <c r="CA126" s="25">
        <v>0</v>
      </c>
      <c r="CB126" s="25">
        <v>0</v>
      </c>
      <c r="CC126" s="25">
        <v>0</v>
      </c>
      <c r="CD126" s="25">
        <v>0</v>
      </c>
      <c r="CE126" s="25">
        <v>0</v>
      </c>
      <c r="CF126" s="25">
        <v>0</v>
      </c>
      <c r="CG126" s="25">
        <v>0</v>
      </c>
      <c r="CH126" s="25">
        <v>0</v>
      </c>
      <c r="CI126" s="25">
        <v>0</v>
      </c>
      <c r="CJ126" s="25">
        <v>0</v>
      </c>
      <c r="CK126" s="25">
        <v>0</v>
      </c>
      <c r="CL126" s="25">
        <v>0</v>
      </c>
      <c r="CM126" s="25">
        <v>0</v>
      </c>
      <c r="CN126" s="25">
        <v>0</v>
      </c>
      <c r="CO126" s="25">
        <v>0</v>
      </c>
      <c r="CP126" s="25">
        <v>0</v>
      </c>
      <c r="CQ126" s="25">
        <v>0</v>
      </c>
      <c r="CR126" s="25">
        <v>0</v>
      </c>
      <c r="CS126" s="25">
        <v>0</v>
      </c>
      <c r="CT126" s="25">
        <v>0</v>
      </c>
      <c r="CU126" s="25">
        <v>0</v>
      </c>
      <c r="CV126" s="25">
        <v>0</v>
      </c>
      <c r="CW126" s="25">
        <v>0</v>
      </c>
      <c r="CX126" s="25">
        <v>0</v>
      </c>
      <c r="CY126" s="25">
        <v>0</v>
      </c>
      <c r="CZ126" s="25">
        <v>0</v>
      </c>
      <c r="DA126" s="25">
        <v>0</v>
      </c>
      <c r="DB126" s="25">
        <v>0</v>
      </c>
      <c r="DC126" s="25">
        <v>0</v>
      </c>
      <c r="DD126" s="25">
        <v>0</v>
      </c>
      <c r="DE126" s="25">
        <v>0</v>
      </c>
      <c r="DF126" s="25">
        <v>0</v>
      </c>
      <c r="DG126" s="25">
        <v>1</v>
      </c>
      <c r="DH126" s="25">
        <v>0</v>
      </c>
      <c r="DI126" s="25">
        <v>1</v>
      </c>
      <c r="DJ126" s="25">
        <v>0</v>
      </c>
    </row>
    <row r="127" spans="1:114" s="25" customFormat="1" x14ac:dyDescent="0.25">
      <c r="A127" s="25">
        <v>126</v>
      </c>
      <c r="B127" s="1" t="s">
        <v>97</v>
      </c>
      <c r="C127" s="26" t="s">
        <v>402</v>
      </c>
      <c r="D127" t="s">
        <v>1798</v>
      </c>
      <c r="E127" s="25">
        <v>6.1298700000000004</v>
      </c>
      <c r="F127" s="25" t="s">
        <v>1538</v>
      </c>
      <c r="G127" s="25" t="s">
        <v>14</v>
      </c>
      <c r="H127" s="25" t="s">
        <v>17</v>
      </c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0</v>
      </c>
      <c r="Q127" s="25">
        <v>0</v>
      </c>
      <c r="R127" s="25">
        <v>0</v>
      </c>
      <c r="S127" s="25">
        <v>0</v>
      </c>
      <c r="T127" s="25">
        <v>0</v>
      </c>
      <c r="U127" s="25">
        <v>0</v>
      </c>
      <c r="V127" s="25">
        <v>0</v>
      </c>
      <c r="W127" s="25">
        <v>0</v>
      </c>
      <c r="X127" s="25">
        <v>0</v>
      </c>
      <c r="Y127" s="25">
        <v>0</v>
      </c>
      <c r="Z127" s="25">
        <v>0</v>
      </c>
      <c r="AA127" s="25">
        <v>0</v>
      </c>
      <c r="AB127" s="25">
        <v>0</v>
      </c>
      <c r="AC127" s="25">
        <v>0</v>
      </c>
      <c r="AD127" s="25">
        <v>0</v>
      </c>
      <c r="AE127" s="25">
        <v>0</v>
      </c>
      <c r="AF127" s="25">
        <v>0</v>
      </c>
      <c r="AG127" s="25">
        <v>0</v>
      </c>
      <c r="AH127" s="25">
        <v>0</v>
      </c>
      <c r="AI127" s="25">
        <v>0</v>
      </c>
      <c r="AJ127" s="25">
        <v>0</v>
      </c>
      <c r="AK127" s="25">
        <v>0</v>
      </c>
      <c r="AL127" s="25">
        <v>0</v>
      </c>
      <c r="AM127" s="25">
        <v>0</v>
      </c>
      <c r="AN127" s="25">
        <v>0</v>
      </c>
      <c r="AO127" s="25">
        <v>0</v>
      </c>
      <c r="AP127" s="25">
        <v>0</v>
      </c>
      <c r="AQ127" s="25">
        <v>0</v>
      </c>
      <c r="AR127" s="25">
        <v>0</v>
      </c>
      <c r="AS127" s="25">
        <v>0</v>
      </c>
      <c r="AT127" s="25">
        <v>0</v>
      </c>
      <c r="AU127" s="25">
        <v>0</v>
      </c>
      <c r="AV127" s="25">
        <v>0</v>
      </c>
      <c r="AW127" s="25">
        <v>0</v>
      </c>
      <c r="AX127" s="25">
        <v>0</v>
      </c>
      <c r="AY127" s="25">
        <v>0</v>
      </c>
      <c r="AZ127" s="25">
        <v>0</v>
      </c>
      <c r="BA127" s="25">
        <v>0</v>
      </c>
      <c r="BB127" s="25">
        <v>0</v>
      </c>
      <c r="BC127" s="25">
        <v>0</v>
      </c>
      <c r="BD127" s="25">
        <v>0</v>
      </c>
      <c r="BE127" s="25">
        <v>0</v>
      </c>
      <c r="BF127" s="25">
        <v>0</v>
      </c>
      <c r="BG127" s="25">
        <v>0</v>
      </c>
      <c r="BH127" s="25">
        <v>0</v>
      </c>
      <c r="BI127" s="25">
        <v>0</v>
      </c>
      <c r="BJ127" s="25">
        <v>0</v>
      </c>
      <c r="BK127" s="25">
        <v>0</v>
      </c>
      <c r="BL127" s="25">
        <v>0</v>
      </c>
      <c r="BM127" s="25">
        <v>0</v>
      </c>
      <c r="BN127" s="25">
        <v>0</v>
      </c>
      <c r="BO127" s="25">
        <v>0</v>
      </c>
      <c r="BP127" s="25">
        <v>0</v>
      </c>
      <c r="BQ127" s="25">
        <v>0</v>
      </c>
      <c r="BR127" s="25">
        <v>0</v>
      </c>
      <c r="BS127" s="25">
        <v>0</v>
      </c>
      <c r="BT127" s="25">
        <v>0</v>
      </c>
      <c r="BU127" s="25">
        <v>0</v>
      </c>
      <c r="BV127" s="25">
        <v>0</v>
      </c>
      <c r="BW127" s="25">
        <v>0</v>
      </c>
      <c r="BX127" s="25">
        <v>0</v>
      </c>
      <c r="BY127" s="25">
        <v>0</v>
      </c>
      <c r="BZ127" s="25">
        <v>0</v>
      </c>
      <c r="CA127" s="25">
        <v>0</v>
      </c>
      <c r="CB127" s="25">
        <v>0</v>
      </c>
      <c r="CC127" s="25">
        <v>0</v>
      </c>
      <c r="CD127" s="25">
        <v>0</v>
      </c>
      <c r="CE127" s="25">
        <v>0</v>
      </c>
      <c r="CF127" s="25">
        <v>0</v>
      </c>
      <c r="CG127" s="25">
        <v>0</v>
      </c>
      <c r="CH127" s="25">
        <v>0</v>
      </c>
      <c r="CI127" s="25">
        <v>0</v>
      </c>
      <c r="CJ127" s="25">
        <v>0</v>
      </c>
      <c r="CK127" s="25">
        <v>0</v>
      </c>
      <c r="CL127" s="25">
        <v>0</v>
      </c>
      <c r="CM127" s="25">
        <v>0</v>
      </c>
      <c r="CN127" s="25">
        <v>0</v>
      </c>
      <c r="CO127" s="25">
        <v>0</v>
      </c>
      <c r="CP127" s="25">
        <v>0</v>
      </c>
      <c r="CQ127" s="25">
        <v>0</v>
      </c>
      <c r="CR127" s="25">
        <v>0</v>
      </c>
      <c r="CS127" s="25">
        <v>0</v>
      </c>
      <c r="CT127" s="25">
        <v>0</v>
      </c>
      <c r="CU127" s="25">
        <v>0</v>
      </c>
      <c r="CV127" s="25">
        <v>0</v>
      </c>
      <c r="CW127" s="25">
        <v>0</v>
      </c>
      <c r="CX127" s="25">
        <v>0</v>
      </c>
      <c r="CY127" s="25">
        <v>0</v>
      </c>
      <c r="CZ127" s="25">
        <v>0</v>
      </c>
      <c r="DA127" s="25">
        <v>0</v>
      </c>
      <c r="DB127" s="25">
        <v>0</v>
      </c>
      <c r="DC127" s="25">
        <v>0</v>
      </c>
      <c r="DD127" s="25">
        <v>0</v>
      </c>
      <c r="DE127" s="25">
        <v>0</v>
      </c>
      <c r="DF127" s="25">
        <v>1</v>
      </c>
      <c r="DG127" s="25">
        <v>0</v>
      </c>
      <c r="DH127" s="25">
        <v>0</v>
      </c>
      <c r="DI127" s="25">
        <v>0</v>
      </c>
      <c r="DJ127" s="25">
        <v>0</v>
      </c>
    </row>
    <row r="128" spans="1:114" s="25" customFormat="1" x14ac:dyDescent="0.25">
      <c r="A128" s="25">
        <v>127</v>
      </c>
      <c r="B128" s="1" t="s">
        <v>97</v>
      </c>
      <c r="C128" s="26" t="s">
        <v>201</v>
      </c>
      <c r="D128" t="s">
        <v>1802</v>
      </c>
      <c r="E128" s="25">
        <v>14.348800000000001</v>
      </c>
      <c r="F128" s="25" t="s">
        <v>1538</v>
      </c>
      <c r="G128" s="25" t="s">
        <v>13</v>
      </c>
      <c r="H128" s="25" t="s">
        <v>16</v>
      </c>
      <c r="I128" s="25">
        <v>0</v>
      </c>
      <c r="J128" s="25">
        <v>0</v>
      </c>
      <c r="K128" s="25">
        <v>1</v>
      </c>
      <c r="L128" s="25">
        <v>0</v>
      </c>
      <c r="M128" s="25">
        <v>0</v>
      </c>
      <c r="N128" s="25">
        <v>0</v>
      </c>
      <c r="O128" s="25">
        <v>1</v>
      </c>
      <c r="P128" s="25">
        <v>0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25">
        <v>0</v>
      </c>
      <c r="X128" s="25">
        <v>0</v>
      </c>
      <c r="Y128" s="25">
        <v>0</v>
      </c>
      <c r="Z128" s="25">
        <v>0</v>
      </c>
      <c r="AA128" s="25">
        <v>0</v>
      </c>
      <c r="AB128" s="25">
        <v>0</v>
      </c>
      <c r="AC128" s="25">
        <v>0</v>
      </c>
      <c r="AD128" s="25">
        <v>0</v>
      </c>
      <c r="AE128" s="25">
        <v>0</v>
      </c>
      <c r="AF128" s="25">
        <v>0</v>
      </c>
      <c r="AG128" s="25">
        <v>0</v>
      </c>
      <c r="AH128" s="25">
        <v>0</v>
      </c>
      <c r="AI128" s="25">
        <v>0</v>
      </c>
      <c r="AJ128" s="25">
        <v>0</v>
      </c>
      <c r="AK128" s="25">
        <v>0</v>
      </c>
      <c r="AL128" s="25">
        <v>0</v>
      </c>
      <c r="AM128" s="25">
        <v>0</v>
      </c>
      <c r="AN128" s="25">
        <v>0</v>
      </c>
      <c r="AO128" s="25">
        <v>0</v>
      </c>
      <c r="AP128" s="25">
        <v>0</v>
      </c>
      <c r="AQ128" s="25">
        <v>0</v>
      </c>
      <c r="AR128" s="25">
        <v>0</v>
      </c>
      <c r="AS128" s="25">
        <v>0</v>
      </c>
      <c r="AT128" s="25">
        <v>0</v>
      </c>
      <c r="AU128" s="25">
        <v>0</v>
      </c>
      <c r="AV128" s="25">
        <v>0</v>
      </c>
      <c r="AW128" s="25">
        <v>0</v>
      </c>
      <c r="AX128" s="25">
        <v>0</v>
      </c>
      <c r="AY128" s="25">
        <v>0</v>
      </c>
      <c r="AZ128" s="25">
        <v>0</v>
      </c>
      <c r="BA128" s="25">
        <v>0</v>
      </c>
      <c r="BB128" s="25">
        <v>0</v>
      </c>
      <c r="BC128" s="25">
        <v>0</v>
      </c>
      <c r="BD128" s="25">
        <v>0</v>
      </c>
      <c r="BE128" s="25">
        <v>0</v>
      </c>
      <c r="BF128" s="25">
        <v>0</v>
      </c>
      <c r="BG128" s="25">
        <v>0</v>
      </c>
      <c r="BH128" s="25">
        <v>0</v>
      </c>
      <c r="BI128" s="25">
        <v>0</v>
      </c>
      <c r="BJ128" s="25">
        <v>0</v>
      </c>
      <c r="BK128" s="25">
        <v>0</v>
      </c>
      <c r="BL128" s="25">
        <v>0</v>
      </c>
      <c r="BM128" s="25">
        <v>0</v>
      </c>
      <c r="BN128" s="25">
        <v>0</v>
      </c>
      <c r="BO128" s="25">
        <v>0</v>
      </c>
      <c r="BP128" s="25">
        <v>0</v>
      </c>
      <c r="BQ128" s="25">
        <v>0</v>
      </c>
      <c r="BR128" s="25">
        <v>1</v>
      </c>
      <c r="BS128" s="25">
        <v>0</v>
      </c>
      <c r="BT128" s="25">
        <v>0</v>
      </c>
      <c r="BU128" s="25">
        <v>0</v>
      </c>
      <c r="BV128" s="25">
        <v>0</v>
      </c>
      <c r="BW128" s="25">
        <v>0</v>
      </c>
      <c r="BX128" s="25">
        <v>0</v>
      </c>
      <c r="BY128" s="25">
        <v>0</v>
      </c>
      <c r="BZ128" s="25">
        <v>0</v>
      </c>
      <c r="CA128" s="25">
        <v>0</v>
      </c>
      <c r="CB128" s="25">
        <v>0</v>
      </c>
      <c r="CC128" s="25">
        <v>0</v>
      </c>
      <c r="CD128" s="25">
        <v>0</v>
      </c>
      <c r="CE128" s="25">
        <v>0</v>
      </c>
      <c r="CF128" s="25">
        <v>0</v>
      </c>
      <c r="CG128" s="25">
        <v>1</v>
      </c>
      <c r="CH128" s="25">
        <v>0</v>
      </c>
      <c r="CI128" s="25">
        <v>0</v>
      </c>
      <c r="CJ128" s="25">
        <v>0</v>
      </c>
      <c r="CK128" s="25">
        <v>0</v>
      </c>
      <c r="CL128" s="25">
        <v>0</v>
      </c>
      <c r="CM128" s="25">
        <v>0</v>
      </c>
      <c r="CN128" s="25">
        <v>0</v>
      </c>
      <c r="CO128" s="25">
        <v>0</v>
      </c>
      <c r="CP128" s="25">
        <v>0</v>
      </c>
      <c r="CQ128" s="25">
        <v>0</v>
      </c>
      <c r="CR128" s="25">
        <v>0</v>
      </c>
      <c r="CS128" s="25">
        <v>0</v>
      </c>
      <c r="CT128" s="25">
        <v>0</v>
      </c>
      <c r="CU128" s="25">
        <v>1</v>
      </c>
      <c r="CV128" s="25">
        <v>0</v>
      </c>
      <c r="CW128" s="25">
        <v>0</v>
      </c>
      <c r="CX128" s="25">
        <v>0</v>
      </c>
      <c r="CY128" s="25">
        <v>0</v>
      </c>
      <c r="CZ128" s="25">
        <v>0</v>
      </c>
      <c r="DA128" s="25">
        <v>0</v>
      </c>
      <c r="DB128" s="25">
        <v>0</v>
      </c>
      <c r="DC128" s="25">
        <v>0</v>
      </c>
      <c r="DD128" s="25">
        <v>0</v>
      </c>
      <c r="DE128" s="25">
        <v>0</v>
      </c>
      <c r="DF128" s="25">
        <v>0</v>
      </c>
      <c r="DG128" s="25">
        <v>0</v>
      </c>
      <c r="DH128" s="25">
        <v>0</v>
      </c>
      <c r="DI128" s="25">
        <v>0</v>
      </c>
      <c r="DJ128" s="25">
        <v>0</v>
      </c>
    </row>
    <row r="129" spans="1:114" s="25" customFormat="1" x14ac:dyDescent="0.25">
      <c r="A129" s="25">
        <v>128</v>
      </c>
      <c r="B129" s="1" t="s">
        <v>97</v>
      </c>
      <c r="C129" s="26" t="s">
        <v>201</v>
      </c>
      <c r="D129" t="s">
        <v>1802</v>
      </c>
      <c r="E129" s="25">
        <v>14.348800000000001</v>
      </c>
      <c r="F129" s="25" t="s">
        <v>1538</v>
      </c>
      <c r="G129" s="25" t="s">
        <v>13</v>
      </c>
      <c r="H129" s="25" t="s">
        <v>17</v>
      </c>
      <c r="I129" s="25">
        <v>0</v>
      </c>
      <c r="J129" s="25">
        <v>0</v>
      </c>
      <c r="K129" s="25">
        <v>1</v>
      </c>
      <c r="L129" s="25">
        <v>0</v>
      </c>
      <c r="M129" s="25">
        <v>1</v>
      </c>
      <c r="N129" s="25">
        <v>0</v>
      </c>
      <c r="O129" s="25">
        <v>0</v>
      </c>
      <c r="P129" s="25">
        <v>0</v>
      </c>
      <c r="Q129" s="25">
        <v>0</v>
      </c>
      <c r="R129" s="25">
        <v>0</v>
      </c>
      <c r="S129" s="25">
        <v>0</v>
      </c>
      <c r="T129" s="25">
        <v>0</v>
      </c>
      <c r="U129" s="25">
        <v>0</v>
      </c>
      <c r="V129" s="25">
        <v>0</v>
      </c>
      <c r="W129" s="25">
        <v>0</v>
      </c>
      <c r="X129" s="25">
        <v>1</v>
      </c>
      <c r="Y129" s="25">
        <v>0</v>
      </c>
      <c r="Z129" s="25">
        <v>0</v>
      </c>
      <c r="AA129" s="25">
        <v>0</v>
      </c>
      <c r="AB129" s="25">
        <v>0</v>
      </c>
      <c r="AC129" s="25">
        <v>0</v>
      </c>
      <c r="AD129" s="25">
        <v>0</v>
      </c>
      <c r="AE129" s="25">
        <v>0</v>
      </c>
      <c r="AF129" s="25">
        <v>0</v>
      </c>
      <c r="AG129" s="25">
        <v>0</v>
      </c>
      <c r="AH129" s="25">
        <v>1</v>
      </c>
      <c r="AI129" s="25">
        <v>0</v>
      </c>
      <c r="AJ129" s="25">
        <v>0</v>
      </c>
      <c r="AK129" s="25">
        <v>0</v>
      </c>
      <c r="AL129" s="25">
        <v>0</v>
      </c>
      <c r="AM129" s="25">
        <v>0</v>
      </c>
      <c r="AN129" s="25">
        <v>0</v>
      </c>
      <c r="AO129" s="25">
        <v>0</v>
      </c>
      <c r="AP129" s="25">
        <v>0</v>
      </c>
      <c r="AQ129" s="25">
        <v>0</v>
      </c>
      <c r="AR129" s="25">
        <v>0</v>
      </c>
      <c r="AS129" s="25">
        <v>0</v>
      </c>
      <c r="AT129" s="25">
        <v>0</v>
      </c>
      <c r="AU129" s="25">
        <v>0</v>
      </c>
      <c r="AV129" s="25">
        <v>0</v>
      </c>
      <c r="AW129" s="25">
        <v>0</v>
      </c>
      <c r="AX129" s="25">
        <v>0</v>
      </c>
      <c r="AY129" s="25">
        <v>0</v>
      </c>
      <c r="AZ129" s="25">
        <v>0</v>
      </c>
      <c r="BA129" s="25">
        <v>0</v>
      </c>
      <c r="BB129" s="25">
        <v>0</v>
      </c>
      <c r="BC129" s="25">
        <v>0</v>
      </c>
      <c r="BD129" s="25">
        <v>1</v>
      </c>
      <c r="BE129" s="25">
        <v>0</v>
      </c>
      <c r="BF129" s="25">
        <v>0</v>
      </c>
      <c r="BG129" s="25">
        <v>0</v>
      </c>
      <c r="BH129" s="25">
        <v>0</v>
      </c>
      <c r="BI129" s="25">
        <v>0</v>
      </c>
      <c r="BJ129" s="25">
        <v>0</v>
      </c>
      <c r="BK129" s="25">
        <v>0</v>
      </c>
      <c r="BL129" s="25">
        <v>0</v>
      </c>
      <c r="BM129" s="25">
        <v>0</v>
      </c>
      <c r="BN129" s="25">
        <v>0</v>
      </c>
      <c r="BO129" s="25">
        <v>0</v>
      </c>
      <c r="BP129" s="25">
        <v>0</v>
      </c>
      <c r="BQ129" s="25">
        <v>0</v>
      </c>
      <c r="BR129" s="25">
        <v>0</v>
      </c>
      <c r="BS129" s="25">
        <v>0</v>
      </c>
      <c r="BT129" s="25">
        <v>0</v>
      </c>
      <c r="BU129" s="25">
        <v>0</v>
      </c>
      <c r="BV129" s="25">
        <v>0</v>
      </c>
      <c r="BW129" s="25">
        <v>0</v>
      </c>
      <c r="BX129" s="25">
        <v>0</v>
      </c>
      <c r="BY129" s="25">
        <v>0</v>
      </c>
      <c r="BZ129" s="25">
        <v>0</v>
      </c>
      <c r="CA129" s="25">
        <v>0</v>
      </c>
      <c r="CB129" s="25">
        <v>0</v>
      </c>
      <c r="CC129" s="25">
        <v>0</v>
      </c>
      <c r="CD129" s="25">
        <v>0</v>
      </c>
      <c r="CE129" s="25">
        <v>0</v>
      </c>
      <c r="CF129" s="25">
        <v>0</v>
      </c>
      <c r="CG129" s="25">
        <v>0</v>
      </c>
      <c r="CH129" s="25">
        <v>0</v>
      </c>
      <c r="CI129" s="25">
        <v>0</v>
      </c>
      <c r="CJ129" s="25">
        <v>0</v>
      </c>
      <c r="CK129" s="25">
        <v>0</v>
      </c>
      <c r="CL129" s="25">
        <v>0</v>
      </c>
      <c r="CM129" s="25">
        <v>0</v>
      </c>
      <c r="CN129" s="25">
        <v>0</v>
      </c>
      <c r="CO129" s="25">
        <v>0</v>
      </c>
      <c r="CP129" s="25">
        <v>0</v>
      </c>
      <c r="CQ129" s="25">
        <v>0</v>
      </c>
      <c r="CR129" s="25">
        <v>0</v>
      </c>
      <c r="CS129" s="25">
        <v>0</v>
      </c>
      <c r="CT129" s="25">
        <v>0</v>
      </c>
      <c r="CU129" s="25">
        <v>0</v>
      </c>
      <c r="CV129" s="25">
        <v>0</v>
      </c>
      <c r="CW129" s="25">
        <v>0</v>
      </c>
      <c r="CX129" s="25">
        <v>0</v>
      </c>
      <c r="CY129" s="25">
        <v>0</v>
      </c>
      <c r="CZ129" s="25">
        <v>1</v>
      </c>
      <c r="DA129" s="25">
        <v>0</v>
      </c>
      <c r="DB129" s="25">
        <v>0</v>
      </c>
      <c r="DC129" s="25">
        <v>0</v>
      </c>
      <c r="DD129" s="25">
        <v>0</v>
      </c>
      <c r="DE129" s="25">
        <v>0</v>
      </c>
      <c r="DF129" s="25">
        <v>0</v>
      </c>
      <c r="DG129" s="25">
        <v>1</v>
      </c>
      <c r="DH129" s="25">
        <v>0</v>
      </c>
      <c r="DI129" s="25">
        <v>1</v>
      </c>
      <c r="DJ129" s="25">
        <v>0</v>
      </c>
    </row>
    <row r="130" spans="1:114" s="25" customFormat="1" x14ac:dyDescent="0.25">
      <c r="A130" s="25">
        <v>129</v>
      </c>
      <c r="B130" t="s">
        <v>391</v>
      </c>
      <c r="C130" s="26" t="s">
        <v>1267</v>
      </c>
      <c r="D130" t="s">
        <v>1802</v>
      </c>
      <c r="E130" s="25">
        <v>11.5838</v>
      </c>
      <c r="F130" s="25" t="s">
        <v>1538</v>
      </c>
      <c r="G130" s="25" t="s">
        <v>15</v>
      </c>
      <c r="H130" s="25" t="s">
        <v>17</v>
      </c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0</v>
      </c>
      <c r="V130" s="25">
        <v>0</v>
      </c>
      <c r="W130" s="25">
        <v>0</v>
      </c>
      <c r="X130" s="25">
        <v>1</v>
      </c>
      <c r="Y130" s="25">
        <v>0</v>
      </c>
      <c r="Z130" s="25">
        <v>0</v>
      </c>
      <c r="AA130" s="25">
        <v>0</v>
      </c>
      <c r="AB130" s="25">
        <v>0</v>
      </c>
      <c r="AC130" s="25">
        <v>0</v>
      </c>
      <c r="AD130" s="25">
        <v>0</v>
      </c>
      <c r="AE130" s="25">
        <v>0</v>
      </c>
      <c r="AF130" s="25">
        <v>0</v>
      </c>
      <c r="AG130" s="25">
        <v>0</v>
      </c>
      <c r="AH130" s="25">
        <v>1</v>
      </c>
      <c r="AI130" s="25">
        <v>0</v>
      </c>
      <c r="AJ130" s="25">
        <v>1</v>
      </c>
      <c r="AK130" s="25">
        <v>0</v>
      </c>
      <c r="AL130" s="25">
        <v>0</v>
      </c>
      <c r="AM130" s="25">
        <v>0</v>
      </c>
      <c r="AN130" s="25">
        <v>0</v>
      </c>
      <c r="AO130" s="25">
        <v>1</v>
      </c>
      <c r="AP130" s="25">
        <v>0</v>
      </c>
      <c r="AQ130" s="25">
        <v>0</v>
      </c>
      <c r="AR130" s="25">
        <v>0</v>
      </c>
      <c r="AS130" s="25">
        <v>0</v>
      </c>
      <c r="AT130" s="25">
        <v>1</v>
      </c>
      <c r="AU130" s="25">
        <v>0</v>
      </c>
      <c r="AV130" s="25">
        <v>0</v>
      </c>
      <c r="AW130" s="25">
        <v>0</v>
      </c>
      <c r="AX130" s="25">
        <v>0</v>
      </c>
      <c r="AY130" s="25">
        <v>0</v>
      </c>
      <c r="AZ130" s="25">
        <v>0</v>
      </c>
      <c r="BA130" s="25">
        <v>0</v>
      </c>
      <c r="BB130" s="25">
        <v>0</v>
      </c>
      <c r="BC130" s="25">
        <v>0</v>
      </c>
      <c r="BD130" s="25">
        <v>0</v>
      </c>
      <c r="BE130" s="25">
        <v>0</v>
      </c>
      <c r="BF130" s="25">
        <v>0</v>
      </c>
      <c r="BG130" s="25">
        <v>0</v>
      </c>
      <c r="BH130" s="25">
        <v>1</v>
      </c>
      <c r="BI130" s="25">
        <v>0</v>
      </c>
      <c r="BJ130" s="25">
        <v>0</v>
      </c>
      <c r="BK130" s="25">
        <v>0</v>
      </c>
      <c r="BL130" s="25">
        <v>0</v>
      </c>
      <c r="BM130" s="25">
        <v>0</v>
      </c>
      <c r="BN130" s="25">
        <v>1</v>
      </c>
      <c r="BO130" s="25">
        <v>0</v>
      </c>
      <c r="BP130" s="25">
        <v>0</v>
      </c>
      <c r="BQ130" s="25">
        <v>1</v>
      </c>
      <c r="BR130" s="25">
        <v>0</v>
      </c>
      <c r="BS130" s="25">
        <v>0</v>
      </c>
      <c r="BT130" s="25">
        <v>0</v>
      </c>
      <c r="BU130" s="25">
        <v>0</v>
      </c>
      <c r="BV130" s="25">
        <v>0</v>
      </c>
      <c r="BW130" s="25">
        <v>0</v>
      </c>
      <c r="BX130" s="25">
        <v>0</v>
      </c>
      <c r="BY130" s="25">
        <v>0</v>
      </c>
      <c r="BZ130" s="25">
        <v>0</v>
      </c>
      <c r="CA130" s="25">
        <v>0</v>
      </c>
      <c r="CB130" s="25">
        <v>0</v>
      </c>
      <c r="CC130" s="25">
        <v>0</v>
      </c>
      <c r="CD130" s="25">
        <v>1</v>
      </c>
      <c r="CE130" s="25">
        <v>0</v>
      </c>
      <c r="CF130" s="25">
        <v>0</v>
      </c>
      <c r="CG130" s="25">
        <v>0</v>
      </c>
      <c r="CH130" s="25">
        <v>0</v>
      </c>
      <c r="CI130" s="25">
        <v>0</v>
      </c>
      <c r="CJ130" s="25">
        <v>0</v>
      </c>
      <c r="CK130" s="25">
        <v>0</v>
      </c>
      <c r="CL130" s="25">
        <v>0</v>
      </c>
      <c r="CM130" s="25">
        <v>0</v>
      </c>
      <c r="CN130" s="25">
        <v>0</v>
      </c>
      <c r="CO130" s="25">
        <v>0</v>
      </c>
      <c r="CP130" s="25">
        <v>0</v>
      </c>
      <c r="CQ130" s="25">
        <v>0</v>
      </c>
      <c r="CR130" s="25">
        <v>0</v>
      </c>
      <c r="CS130" s="25">
        <v>0</v>
      </c>
      <c r="CT130" s="25">
        <v>1</v>
      </c>
      <c r="CU130" s="25">
        <v>0</v>
      </c>
      <c r="CV130" s="25">
        <v>0</v>
      </c>
      <c r="CW130" s="25">
        <v>0</v>
      </c>
      <c r="CX130" s="25">
        <v>0</v>
      </c>
      <c r="CY130" s="25">
        <v>1</v>
      </c>
      <c r="CZ130" s="25">
        <v>1</v>
      </c>
      <c r="DA130" s="25">
        <v>0</v>
      </c>
      <c r="DB130" s="25">
        <v>0</v>
      </c>
      <c r="DC130" s="25">
        <v>0</v>
      </c>
      <c r="DD130" s="25">
        <v>0</v>
      </c>
      <c r="DE130" s="25">
        <v>0</v>
      </c>
      <c r="DF130" s="25">
        <v>0</v>
      </c>
      <c r="DG130" s="25">
        <v>1</v>
      </c>
      <c r="DH130" s="25">
        <v>0</v>
      </c>
      <c r="DI130" s="25">
        <v>0</v>
      </c>
      <c r="DJ130" s="25">
        <v>0</v>
      </c>
    </row>
    <row r="131" spans="1:114" s="25" customFormat="1" x14ac:dyDescent="0.25">
      <c r="A131" s="25">
        <v>130</v>
      </c>
      <c r="B131" t="s">
        <v>1530</v>
      </c>
      <c r="C131" s="26" t="s">
        <v>528</v>
      </c>
      <c r="D131" t="s">
        <v>1798</v>
      </c>
      <c r="E131" s="25">
        <v>1.7397400000000001</v>
      </c>
      <c r="F131" s="25" t="s">
        <v>1538</v>
      </c>
      <c r="G131" s="25" t="s">
        <v>13</v>
      </c>
      <c r="H131" s="25" t="s">
        <v>17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1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1</v>
      </c>
      <c r="Y131" s="25">
        <v>0</v>
      </c>
      <c r="Z131" s="25">
        <v>0</v>
      </c>
      <c r="AA131" s="25">
        <v>0</v>
      </c>
      <c r="AB131" s="25">
        <v>0</v>
      </c>
      <c r="AC131" s="25">
        <v>0</v>
      </c>
      <c r="AD131" s="25">
        <v>0</v>
      </c>
      <c r="AE131" s="25">
        <v>1</v>
      </c>
      <c r="AF131" s="25">
        <v>0</v>
      </c>
      <c r="AG131" s="25">
        <v>0</v>
      </c>
      <c r="AH131" s="25">
        <v>1</v>
      </c>
      <c r="AI131" s="25">
        <v>0</v>
      </c>
      <c r="AJ131" s="25">
        <v>1</v>
      </c>
      <c r="AK131" s="25">
        <v>1</v>
      </c>
      <c r="AL131" s="25">
        <v>0</v>
      </c>
      <c r="AM131" s="25">
        <v>0</v>
      </c>
      <c r="AN131" s="25">
        <v>0</v>
      </c>
      <c r="AO131" s="25">
        <v>0</v>
      </c>
      <c r="AP131" s="25">
        <v>0</v>
      </c>
      <c r="AQ131" s="25">
        <v>0</v>
      </c>
      <c r="AR131" s="25">
        <v>0</v>
      </c>
      <c r="AS131" s="25">
        <v>0</v>
      </c>
      <c r="AT131" s="25">
        <v>0</v>
      </c>
      <c r="AU131" s="25">
        <v>0</v>
      </c>
      <c r="AV131" s="25">
        <v>0</v>
      </c>
      <c r="AW131" s="25">
        <v>0</v>
      </c>
      <c r="AX131" s="25">
        <v>0</v>
      </c>
      <c r="AY131" s="25">
        <v>0</v>
      </c>
      <c r="AZ131" s="25">
        <v>0</v>
      </c>
      <c r="BA131" s="25">
        <v>0</v>
      </c>
      <c r="BB131" s="25">
        <v>0</v>
      </c>
      <c r="BC131" s="25">
        <v>0</v>
      </c>
      <c r="BD131" s="25">
        <v>1</v>
      </c>
      <c r="BE131" s="25">
        <v>0</v>
      </c>
      <c r="BF131" s="25">
        <v>0</v>
      </c>
      <c r="BG131" s="25">
        <v>1</v>
      </c>
      <c r="BH131" s="25">
        <v>1</v>
      </c>
      <c r="BI131" s="25">
        <v>0</v>
      </c>
      <c r="BJ131" s="25">
        <v>0</v>
      </c>
      <c r="BK131" s="25">
        <v>0</v>
      </c>
      <c r="BL131" s="25">
        <v>0</v>
      </c>
      <c r="BM131" s="25">
        <v>0</v>
      </c>
      <c r="BN131" s="25">
        <v>0</v>
      </c>
      <c r="BO131" s="25">
        <v>0</v>
      </c>
      <c r="BP131" s="25">
        <v>0</v>
      </c>
      <c r="BQ131" s="25">
        <v>0</v>
      </c>
      <c r="BR131" s="25">
        <v>0</v>
      </c>
      <c r="BS131" s="25">
        <v>1</v>
      </c>
      <c r="BT131" s="25">
        <v>0</v>
      </c>
      <c r="BU131" s="25">
        <v>0</v>
      </c>
      <c r="BV131" s="25">
        <v>0</v>
      </c>
      <c r="BW131" s="25">
        <v>0</v>
      </c>
      <c r="BX131" s="25">
        <v>0</v>
      </c>
      <c r="BY131" s="25">
        <v>1</v>
      </c>
      <c r="BZ131" s="25">
        <v>0</v>
      </c>
      <c r="CA131" s="25">
        <v>0</v>
      </c>
      <c r="CB131" s="25">
        <v>0</v>
      </c>
      <c r="CC131" s="25">
        <v>0</v>
      </c>
      <c r="CD131" s="25">
        <v>0</v>
      </c>
      <c r="CE131" s="25">
        <v>0</v>
      </c>
      <c r="CF131" s="25">
        <v>0</v>
      </c>
      <c r="CG131" s="25">
        <v>0</v>
      </c>
      <c r="CH131" s="25">
        <v>0</v>
      </c>
      <c r="CI131" s="25">
        <v>0</v>
      </c>
      <c r="CJ131" s="25">
        <v>0</v>
      </c>
      <c r="CK131" s="25">
        <v>0</v>
      </c>
      <c r="CL131" s="25">
        <v>0</v>
      </c>
      <c r="CM131" s="25">
        <v>1</v>
      </c>
      <c r="CN131" s="25">
        <v>0</v>
      </c>
      <c r="CO131" s="25">
        <v>0</v>
      </c>
      <c r="CP131" s="25">
        <v>0</v>
      </c>
      <c r="CQ131" s="25">
        <v>0</v>
      </c>
      <c r="CR131" s="25">
        <v>1</v>
      </c>
      <c r="CS131" s="25">
        <v>0</v>
      </c>
      <c r="CT131" s="25">
        <v>0</v>
      </c>
      <c r="CU131" s="25">
        <v>0</v>
      </c>
      <c r="CV131" s="25">
        <v>0</v>
      </c>
      <c r="CW131" s="25">
        <v>1</v>
      </c>
      <c r="CX131" s="25">
        <v>0</v>
      </c>
      <c r="CY131" s="25">
        <v>1</v>
      </c>
      <c r="CZ131" s="25">
        <v>1</v>
      </c>
      <c r="DA131" s="25">
        <v>1</v>
      </c>
      <c r="DB131" s="25">
        <v>0</v>
      </c>
      <c r="DC131" s="25">
        <v>0</v>
      </c>
      <c r="DD131" s="25">
        <v>0</v>
      </c>
      <c r="DE131" s="25">
        <v>0</v>
      </c>
      <c r="DF131" s="25">
        <v>0</v>
      </c>
      <c r="DG131" s="25">
        <v>1</v>
      </c>
      <c r="DH131" s="25">
        <v>0</v>
      </c>
      <c r="DI131" s="25">
        <v>1</v>
      </c>
      <c r="DJ131" s="25">
        <v>0</v>
      </c>
    </row>
    <row r="132" spans="1:114" s="25" customFormat="1" x14ac:dyDescent="0.25">
      <c r="A132" s="25">
        <v>131</v>
      </c>
      <c r="B132" t="s">
        <v>1439</v>
      </c>
      <c r="C132" s="26" t="s">
        <v>651</v>
      </c>
      <c r="D132" t="s">
        <v>1798</v>
      </c>
      <c r="E132" s="25">
        <v>2.0555699999999999</v>
      </c>
      <c r="F132" s="25" t="s">
        <v>1538</v>
      </c>
      <c r="G132" s="25" t="s">
        <v>14</v>
      </c>
      <c r="H132" s="25" t="s">
        <v>17</v>
      </c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  <c r="V132" s="25">
        <v>0</v>
      </c>
      <c r="W132" s="25">
        <v>0</v>
      </c>
      <c r="X132" s="25">
        <v>0</v>
      </c>
      <c r="Y132" s="25">
        <v>0</v>
      </c>
      <c r="Z132" s="25">
        <v>0</v>
      </c>
      <c r="AA132" s="25">
        <v>0</v>
      </c>
      <c r="AB132" s="25">
        <v>0</v>
      </c>
      <c r="AC132" s="25">
        <v>0</v>
      </c>
      <c r="AD132" s="25">
        <v>0</v>
      </c>
      <c r="AE132" s="25">
        <v>0</v>
      </c>
      <c r="AF132" s="25">
        <v>0</v>
      </c>
      <c r="AG132" s="25">
        <v>0</v>
      </c>
      <c r="AH132" s="25">
        <v>1</v>
      </c>
      <c r="AI132" s="25">
        <v>0</v>
      </c>
      <c r="AJ132" s="25">
        <v>1</v>
      </c>
      <c r="AK132" s="25">
        <v>0</v>
      </c>
      <c r="AL132" s="25">
        <v>0</v>
      </c>
      <c r="AM132" s="25">
        <v>0</v>
      </c>
      <c r="AN132" s="25">
        <v>0</v>
      </c>
      <c r="AO132" s="25">
        <v>0</v>
      </c>
      <c r="AP132" s="25">
        <v>0</v>
      </c>
      <c r="AQ132" s="25">
        <v>0</v>
      </c>
      <c r="AR132" s="25">
        <v>0</v>
      </c>
      <c r="AS132" s="25">
        <v>0</v>
      </c>
      <c r="AT132" s="25">
        <v>0</v>
      </c>
      <c r="AU132" s="25">
        <v>0</v>
      </c>
      <c r="AV132" s="25">
        <v>0</v>
      </c>
      <c r="AW132" s="25">
        <v>0</v>
      </c>
      <c r="AX132" s="25">
        <v>0</v>
      </c>
      <c r="AY132" s="25">
        <v>0</v>
      </c>
      <c r="AZ132" s="25">
        <v>0</v>
      </c>
      <c r="BA132" s="25">
        <v>0</v>
      </c>
      <c r="BB132" s="25">
        <v>0</v>
      </c>
      <c r="BC132" s="25">
        <v>0</v>
      </c>
      <c r="BD132" s="25">
        <v>0</v>
      </c>
      <c r="BE132" s="25">
        <v>0</v>
      </c>
      <c r="BF132" s="25">
        <v>0</v>
      </c>
      <c r="BG132" s="25">
        <v>1</v>
      </c>
      <c r="BH132" s="25">
        <v>0</v>
      </c>
      <c r="BI132" s="25">
        <v>0</v>
      </c>
      <c r="BJ132" s="25">
        <v>0</v>
      </c>
      <c r="BK132" s="25">
        <v>0</v>
      </c>
      <c r="BL132" s="25">
        <v>0</v>
      </c>
      <c r="BM132" s="25">
        <v>0</v>
      </c>
      <c r="BN132" s="25">
        <v>0</v>
      </c>
      <c r="BO132" s="25">
        <v>0</v>
      </c>
      <c r="BP132" s="25">
        <v>0</v>
      </c>
      <c r="BQ132" s="25">
        <v>0</v>
      </c>
      <c r="BR132" s="25">
        <v>0</v>
      </c>
      <c r="BS132" s="25">
        <v>0</v>
      </c>
      <c r="BT132" s="25">
        <v>0</v>
      </c>
      <c r="BU132" s="25">
        <v>0</v>
      </c>
      <c r="BV132" s="25">
        <v>0</v>
      </c>
      <c r="BW132" s="25">
        <v>0</v>
      </c>
      <c r="BX132" s="25">
        <v>0</v>
      </c>
      <c r="BY132" s="25">
        <v>0</v>
      </c>
      <c r="BZ132" s="25">
        <v>0</v>
      </c>
      <c r="CA132" s="25">
        <v>0</v>
      </c>
      <c r="CB132" s="25">
        <v>0</v>
      </c>
      <c r="CC132" s="25">
        <v>0</v>
      </c>
      <c r="CD132" s="25">
        <v>0</v>
      </c>
      <c r="CE132" s="25">
        <v>0</v>
      </c>
      <c r="CF132" s="25">
        <v>0</v>
      </c>
      <c r="CG132" s="25">
        <v>0</v>
      </c>
      <c r="CH132" s="25">
        <v>0</v>
      </c>
      <c r="CI132" s="25">
        <v>0</v>
      </c>
      <c r="CJ132" s="25">
        <v>0</v>
      </c>
      <c r="CK132" s="25">
        <v>0</v>
      </c>
      <c r="CL132" s="25">
        <v>0</v>
      </c>
      <c r="CM132" s="25">
        <v>0</v>
      </c>
      <c r="CN132" s="25">
        <v>0</v>
      </c>
      <c r="CO132" s="25">
        <v>0</v>
      </c>
      <c r="CP132" s="25">
        <v>0</v>
      </c>
      <c r="CQ132" s="25">
        <v>0</v>
      </c>
      <c r="CR132" s="25">
        <v>0</v>
      </c>
      <c r="CS132" s="25">
        <v>0</v>
      </c>
      <c r="CT132" s="25">
        <v>0</v>
      </c>
      <c r="CU132" s="25">
        <v>0</v>
      </c>
      <c r="CV132" s="25">
        <v>0</v>
      </c>
      <c r="CW132" s="25">
        <v>0</v>
      </c>
      <c r="CX132" s="25">
        <v>0</v>
      </c>
      <c r="CY132" s="25">
        <v>0</v>
      </c>
      <c r="CZ132" s="25">
        <v>0</v>
      </c>
      <c r="DA132" s="25">
        <v>0</v>
      </c>
      <c r="DB132" s="25">
        <v>0</v>
      </c>
      <c r="DC132" s="25">
        <v>0</v>
      </c>
      <c r="DD132" s="25">
        <v>0</v>
      </c>
      <c r="DE132" s="25">
        <v>0</v>
      </c>
      <c r="DF132" s="25">
        <v>0</v>
      </c>
      <c r="DG132" s="25">
        <v>1</v>
      </c>
      <c r="DH132" s="25">
        <v>0</v>
      </c>
      <c r="DI132" s="25">
        <v>1</v>
      </c>
      <c r="DJ132" s="25">
        <v>0</v>
      </c>
    </row>
    <row r="133" spans="1:114" s="25" customFormat="1" x14ac:dyDescent="0.25">
      <c r="A133" s="25">
        <v>132</v>
      </c>
      <c r="B133" t="s">
        <v>97</v>
      </c>
      <c r="C133" s="26" t="s">
        <v>93</v>
      </c>
      <c r="D133" t="s">
        <v>1796</v>
      </c>
      <c r="E133" s="25">
        <v>28.277999999999999</v>
      </c>
      <c r="F133" s="25" t="s">
        <v>1536</v>
      </c>
      <c r="G133" s="25" t="s">
        <v>13</v>
      </c>
      <c r="H133" s="25" t="s">
        <v>17</v>
      </c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0</v>
      </c>
      <c r="W133" s="25">
        <v>0</v>
      </c>
      <c r="X133" s="25">
        <v>0</v>
      </c>
      <c r="Y133" s="25">
        <v>0</v>
      </c>
      <c r="Z133" s="25">
        <v>0</v>
      </c>
      <c r="AA133" s="25">
        <v>0</v>
      </c>
      <c r="AB133" s="25">
        <v>0</v>
      </c>
      <c r="AC133" s="25">
        <v>0</v>
      </c>
      <c r="AD133" s="25">
        <v>0</v>
      </c>
      <c r="AE133" s="25">
        <v>0</v>
      </c>
      <c r="AF133" s="25">
        <v>0</v>
      </c>
      <c r="AG133" s="25">
        <v>0</v>
      </c>
      <c r="AH133" s="25">
        <v>0</v>
      </c>
      <c r="AI133" s="25">
        <v>0</v>
      </c>
      <c r="AJ133" s="25">
        <v>0</v>
      </c>
      <c r="AK133" s="25">
        <v>0</v>
      </c>
      <c r="AL133" s="25">
        <v>0</v>
      </c>
      <c r="AM133" s="25">
        <v>0</v>
      </c>
      <c r="AN133" s="25">
        <v>0</v>
      </c>
      <c r="AO133" s="25">
        <v>0</v>
      </c>
      <c r="AP133" s="25">
        <v>0</v>
      </c>
      <c r="AQ133" s="25">
        <v>0</v>
      </c>
      <c r="AR133" s="25">
        <v>0</v>
      </c>
      <c r="AS133" s="25">
        <v>0</v>
      </c>
      <c r="AT133" s="25">
        <v>0</v>
      </c>
      <c r="AU133" s="25">
        <v>0</v>
      </c>
      <c r="AV133" s="25">
        <v>0</v>
      </c>
      <c r="AW133" s="25">
        <v>0</v>
      </c>
      <c r="AX133" s="25">
        <v>0</v>
      </c>
      <c r="AY133" s="25">
        <v>0</v>
      </c>
      <c r="AZ133" s="25">
        <v>0</v>
      </c>
      <c r="BA133" s="25">
        <v>0</v>
      </c>
      <c r="BB133" s="25">
        <v>0</v>
      </c>
      <c r="BC133" s="25">
        <v>0</v>
      </c>
      <c r="BD133" s="25">
        <v>0</v>
      </c>
      <c r="BE133" s="25">
        <v>0</v>
      </c>
      <c r="BF133" s="25">
        <v>0</v>
      </c>
      <c r="BG133" s="25">
        <v>0</v>
      </c>
      <c r="BH133" s="25">
        <v>0</v>
      </c>
      <c r="BI133" s="25">
        <v>0</v>
      </c>
      <c r="BJ133" s="25">
        <v>0</v>
      </c>
      <c r="BK133" s="25">
        <v>0</v>
      </c>
      <c r="BL133" s="25">
        <v>0</v>
      </c>
      <c r="BM133" s="25">
        <v>0</v>
      </c>
      <c r="BN133" s="25">
        <v>0</v>
      </c>
      <c r="BO133" s="25">
        <v>0</v>
      </c>
      <c r="BP133" s="25">
        <v>0</v>
      </c>
      <c r="BQ133" s="25">
        <v>0</v>
      </c>
      <c r="BR133" s="25">
        <v>0</v>
      </c>
      <c r="BS133" s="25">
        <v>0</v>
      </c>
      <c r="BT133" s="25">
        <v>0</v>
      </c>
      <c r="BU133" s="25">
        <v>0</v>
      </c>
      <c r="BV133" s="25">
        <v>0</v>
      </c>
      <c r="BW133" s="25">
        <v>0</v>
      </c>
      <c r="BX133" s="25">
        <v>0</v>
      </c>
      <c r="BY133" s="25">
        <v>1</v>
      </c>
      <c r="BZ133" s="25">
        <v>0</v>
      </c>
      <c r="CA133" s="25">
        <v>0</v>
      </c>
      <c r="CB133" s="25">
        <v>0</v>
      </c>
      <c r="CC133" s="25">
        <v>0</v>
      </c>
      <c r="CD133" s="25">
        <v>0</v>
      </c>
      <c r="CE133" s="25">
        <v>0</v>
      </c>
      <c r="CF133" s="25">
        <v>0</v>
      </c>
      <c r="CG133" s="25">
        <v>0</v>
      </c>
      <c r="CH133" s="25">
        <v>0</v>
      </c>
      <c r="CI133" s="25">
        <v>0</v>
      </c>
      <c r="CJ133" s="25">
        <v>0</v>
      </c>
      <c r="CK133" s="25">
        <v>0</v>
      </c>
      <c r="CL133" s="25">
        <v>0</v>
      </c>
      <c r="CM133" s="25">
        <v>0</v>
      </c>
      <c r="CN133" s="25">
        <v>0</v>
      </c>
      <c r="CO133" s="25">
        <v>0</v>
      </c>
      <c r="CP133" s="25">
        <v>0</v>
      </c>
      <c r="CQ133" s="25">
        <v>0</v>
      </c>
      <c r="CR133" s="25">
        <v>0</v>
      </c>
      <c r="CS133" s="25">
        <v>0</v>
      </c>
      <c r="CT133" s="25">
        <v>0</v>
      </c>
      <c r="CU133" s="25">
        <v>0</v>
      </c>
      <c r="CV133" s="25">
        <v>0</v>
      </c>
      <c r="CW133" s="25">
        <v>0</v>
      </c>
      <c r="CX133" s="25">
        <v>0</v>
      </c>
      <c r="CY133" s="25">
        <v>0</v>
      </c>
      <c r="CZ133" s="25">
        <v>0</v>
      </c>
      <c r="DA133" s="25">
        <v>0</v>
      </c>
      <c r="DB133" s="25">
        <v>0</v>
      </c>
      <c r="DC133" s="25">
        <v>0</v>
      </c>
      <c r="DD133" s="25">
        <v>0</v>
      </c>
      <c r="DE133" s="25">
        <v>0</v>
      </c>
      <c r="DF133" s="25">
        <v>0</v>
      </c>
      <c r="DG133" s="25">
        <v>0</v>
      </c>
      <c r="DH133" s="25">
        <v>0</v>
      </c>
      <c r="DI133" s="25">
        <v>0</v>
      </c>
      <c r="DJ133" s="25">
        <v>0</v>
      </c>
    </row>
    <row r="134" spans="1:114" s="25" customFormat="1" x14ac:dyDescent="0.25">
      <c r="A134" s="25">
        <v>133</v>
      </c>
      <c r="B134" s="1" t="s">
        <v>314</v>
      </c>
      <c r="C134" s="26" t="s">
        <v>312</v>
      </c>
      <c r="D134" t="s">
        <v>1798</v>
      </c>
      <c r="E134" s="25">
        <v>2.1387299999999998</v>
      </c>
      <c r="F134" s="25" t="s">
        <v>1538</v>
      </c>
      <c r="G134" s="25" t="s">
        <v>13</v>
      </c>
      <c r="H134" s="25" t="s">
        <v>17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1</v>
      </c>
      <c r="W134" s="25">
        <v>0</v>
      </c>
      <c r="X134" s="25">
        <v>0</v>
      </c>
      <c r="Y134" s="25">
        <v>0</v>
      </c>
      <c r="Z134" s="25">
        <v>0</v>
      </c>
      <c r="AA134" s="25">
        <v>0</v>
      </c>
      <c r="AB134" s="25">
        <v>0</v>
      </c>
      <c r="AC134" s="25">
        <v>0</v>
      </c>
      <c r="AD134" s="25">
        <v>0</v>
      </c>
      <c r="AE134" s="25">
        <v>1</v>
      </c>
      <c r="AF134" s="25">
        <v>0</v>
      </c>
      <c r="AG134" s="25">
        <v>0</v>
      </c>
      <c r="AH134" s="25">
        <v>1</v>
      </c>
      <c r="AI134" s="25">
        <v>0</v>
      </c>
      <c r="AJ134" s="25">
        <v>1</v>
      </c>
      <c r="AK134" s="25">
        <v>0</v>
      </c>
      <c r="AL134" s="25">
        <v>0</v>
      </c>
      <c r="AM134" s="25">
        <v>0</v>
      </c>
      <c r="AN134" s="25">
        <v>0</v>
      </c>
      <c r="AO134" s="25">
        <v>1</v>
      </c>
      <c r="AP134" s="25">
        <v>0</v>
      </c>
      <c r="AQ134" s="25">
        <v>0</v>
      </c>
      <c r="AR134" s="25">
        <v>0</v>
      </c>
      <c r="AS134" s="25">
        <v>0</v>
      </c>
      <c r="AT134" s="25">
        <v>1</v>
      </c>
      <c r="AU134" s="25">
        <v>1</v>
      </c>
      <c r="AV134" s="25">
        <v>0</v>
      </c>
      <c r="AW134" s="25">
        <v>0</v>
      </c>
      <c r="AX134" s="25">
        <v>0</v>
      </c>
      <c r="AY134" s="25">
        <v>0</v>
      </c>
      <c r="AZ134" s="25">
        <v>0</v>
      </c>
      <c r="BA134" s="25">
        <v>0</v>
      </c>
      <c r="BB134" s="25">
        <v>0</v>
      </c>
      <c r="BC134" s="25">
        <v>0</v>
      </c>
      <c r="BD134" s="25">
        <v>1</v>
      </c>
      <c r="BE134" s="25">
        <v>0</v>
      </c>
      <c r="BF134" s="25">
        <v>0</v>
      </c>
      <c r="BG134" s="25">
        <v>0</v>
      </c>
      <c r="BH134" s="25">
        <v>0</v>
      </c>
      <c r="BI134" s="25">
        <v>0</v>
      </c>
      <c r="BJ134" s="25">
        <v>0</v>
      </c>
      <c r="BK134" s="25">
        <v>0</v>
      </c>
      <c r="BL134" s="25">
        <v>0</v>
      </c>
      <c r="BM134" s="25">
        <v>1</v>
      </c>
      <c r="BN134" s="25">
        <v>0</v>
      </c>
      <c r="BO134" s="25">
        <v>0</v>
      </c>
      <c r="BP134" s="25">
        <v>0</v>
      </c>
      <c r="BQ134" s="25">
        <v>0</v>
      </c>
      <c r="BR134" s="25">
        <v>0</v>
      </c>
      <c r="BS134" s="25">
        <v>0</v>
      </c>
      <c r="BT134" s="25">
        <v>0</v>
      </c>
      <c r="BU134" s="25">
        <v>0</v>
      </c>
      <c r="BV134" s="25">
        <v>0</v>
      </c>
      <c r="BW134" s="25">
        <v>0</v>
      </c>
      <c r="BX134" s="25">
        <v>0</v>
      </c>
      <c r="BY134" s="25">
        <v>0</v>
      </c>
      <c r="BZ134" s="25">
        <v>0</v>
      </c>
      <c r="CA134" s="25">
        <v>0</v>
      </c>
      <c r="CB134" s="25">
        <v>0</v>
      </c>
      <c r="CC134" s="25">
        <v>0</v>
      </c>
      <c r="CD134" s="25">
        <v>0</v>
      </c>
      <c r="CE134" s="25">
        <v>0</v>
      </c>
      <c r="CF134" s="25">
        <v>0</v>
      </c>
      <c r="CG134" s="25">
        <v>0</v>
      </c>
      <c r="CH134" s="25">
        <v>0</v>
      </c>
      <c r="CI134" s="25">
        <v>0</v>
      </c>
      <c r="CJ134" s="25">
        <v>0</v>
      </c>
      <c r="CK134" s="25">
        <v>0</v>
      </c>
      <c r="CL134" s="25">
        <v>0</v>
      </c>
      <c r="CM134" s="25">
        <v>0</v>
      </c>
      <c r="CN134" s="25">
        <v>0</v>
      </c>
      <c r="CO134" s="25">
        <v>0</v>
      </c>
      <c r="CP134" s="25">
        <v>0</v>
      </c>
      <c r="CQ134" s="25">
        <v>0</v>
      </c>
      <c r="CR134" s="25">
        <v>0</v>
      </c>
      <c r="CS134" s="25">
        <v>0</v>
      </c>
      <c r="CT134" s="25">
        <v>0</v>
      </c>
      <c r="CU134" s="25">
        <v>0</v>
      </c>
      <c r="CV134" s="25">
        <v>0</v>
      </c>
      <c r="CW134" s="25">
        <v>0</v>
      </c>
      <c r="CX134" s="25">
        <v>0</v>
      </c>
      <c r="CY134" s="25">
        <v>1</v>
      </c>
      <c r="CZ134" s="25">
        <v>1</v>
      </c>
      <c r="DA134" s="25">
        <v>0</v>
      </c>
      <c r="DB134" s="25">
        <v>0</v>
      </c>
      <c r="DC134" s="25">
        <v>0</v>
      </c>
      <c r="DD134" s="25">
        <v>0</v>
      </c>
      <c r="DE134" s="25">
        <v>0</v>
      </c>
      <c r="DF134" s="25">
        <v>0</v>
      </c>
      <c r="DG134" s="25">
        <v>1</v>
      </c>
      <c r="DH134" s="25">
        <v>0</v>
      </c>
      <c r="DI134" s="25">
        <v>1</v>
      </c>
      <c r="DJ134" s="25">
        <v>0</v>
      </c>
    </row>
    <row r="135" spans="1:114" s="25" customFormat="1" x14ac:dyDescent="0.25">
      <c r="A135" s="25">
        <v>134</v>
      </c>
      <c r="B135" t="s">
        <v>391</v>
      </c>
      <c r="C135" s="26" t="s">
        <v>390</v>
      </c>
      <c r="D135" t="s">
        <v>1802</v>
      </c>
      <c r="E135" s="25">
        <v>11.6044</v>
      </c>
      <c r="F135" s="25" t="s">
        <v>1537</v>
      </c>
      <c r="G135" s="25" t="s">
        <v>14</v>
      </c>
      <c r="H135" s="25" t="s">
        <v>17</v>
      </c>
      <c r="I135" s="25">
        <v>1</v>
      </c>
      <c r="J135" s="25">
        <v>0</v>
      </c>
      <c r="K135" s="25">
        <v>0</v>
      </c>
      <c r="L135" s="25">
        <v>0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0</v>
      </c>
      <c r="W135" s="25">
        <v>0</v>
      </c>
      <c r="X135" s="25">
        <v>1</v>
      </c>
      <c r="Y135" s="25">
        <v>0</v>
      </c>
      <c r="Z135" s="25">
        <v>0</v>
      </c>
      <c r="AA135" s="25">
        <v>0</v>
      </c>
      <c r="AB135" s="25">
        <v>0</v>
      </c>
      <c r="AC135" s="25">
        <v>0</v>
      </c>
      <c r="AD135" s="25">
        <v>0</v>
      </c>
      <c r="AE135" s="25">
        <v>0</v>
      </c>
      <c r="AF135" s="25">
        <v>1</v>
      </c>
      <c r="AG135" s="25">
        <v>0</v>
      </c>
      <c r="AH135" s="25">
        <v>1</v>
      </c>
      <c r="AI135" s="25">
        <v>0</v>
      </c>
      <c r="AJ135" s="25">
        <v>1</v>
      </c>
      <c r="AK135" s="25">
        <v>0</v>
      </c>
      <c r="AL135" s="25">
        <v>0</v>
      </c>
      <c r="AM135" s="25">
        <v>0</v>
      </c>
      <c r="AN135" s="25">
        <v>0</v>
      </c>
      <c r="AO135" s="25">
        <v>1</v>
      </c>
      <c r="AP135" s="25">
        <v>0</v>
      </c>
      <c r="AQ135" s="25">
        <v>1</v>
      </c>
      <c r="AR135" s="25">
        <v>0</v>
      </c>
      <c r="AS135" s="25">
        <v>0</v>
      </c>
      <c r="AT135" s="25">
        <v>1</v>
      </c>
      <c r="AU135" s="25">
        <v>1</v>
      </c>
      <c r="AV135" s="25">
        <v>0</v>
      </c>
      <c r="AW135" s="25">
        <v>0</v>
      </c>
      <c r="AX135" s="25">
        <v>1</v>
      </c>
      <c r="AY135" s="25">
        <v>0</v>
      </c>
      <c r="AZ135" s="25">
        <v>0</v>
      </c>
      <c r="BA135" s="25">
        <v>0</v>
      </c>
      <c r="BB135" s="25">
        <v>0</v>
      </c>
      <c r="BC135" s="25">
        <v>0</v>
      </c>
      <c r="BD135" s="25">
        <v>0</v>
      </c>
      <c r="BE135" s="25">
        <v>0</v>
      </c>
      <c r="BF135" s="25">
        <v>0</v>
      </c>
      <c r="BG135" s="25">
        <v>0</v>
      </c>
      <c r="BH135" s="25">
        <v>0</v>
      </c>
      <c r="BI135" s="25">
        <v>0</v>
      </c>
      <c r="BJ135" s="25">
        <v>0</v>
      </c>
      <c r="BK135" s="25">
        <v>0</v>
      </c>
      <c r="BL135" s="25">
        <v>0</v>
      </c>
      <c r="BM135" s="25">
        <v>0</v>
      </c>
      <c r="BN135" s="25">
        <v>0</v>
      </c>
      <c r="BO135" s="25">
        <v>0</v>
      </c>
      <c r="BP135" s="25">
        <v>0</v>
      </c>
      <c r="BQ135" s="25">
        <v>0</v>
      </c>
      <c r="BR135" s="25">
        <v>0</v>
      </c>
      <c r="BS135" s="25">
        <v>1</v>
      </c>
      <c r="BT135" s="25">
        <v>0</v>
      </c>
      <c r="BU135" s="25">
        <v>0</v>
      </c>
      <c r="BV135" s="25">
        <v>0</v>
      </c>
      <c r="BW135" s="25">
        <v>0</v>
      </c>
      <c r="BX135" s="25">
        <v>0</v>
      </c>
      <c r="BY135" s="25">
        <v>0</v>
      </c>
      <c r="BZ135" s="25">
        <v>0</v>
      </c>
      <c r="CA135" s="25">
        <v>0</v>
      </c>
      <c r="CB135" s="25">
        <v>0</v>
      </c>
      <c r="CC135" s="25">
        <v>0</v>
      </c>
      <c r="CD135" s="25">
        <v>1</v>
      </c>
      <c r="CE135" s="25">
        <v>0</v>
      </c>
      <c r="CF135" s="25">
        <v>1</v>
      </c>
      <c r="CG135" s="25">
        <v>0</v>
      </c>
      <c r="CH135" s="25">
        <v>0</v>
      </c>
      <c r="CI135" s="25">
        <v>0</v>
      </c>
      <c r="CJ135" s="25">
        <v>0</v>
      </c>
      <c r="CK135" s="25">
        <v>0</v>
      </c>
      <c r="CL135" s="25">
        <v>0</v>
      </c>
      <c r="CM135" s="25">
        <v>0</v>
      </c>
      <c r="CN135" s="25">
        <v>0</v>
      </c>
      <c r="CO135" s="25">
        <v>0</v>
      </c>
      <c r="CP135" s="25">
        <v>0</v>
      </c>
      <c r="CQ135" s="25">
        <v>0</v>
      </c>
      <c r="CR135" s="25">
        <v>0</v>
      </c>
      <c r="CS135" s="25">
        <v>0</v>
      </c>
      <c r="CT135" s="25">
        <v>0</v>
      </c>
      <c r="CU135" s="25">
        <v>1</v>
      </c>
      <c r="CV135" s="25">
        <v>0</v>
      </c>
      <c r="CW135" s="25">
        <v>0</v>
      </c>
      <c r="CX135" s="25">
        <v>0</v>
      </c>
      <c r="CY135" s="25">
        <v>0</v>
      </c>
      <c r="CZ135" s="25">
        <v>0</v>
      </c>
      <c r="DA135" s="25">
        <v>0</v>
      </c>
      <c r="DB135" s="25">
        <v>0</v>
      </c>
      <c r="DC135" s="25">
        <v>0</v>
      </c>
      <c r="DD135" s="25">
        <v>0</v>
      </c>
      <c r="DE135" s="25">
        <v>0</v>
      </c>
      <c r="DF135" s="25">
        <v>0</v>
      </c>
      <c r="DG135" s="25">
        <v>1</v>
      </c>
      <c r="DH135" s="25">
        <v>0</v>
      </c>
      <c r="DI135" s="25">
        <v>1</v>
      </c>
      <c r="DJ135" s="25">
        <v>0</v>
      </c>
    </row>
    <row r="136" spans="1:114" s="25" customFormat="1" x14ac:dyDescent="0.25">
      <c r="A136" s="25">
        <v>135</v>
      </c>
      <c r="B136" s="1" t="s">
        <v>1277</v>
      </c>
      <c r="C136" s="26" t="s">
        <v>1275</v>
      </c>
      <c r="D136" t="s">
        <v>1798</v>
      </c>
      <c r="E136" s="25">
        <v>6.23916</v>
      </c>
      <c r="F136" s="25" t="s">
        <v>1538</v>
      </c>
      <c r="G136" s="25" t="s">
        <v>14</v>
      </c>
      <c r="H136" s="25" t="s">
        <v>17</v>
      </c>
      <c r="I136" s="25">
        <v>0</v>
      </c>
      <c r="J136" s="25">
        <v>0</v>
      </c>
      <c r="K136" s="25">
        <v>0</v>
      </c>
      <c r="L136" s="25">
        <v>0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0</v>
      </c>
      <c r="W136" s="25">
        <v>0</v>
      </c>
      <c r="X136" s="25">
        <v>0</v>
      </c>
      <c r="Y136" s="25">
        <v>0</v>
      </c>
      <c r="Z136" s="25">
        <v>0</v>
      </c>
      <c r="AA136" s="25">
        <v>1</v>
      </c>
      <c r="AB136" s="25">
        <v>0</v>
      </c>
      <c r="AC136" s="25">
        <v>0</v>
      </c>
      <c r="AD136" s="25">
        <v>0</v>
      </c>
      <c r="AE136" s="25">
        <v>0</v>
      </c>
      <c r="AF136" s="25">
        <v>0</v>
      </c>
      <c r="AG136" s="25">
        <v>0</v>
      </c>
      <c r="AH136" s="25">
        <v>0</v>
      </c>
      <c r="AI136" s="25">
        <v>0</v>
      </c>
      <c r="AJ136" s="25">
        <v>0</v>
      </c>
      <c r="AK136" s="25">
        <v>0</v>
      </c>
      <c r="AL136" s="25">
        <v>0</v>
      </c>
      <c r="AM136" s="25">
        <v>0</v>
      </c>
      <c r="AN136" s="25">
        <v>0</v>
      </c>
      <c r="AO136" s="25">
        <v>0</v>
      </c>
      <c r="AP136" s="25">
        <v>0</v>
      </c>
      <c r="AQ136" s="25">
        <v>0</v>
      </c>
      <c r="AR136" s="25">
        <v>0</v>
      </c>
      <c r="AS136" s="25">
        <v>0</v>
      </c>
      <c r="AT136" s="25">
        <v>0</v>
      </c>
      <c r="AU136" s="25">
        <v>0</v>
      </c>
      <c r="AV136" s="25">
        <v>0</v>
      </c>
      <c r="AW136" s="25">
        <v>0</v>
      </c>
      <c r="AX136" s="25">
        <v>0</v>
      </c>
      <c r="AY136" s="25">
        <v>0</v>
      </c>
      <c r="AZ136" s="25">
        <v>0</v>
      </c>
      <c r="BA136" s="25">
        <v>0</v>
      </c>
      <c r="BB136" s="25">
        <v>0</v>
      </c>
      <c r="BC136" s="25">
        <v>0</v>
      </c>
      <c r="BD136" s="25">
        <v>0</v>
      </c>
      <c r="BE136" s="25">
        <v>0</v>
      </c>
      <c r="BF136" s="25">
        <v>0</v>
      </c>
      <c r="BG136" s="25">
        <v>0</v>
      </c>
      <c r="BH136" s="25">
        <v>0</v>
      </c>
      <c r="BI136" s="25">
        <v>0</v>
      </c>
      <c r="BJ136" s="25">
        <v>0</v>
      </c>
      <c r="BK136" s="25">
        <v>1</v>
      </c>
      <c r="BL136" s="25">
        <v>0</v>
      </c>
      <c r="BM136" s="25">
        <v>0</v>
      </c>
      <c r="BN136" s="25">
        <v>0</v>
      </c>
      <c r="BO136" s="25">
        <v>0</v>
      </c>
      <c r="BP136" s="25">
        <v>0</v>
      </c>
      <c r="BQ136" s="25">
        <v>0</v>
      </c>
      <c r="BR136" s="25">
        <v>0</v>
      </c>
      <c r="BS136" s="25">
        <v>0</v>
      </c>
      <c r="BT136" s="25">
        <v>0</v>
      </c>
      <c r="BU136" s="25">
        <v>0</v>
      </c>
      <c r="BV136" s="25">
        <v>0</v>
      </c>
      <c r="BW136" s="25">
        <v>0</v>
      </c>
      <c r="BX136" s="25">
        <v>0</v>
      </c>
      <c r="BY136" s="25">
        <v>0</v>
      </c>
      <c r="BZ136" s="25">
        <v>0</v>
      </c>
      <c r="CA136" s="25">
        <v>0</v>
      </c>
      <c r="CB136" s="25">
        <v>0</v>
      </c>
      <c r="CC136" s="25">
        <v>0</v>
      </c>
      <c r="CD136" s="25">
        <v>1</v>
      </c>
      <c r="CE136" s="25">
        <v>0</v>
      </c>
      <c r="CF136" s="25">
        <v>0</v>
      </c>
      <c r="CG136" s="25">
        <v>0</v>
      </c>
      <c r="CH136" s="25">
        <v>0</v>
      </c>
      <c r="CI136" s="25">
        <v>0</v>
      </c>
      <c r="CJ136" s="25">
        <v>0</v>
      </c>
      <c r="CK136" s="25">
        <v>0</v>
      </c>
      <c r="CL136" s="25">
        <v>0</v>
      </c>
      <c r="CM136" s="25">
        <v>0</v>
      </c>
      <c r="CN136" s="25">
        <v>0</v>
      </c>
      <c r="CO136" s="25">
        <v>0</v>
      </c>
      <c r="CP136" s="25">
        <v>0</v>
      </c>
      <c r="CQ136" s="25">
        <v>1</v>
      </c>
      <c r="CR136" s="25">
        <v>0</v>
      </c>
      <c r="CS136" s="25">
        <v>0</v>
      </c>
      <c r="CT136" s="25">
        <v>0</v>
      </c>
      <c r="CU136" s="25">
        <v>1</v>
      </c>
      <c r="CV136" s="25">
        <v>0</v>
      </c>
      <c r="CW136" s="25">
        <v>0</v>
      </c>
      <c r="CX136" s="25">
        <v>0</v>
      </c>
      <c r="CY136" s="25">
        <v>0</v>
      </c>
      <c r="CZ136" s="25">
        <v>0</v>
      </c>
      <c r="DA136" s="25">
        <v>0</v>
      </c>
      <c r="DB136" s="25">
        <v>1</v>
      </c>
      <c r="DC136" s="25">
        <v>0</v>
      </c>
      <c r="DD136" s="25">
        <v>0</v>
      </c>
      <c r="DE136" s="25">
        <v>0</v>
      </c>
      <c r="DF136" s="25">
        <v>0</v>
      </c>
      <c r="DG136" s="25">
        <v>0</v>
      </c>
      <c r="DH136" s="25">
        <v>0</v>
      </c>
      <c r="DI136" s="25">
        <v>0</v>
      </c>
      <c r="DJ136" s="25">
        <v>0</v>
      </c>
    </row>
    <row r="137" spans="1:114" s="25" customFormat="1" x14ac:dyDescent="0.25">
      <c r="A137" s="25">
        <v>136</v>
      </c>
      <c r="B137" s="1" t="s">
        <v>40</v>
      </c>
      <c r="C137" s="26" t="s">
        <v>283</v>
      </c>
      <c r="D137" t="s">
        <v>1802</v>
      </c>
      <c r="E137" s="25">
        <v>1.2862899999999999</v>
      </c>
      <c r="F137" s="25" t="s">
        <v>1538</v>
      </c>
      <c r="G137" s="25" t="s">
        <v>14</v>
      </c>
      <c r="H137" s="25" t="s">
        <v>17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0</v>
      </c>
      <c r="W137" s="25">
        <v>0</v>
      </c>
      <c r="X137" s="25">
        <v>0</v>
      </c>
      <c r="Y137" s="25">
        <v>0</v>
      </c>
      <c r="Z137" s="25">
        <v>0</v>
      </c>
      <c r="AA137" s="25">
        <v>0</v>
      </c>
      <c r="AB137" s="25">
        <v>0</v>
      </c>
      <c r="AC137" s="25">
        <v>0</v>
      </c>
      <c r="AD137" s="25">
        <v>0</v>
      </c>
      <c r="AE137" s="25">
        <v>0</v>
      </c>
      <c r="AF137" s="25">
        <v>0</v>
      </c>
      <c r="AG137" s="25">
        <v>0</v>
      </c>
      <c r="AH137" s="25">
        <v>0</v>
      </c>
      <c r="AI137" s="25">
        <v>0</v>
      </c>
      <c r="AJ137" s="25">
        <v>0</v>
      </c>
      <c r="AK137" s="25">
        <v>0</v>
      </c>
      <c r="AL137" s="25">
        <v>0</v>
      </c>
      <c r="AM137" s="25">
        <v>0</v>
      </c>
      <c r="AN137" s="25">
        <v>0</v>
      </c>
      <c r="AO137" s="25">
        <v>0</v>
      </c>
      <c r="AP137" s="25">
        <v>0</v>
      </c>
      <c r="AQ137" s="25">
        <v>0</v>
      </c>
      <c r="AR137" s="25">
        <v>0</v>
      </c>
      <c r="AS137" s="25">
        <v>0</v>
      </c>
      <c r="AT137" s="25">
        <v>0</v>
      </c>
      <c r="AU137" s="25">
        <v>0</v>
      </c>
      <c r="AV137" s="25">
        <v>0</v>
      </c>
      <c r="AW137" s="25">
        <v>0</v>
      </c>
      <c r="AX137" s="25">
        <v>0</v>
      </c>
      <c r="AY137" s="25">
        <v>0</v>
      </c>
      <c r="AZ137" s="25">
        <v>0</v>
      </c>
      <c r="BA137" s="25">
        <v>0</v>
      </c>
      <c r="BB137" s="25">
        <v>0</v>
      </c>
      <c r="BC137" s="25">
        <v>0</v>
      </c>
      <c r="BD137" s="25">
        <v>0</v>
      </c>
      <c r="BE137" s="25">
        <v>0</v>
      </c>
      <c r="BF137" s="25">
        <v>0</v>
      </c>
      <c r="BG137" s="25">
        <v>0</v>
      </c>
      <c r="BH137" s="25">
        <v>0</v>
      </c>
      <c r="BI137" s="25">
        <v>0</v>
      </c>
      <c r="BJ137" s="25">
        <v>0</v>
      </c>
      <c r="BK137" s="25">
        <v>0</v>
      </c>
      <c r="BL137" s="25">
        <v>0</v>
      </c>
      <c r="BM137" s="25">
        <v>0</v>
      </c>
      <c r="BN137" s="25">
        <v>0</v>
      </c>
      <c r="BO137" s="25">
        <v>0</v>
      </c>
      <c r="BP137" s="25">
        <v>0</v>
      </c>
      <c r="BQ137" s="25">
        <v>0</v>
      </c>
      <c r="BR137" s="25">
        <v>0</v>
      </c>
      <c r="BS137" s="25">
        <v>0</v>
      </c>
      <c r="BT137" s="25">
        <v>0</v>
      </c>
      <c r="BU137" s="25">
        <v>0</v>
      </c>
      <c r="BV137" s="25">
        <v>0</v>
      </c>
      <c r="BW137" s="25">
        <v>0</v>
      </c>
      <c r="BX137" s="25">
        <v>0</v>
      </c>
      <c r="BY137" s="25">
        <v>1</v>
      </c>
      <c r="BZ137" s="25">
        <v>0</v>
      </c>
      <c r="CA137" s="25">
        <v>0</v>
      </c>
      <c r="CB137" s="25">
        <v>0</v>
      </c>
      <c r="CC137" s="25">
        <v>0</v>
      </c>
      <c r="CD137" s="25">
        <v>0</v>
      </c>
      <c r="CE137" s="25">
        <v>0</v>
      </c>
      <c r="CF137" s="25">
        <v>0</v>
      </c>
      <c r="CG137" s="25">
        <v>0</v>
      </c>
      <c r="CH137" s="25">
        <v>0</v>
      </c>
      <c r="CI137" s="25">
        <v>0</v>
      </c>
      <c r="CJ137" s="25">
        <v>0</v>
      </c>
      <c r="CK137" s="25">
        <v>0</v>
      </c>
      <c r="CL137" s="25">
        <v>0</v>
      </c>
      <c r="CM137" s="25">
        <v>0</v>
      </c>
      <c r="CN137" s="25">
        <v>0</v>
      </c>
      <c r="CO137" s="25">
        <v>0</v>
      </c>
      <c r="CP137" s="25">
        <v>0</v>
      </c>
      <c r="CQ137" s="25">
        <v>0</v>
      </c>
      <c r="CR137" s="25">
        <v>0</v>
      </c>
      <c r="CS137" s="25">
        <v>0</v>
      </c>
      <c r="CT137" s="25">
        <v>0</v>
      </c>
      <c r="CU137" s="25">
        <v>0</v>
      </c>
      <c r="CV137" s="25">
        <v>0</v>
      </c>
      <c r="CW137" s="25">
        <v>0</v>
      </c>
      <c r="CX137" s="25">
        <v>0</v>
      </c>
      <c r="CY137" s="25">
        <v>0</v>
      </c>
      <c r="CZ137" s="25">
        <v>0</v>
      </c>
      <c r="DA137" s="25">
        <v>0</v>
      </c>
      <c r="DB137" s="25">
        <v>0</v>
      </c>
      <c r="DC137" s="25">
        <v>0</v>
      </c>
      <c r="DD137" s="25">
        <v>0</v>
      </c>
      <c r="DE137" s="25">
        <v>0</v>
      </c>
      <c r="DF137" s="25">
        <v>0</v>
      </c>
      <c r="DG137" s="25">
        <v>0</v>
      </c>
      <c r="DH137" s="25">
        <v>0</v>
      </c>
      <c r="DI137" s="25">
        <v>0</v>
      </c>
      <c r="DJ137" s="25">
        <v>0</v>
      </c>
    </row>
    <row r="138" spans="1:114" s="25" customFormat="1" x14ac:dyDescent="0.25"/>
    <row r="139" spans="1:114" s="25" customFormat="1" x14ac:dyDescent="0.25"/>
  </sheetData>
  <autoFilter ref="A1:DJ137" xr:uid="{00000000-0009-0000-0000-000004000000}">
    <sortState xmlns:xlrd2="http://schemas.microsoft.com/office/spreadsheetml/2017/richdata2" ref="A2:DJ137">
      <sortCondition ref="A1:A137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76" sqref="A76"/>
    </sheetView>
  </sheetViews>
  <sheetFormatPr defaultRowHeight="15" x14ac:dyDescent="0.25"/>
  <cols>
    <col min="1" max="1" width="30.28515625" style="2" bestFit="1" customWidth="1"/>
    <col min="2" max="2" width="27" bestFit="1" customWidth="1"/>
    <col min="3" max="3" width="11" bestFit="1" customWidth="1"/>
    <col min="4" max="4" width="10.5703125" bestFit="1" customWidth="1"/>
    <col min="5" max="5" width="12.5703125" bestFit="1" customWidth="1"/>
    <col min="6" max="6" width="10.5703125" bestFit="1" customWidth="1"/>
    <col min="7" max="7" width="8" bestFit="1" customWidth="1"/>
    <col min="8" max="9" width="12.28515625" bestFit="1" customWidth="1"/>
    <col min="10" max="10" width="5.140625" bestFit="1" customWidth="1"/>
    <col min="11" max="13" width="12.28515625" bestFit="1" customWidth="1"/>
  </cols>
  <sheetData>
    <row r="1" spans="1:13" s="29" customFormat="1" x14ac:dyDescent="0.25">
      <c r="A1" s="29" t="s">
        <v>12</v>
      </c>
      <c r="B1" s="29" t="s">
        <v>2</v>
      </c>
      <c r="C1" s="29" t="s">
        <v>6</v>
      </c>
      <c r="D1" s="29" t="s">
        <v>21</v>
      </c>
      <c r="E1" s="29" t="s">
        <v>1540</v>
      </c>
      <c r="F1" s="29" t="s">
        <v>1533</v>
      </c>
      <c r="G1" s="29" t="s">
        <v>1532</v>
      </c>
      <c r="H1" s="29" t="s">
        <v>1758</v>
      </c>
      <c r="I1" s="29" t="s">
        <v>1759</v>
      </c>
      <c r="J1" s="29" t="s">
        <v>237</v>
      </c>
      <c r="K1" s="29" t="s">
        <v>1760</v>
      </c>
      <c r="L1" s="29" t="s">
        <v>1761</v>
      </c>
      <c r="M1" s="29" t="s">
        <v>1762</v>
      </c>
    </row>
    <row r="2" spans="1:13" s="25" customFormat="1" x14ac:dyDescent="0.25">
      <c r="A2" s="29" t="s">
        <v>525</v>
      </c>
      <c r="B2" s="25" t="s">
        <v>1440</v>
      </c>
      <c r="C2" s="25" t="s">
        <v>1536</v>
      </c>
      <c r="D2" s="25" t="s">
        <v>14</v>
      </c>
      <c r="E2" s="25" t="s">
        <v>17</v>
      </c>
      <c r="F2" s="25">
        <v>5.1398900000000003</v>
      </c>
      <c r="G2" s="25">
        <v>280</v>
      </c>
      <c r="H2" s="38">
        <v>12.772025801025899</v>
      </c>
      <c r="I2" s="38">
        <v>12.761070976039299</v>
      </c>
      <c r="J2" s="25">
        <v>23</v>
      </c>
      <c r="K2" s="25">
        <v>67.342277092041897</v>
      </c>
      <c r="L2" s="25">
        <v>4.5488318839160202</v>
      </c>
      <c r="M2" s="25">
        <v>8.8002376319123705</v>
      </c>
    </row>
    <row r="3" spans="1:13" s="25" customFormat="1" x14ac:dyDescent="0.25">
      <c r="A3" s="29" t="s">
        <v>525</v>
      </c>
      <c r="B3" s="25" t="s">
        <v>1440</v>
      </c>
      <c r="C3" s="25" t="s">
        <v>1536</v>
      </c>
      <c r="D3" s="25" t="s">
        <v>14</v>
      </c>
      <c r="E3" s="25" t="s">
        <v>17</v>
      </c>
      <c r="F3" s="25">
        <v>5.64276</v>
      </c>
      <c r="G3" s="25">
        <v>280</v>
      </c>
      <c r="H3" s="38">
        <v>11.105373975113601</v>
      </c>
      <c r="I3" s="38">
        <v>5.7726951917045302</v>
      </c>
      <c r="J3" s="25">
        <v>25</v>
      </c>
      <c r="K3" s="25">
        <v>29.568074527596501</v>
      </c>
      <c r="L3" s="25">
        <v>2.75872176972325</v>
      </c>
      <c r="M3" s="25">
        <v>8.7843279173835906</v>
      </c>
    </row>
    <row r="4" spans="1:13" s="25" customFormat="1" x14ac:dyDescent="0.25">
      <c r="A4" s="29" t="s">
        <v>166</v>
      </c>
      <c r="B4" s="25" t="s">
        <v>54</v>
      </c>
      <c r="C4" s="25" t="s">
        <v>1537</v>
      </c>
      <c r="D4" s="25" t="s">
        <v>15</v>
      </c>
      <c r="E4" s="25" t="s">
        <v>16</v>
      </c>
      <c r="F4" s="25">
        <v>-43.362099999999998</v>
      </c>
      <c r="G4" s="25">
        <v>300</v>
      </c>
      <c r="H4" s="38">
        <v>11.9314568841961</v>
      </c>
      <c r="I4" s="38">
        <v>6.88354042638138</v>
      </c>
      <c r="J4" s="25">
        <v>3</v>
      </c>
      <c r="K4" s="25">
        <v>16.6102911057135</v>
      </c>
      <c r="L4" s="25">
        <v>4.0274632803613102</v>
      </c>
      <c r="M4" s="25">
        <v>15.156616266513501</v>
      </c>
    </row>
    <row r="5" spans="1:13" s="25" customFormat="1" x14ac:dyDescent="0.25">
      <c r="A5" s="29" t="s">
        <v>214</v>
      </c>
      <c r="B5" s="25" t="s">
        <v>78</v>
      </c>
      <c r="C5" s="25" t="s">
        <v>1537</v>
      </c>
      <c r="D5" s="25" t="s">
        <v>13</v>
      </c>
      <c r="E5" s="25" t="s">
        <v>16</v>
      </c>
      <c r="F5" s="25">
        <v>-48.765300000000003</v>
      </c>
      <c r="G5" s="25">
        <v>300</v>
      </c>
      <c r="H5" s="38">
        <v>7.0400149935732497</v>
      </c>
      <c r="I5" s="38">
        <v>3.07424722431645</v>
      </c>
      <c r="J5" s="25">
        <v>46</v>
      </c>
      <c r="K5" s="25">
        <v>15.597083294021999</v>
      </c>
      <c r="L5" s="25">
        <v>1.3834355287090001</v>
      </c>
      <c r="M5" s="25">
        <v>6.9725829711830096</v>
      </c>
    </row>
    <row r="6" spans="1:13" s="25" customFormat="1" x14ac:dyDescent="0.25">
      <c r="A6" s="29" t="s">
        <v>141</v>
      </c>
      <c r="B6" s="25" t="s">
        <v>142</v>
      </c>
      <c r="C6" s="25" t="s">
        <v>1537</v>
      </c>
      <c r="D6" s="25" t="s">
        <v>14</v>
      </c>
      <c r="E6" s="25" t="s">
        <v>17</v>
      </c>
      <c r="F6" s="25">
        <v>-25.666599999999999</v>
      </c>
      <c r="G6" s="25">
        <v>360</v>
      </c>
      <c r="H6" s="38">
        <v>5.2622094724399204</v>
      </c>
      <c r="I6" s="38">
        <v>2.8348433433314701</v>
      </c>
      <c r="J6" s="25">
        <v>9</v>
      </c>
      <c r="K6" s="25">
        <v>10.1558715124962</v>
      </c>
      <c r="L6" s="25">
        <v>2.2150875710946698</v>
      </c>
      <c r="M6" s="25">
        <v>4.3591732890552297</v>
      </c>
    </row>
    <row r="7" spans="1:13" s="25" customFormat="1" x14ac:dyDescent="0.25">
      <c r="A7" s="29" t="s">
        <v>968</v>
      </c>
      <c r="B7" s="25" t="s">
        <v>223</v>
      </c>
      <c r="C7" s="25" t="s">
        <v>1537</v>
      </c>
      <c r="D7" s="25" t="s">
        <v>13</v>
      </c>
      <c r="E7" s="25" t="s">
        <v>17</v>
      </c>
      <c r="F7" s="25">
        <v>-42.697899999999997</v>
      </c>
      <c r="G7" s="25">
        <v>300</v>
      </c>
      <c r="H7" s="38">
        <v>5.63049558275371</v>
      </c>
      <c r="I7" s="38">
        <v>1.7164126441183201</v>
      </c>
      <c r="J7" s="25">
        <v>110</v>
      </c>
      <c r="K7" s="25">
        <v>9.6662549606543902</v>
      </c>
      <c r="L7" s="25">
        <v>0.627</v>
      </c>
      <c r="M7" s="25">
        <v>5.8150000000000004</v>
      </c>
    </row>
    <row r="8" spans="1:13" s="25" customFormat="1" x14ac:dyDescent="0.25">
      <c r="A8" s="29" t="s">
        <v>410</v>
      </c>
      <c r="B8" s="25" t="s">
        <v>412</v>
      </c>
      <c r="C8" s="25" t="s">
        <v>1538</v>
      </c>
      <c r="D8" s="25" t="s">
        <v>15</v>
      </c>
      <c r="E8" s="25" t="s">
        <v>16</v>
      </c>
      <c r="F8" s="25">
        <v>-3.8494100000000002</v>
      </c>
      <c r="G8" s="25">
        <v>320</v>
      </c>
      <c r="H8" s="38">
        <v>24.0804680115167</v>
      </c>
      <c r="I8" s="38">
        <v>5.4891467608387998</v>
      </c>
      <c r="J8" s="25">
        <v>3</v>
      </c>
      <c r="K8" s="25">
        <v>28.651863920830799</v>
      </c>
      <c r="L8" s="25">
        <v>17.9924698658888</v>
      </c>
      <c r="M8" s="25">
        <v>25.597070247830398</v>
      </c>
    </row>
    <row r="9" spans="1:13" s="25" customFormat="1" x14ac:dyDescent="0.25">
      <c r="A9" s="29" t="s">
        <v>1447</v>
      </c>
      <c r="B9" s="25" t="s">
        <v>223</v>
      </c>
      <c r="C9" s="25" t="s">
        <v>1539</v>
      </c>
      <c r="D9" s="25" t="s">
        <v>13</v>
      </c>
      <c r="E9" s="25" t="s">
        <v>16</v>
      </c>
      <c r="F9" s="25">
        <v>-57.529600000000002</v>
      </c>
      <c r="G9" s="25">
        <v>320</v>
      </c>
      <c r="H9" s="38">
        <v>7.2271471597822199</v>
      </c>
      <c r="I9" s="38">
        <v>2.93650670095229</v>
      </c>
      <c r="J9" s="25">
        <v>7</v>
      </c>
      <c r="K9" s="25">
        <v>12.7925643453276</v>
      </c>
      <c r="L9" s="25">
        <v>3.4222677987925301</v>
      </c>
      <c r="M9" s="25">
        <v>6.0865592040704604</v>
      </c>
    </row>
    <row r="10" spans="1:13" s="25" customFormat="1" x14ac:dyDescent="0.25">
      <c r="A10" s="29" t="s">
        <v>1053</v>
      </c>
      <c r="B10" s="25" t="s">
        <v>223</v>
      </c>
      <c r="C10" s="25" t="s">
        <v>1539</v>
      </c>
      <c r="D10" s="25" t="s">
        <v>13</v>
      </c>
      <c r="E10" s="25" t="s">
        <v>16</v>
      </c>
      <c r="F10" s="25">
        <v>-50.980400000000003</v>
      </c>
      <c r="G10" s="25">
        <v>300</v>
      </c>
      <c r="H10" s="38">
        <v>5.4113283080427603</v>
      </c>
      <c r="I10" s="38">
        <v>2.7722522483573502</v>
      </c>
      <c r="J10" s="25">
        <v>13</v>
      </c>
      <c r="K10" s="25">
        <v>10.306417762132201</v>
      </c>
      <c r="L10" s="25">
        <v>2.2889128564223902</v>
      </c>
      <c r="M10" s="25">
        <v>4.4948013174030503</v>
      </c>
    </row>
    <row r="11" spans="1:13" s="25" customFormat="1" x14ac:dyDescent="0.25">
      <c r="A11" s="29" t="s">
        <v>1053</v>
      </c>
      <c r="B11" s="25" t="s">
        <v>223</v>
      </c>
      <c r="C11" s="25" t="s">
        <v>1539</v>
      </c>
      <c r="D11" s="25" t="s">
        <v>13</v>
      </c>
      <c r="E11" s="25" t="s">
        <v>17</v>
      </c>
      <c r="F11" s="25">
        <v>-49.540300000000002</v>
      </c>
      <c r="G11" s="25">
        <v>300</v>
      </c>
      <c r="H11" s="38">
        <v>6.1581368525872904</v>
      </c>
      <c r="I11" s="38">
        <v>0.84292810830812603</v>
      </c>
      <c r="J11" s="25">
        <v>4</v>
      </c>
      <c r="K11" s="25">
        <v>7.3154965118303101</v>
      </c>
      <c r="L11" s="25">
        <v>5.3491504527258398</v>
      </c>
      <c r="M11" s="25">
        <v>5.9839502228965102</v>
      </c>
    </row>
    <row r="12" spans="1:13" s="25" customFormat="1" x14ac:dyDescent="0.25">
      <c r="A12" s="29" t="s">
        <v>1765</v>
      </c>
      <c r="B12" s="26" t="s">
        <v>814</v>
      </c>
      <c r="C12" s="25" t="s">
        <v>1538</v>
      </c>
      <c r="D12" s="25" t="s">
        <v>15</v>
      </c>
      <c r="E12" s="25" t="s">
        <v>17</v>
      </c>
      <c r="F12" s="25">
        <v>4.5778499999999998</v>
      </c>
      <c r="G12" s="25">
        <v>300</v>
      </c>
      <c r="H12" s="38">
        <v>1.1280067266012801</v>
      </c>
      <c r="I12" s="38" t="s">
        <v>1763</v>
      </c>
      <c r="J12" s="25">
        <v>1</v>
      </c>
      <c r="K12" s="25">
        <v>1.1280067266012801</v>
      </c>
      <c r="L12" s="25">
        <v>1.1280067266012801</v>
      </c>
      <c r="M12" s="25">
        <v>1.1280067266012801</v>
      </c>
    </row>
    <row r="13" spans="1:13" s="25" customFormat="1" x14ac:dyDescent="0.25">
      <c r="A13" s="29" t="s">
        <v>1569</v>
      </c>
      <c r="B13" s="25" t="s">
        <v>1440</v>
      </c>
      <c r="C13" s="25" t="s">
        <v>1538</v>
      </c>
      <c r="D13" s="25" t="s">
        <v>15</v>
      </c>
      <c r="E13" s="25" t="s">
        <v>18</v>
      </c>
      <c r="F13" s="25">
        <v>1.1099000000000001</v>
      </c>
      <c r="G13" s="25">
        <v>280</v>
      </c>
      <c r="H13" s="38">
        <v>5.9787084209028398</v>
      </c>
      <c r="I13" s="38">
        <v>3.7207703062230202</v>
      </c>
      <c r="J13" s="25">
        <v>28</v>
      </c>
      <c r="K13" s="25">
        <v>15.965544661421999</v>
      </c>
      <c r="L13" s="25">
        <v>0.84153165099744498</v>
      </c>
      <c r="M13" s="25">
        <v>5.5155607145266901</v>
      </c>
    </row>
    <row r="14" spans="1:13" s="25" customFormat="1" x14ac:dyDescent="0.25">
      <c r="A14" s="29" t="s">
        <v>572</v>
      </c>
      <c r="B14" s="25" t="s">
        <v>1440</v>
      </c>
      <c r="C14" s="25" t="s">
        <v>1538</v>
      </c>
      <c r="D14" s="25" t="s">
        <v>13</v>
      </c>
      <c r="E14" s="25" t="s">
        <v>17</v>
      </c>
      <c r="F14" s="25">
        <v>1.98817</v>
      </c>
      <c r="G14" s="25">
        <v>280</v>
      </c>
      <c r="H14" s="38">
        <v>7.2289191121118401</v>
      </c>
      <c r="I14" s="38">
        <v>3.5623907575623299</v>
      </c>
      <c r="J14" s="25">
        <v>2</v>
      </c>
      <c r="K14" s="25">
        <v>9.7479097740204494</v>
      </c>
      <c r="L14" s="25">
        <v>4.7099284502032397</v>
      </c>
      <c r="M14" s="25">
        <v>7.2289191121118401</v>
      </c>
    </row>
    <row r="15" spans="1:13" s="25" customFormat="1" x14ac:dyDescent="0.25">
      <c r="A15" s="29" t="s">
        <v>715</v>
      </c>
      <c r="B15" s="25" t="s">
        <v>1526</v>
      </c>
      <c r="C15" s="25" t="s">
        <v>1536</v>
      </c>
      <c r="D15" s="25" t="s">
        <v>14</v>
      </c>
      <c r="E15" s="25" t="s">
        <v>18</v>
      </c>
      <c r="F15" s="25">
        <v>11.5609</v>
      </c>
      <c r="G15" s="25">
        <v>280</v>
      </c>
      <c r="H15" s="38">
        <v>35.0994591572383</v>
      </c>
      <c r="I15" s="38">
        <v>21.415457350818201</v>
      </c>
      <c r="J15" s="25">
        <v>33</v>
      </c>
      <c r="K15" s="25">
        <v>95.640641545771601</v>
      </c>
      <c r="L15" s="25">
        <v>5.20199513895572</v>
      </c>
      <c r="M15" s="25">
        <v>27.145353113482301</v>
      </c>
    </row>
    <row r="16" spans="1:13" s="25" customFormat="1" x14ac:dyDescent="0.25">
      <c r="A16" s="29" t="s">
        <v>859</v>
      </c>
      <c r="B16" s="25" t="s">
        <v>860</v>
      </c>
      <c r="C16" s="25" t="s">
        <v>1538</v>
      </c>
      <c r="D16" s="25" t="s">
        <v>15</v>
      </c>
      <c r="E16" s="25" t="s">
        <v>18</v>
      </c>
      <c r="F16" s="25">
        <v>-2.0062799999999998</v>
      </c>
      <c r="G16" s="25">
        <v>280</v>
      </c>
      <c r="H16" s="38">
        <v>8.7978343444333795</v>
      </c>
      <c r="I16" s="38">
        <v>3.42195179794148</v>
      </c>
      <c r="J16" s="25">
        <v>11</v>
      </c>
      <c r="K16" s="25">
        <v>15.293437938742899</v>
      </c>
      <c r="L16" s="25">
        <v>2.7890799442048801</v>
      </c>
      <c r="M16" s="25">
        <v>8.9548641006558594</v>
      </c>
    </row>
    <row r="17" spans="1:13" s="25" customFormat="1" x14ac:dyDescent="0.25">
      <c r="A17" s="29" t="s">
        <v>1250</v>
      </c>
      <c r="B17" s="25" t="s">
        <v>97</v>
      </c>
      <c r="C17" s="25" t="s">
        <v>1538</v>
      </c>
      <c r="D17" s="25" t="s">
        <v>15</v>
      </c>
      <c r="E17" s="25" t="s">
        <v>18</v>
      </c>
      <c r="F17" s="25">
        <v>-6.8112700000000004</v>
      </c>
      <c r="G17" s="25">
        <v>300</v>
      </c>
      <c r="H17" s="38">
        <v>283.85631462563703</v>
      </c>
      <c r="I17" s="38">
        <v>78.447797736976398</v>
      </c>
      <c r="J17" s="25">
        <v>4</v>
      </c>
      <c r="K17" s="25">
        <v>358.79544345421903</v>
      </c>
      <c r="L17" s="25">
        <v>183.821542238517</v>
      </c>
      <c r="M17" s="25">
        <v>296.40413640490499</v>
      </c>
    </row>
    <row r="18" spans="1:13" s="25" customFormat="1" x14ac:dyDescent="0.25">
      <c r="A18" s="29" t="s">
        <v>351</v>
      </c>
      <c r="B18" s="25" t="s">
        <v>194</v>
      </c>
      <c r="C18" s="25" t="s">
        <v>1537</v>
      </c>
      <c r="D18" s="25" t="s">
        <v>14</v>
      </c>
      <c r="E18" s="25" t="s">
        <v>17</v>
      </c>
      <c r="F18" s="25">
        <v>-9.1718499999999992</v>
      </c>
      <c r="G18" s="25">
        <v>320</v>
      </c>
      <c r="H18" s="38">
        <v>266.61452138031098</v>
      </c>
      <c r="I18" s="38">
        <v>74.909862429559496</v>
      </c>
      <c r="J18" s="25">
        <v>19</v>
      </c>
      <c r="K18" s="25">
        <v>406.22986358171602</v>
      </c>
      <c r="L18" s="25">
        <v>127.855230196009</v>
      </c>
      <c r="M18" s="25">
        <v>275.29921800583003</v>
      </c>
    </row>
    <row r="19" spans="1:13" s="25" customFormat="1" x14ac:dyDescent="0.25">
      <c r="A19" s="29" t="s">
        <v>1441</v>
      </c>
      <c r="B19" s="25" t="s">
        <v>1442</v>
      </c>
      <c r="C19" s="25" t="s">
        <v>1536</v>
      </c>
      <c r="D19" s="25" t="s">
        <v>14</v>
      </c>
      <c r="E19" s="25" t="s">
        <v>18</v>
      </c>
      <c r="F19" s="25">
        <v>11.364800000000001</v>
      </c>
      <c r="G19" s="25">
        <v>280</v>
      </c>
      <c r="H19" s="38">
        <v>52.666651238592898</v>
      </c>
      <c r="I19" s="38">
        <v>20.600574613750499</v>
      </c>
      <c r="J19" s="25">
        <v>9</v>
      </c>
      <c r="K19" s="25">
        <v>96.6276964204433</v>
      </c>
      <c r="L19" s="25">
        <v>25.4039279174387</v>
      </c>
      <c r="M19" s="25">
        <v>56.860785938976299</v>
      </c>
    </row>
    <row r="20" spans="1:13" s="25" customFormat="1" x14ac:dyDescent="0.25">
      <c r="A20" s="29" t="s">
        <v>234</v>
      </c>
      <c r="B20" s="25" t="s">
        <v>235</v>
      </c>
      <c r="C20" s="25" t="s">
        <v>1539</v>
      </c>
      <c r="D20" s="25" t="s">
        <v>13</v>
      </c>
      <c r="E20" s="25" t="s">
        <v>16</v>
      </c>
      <c r="F20" s="25">
        <v>-71.659599999999998</v>
      </c>
      <c r="G20" s="25">
        <v>300</v>
      </c>
      <c r="H20" s="38">
        <v>11.997919413996399</v>
      </c>
      <c r="I20" s="38">
        <v>5.3486064066478498</v>
      </c>
      <c r="J20" s="25">
        <v>47</v>
      </c>
      <c r="K20" s="25">
        <v>24.811824695970898</v>
      </c>
      <c r="L20" s="25">
        <v>1.24776560769982</v>
      </c>
      <c r="M20" s="25">
        <v>11.1271014265463</v>
      </c>
    </row>
    <row r="21" spans="1:13" s="25" customFormat="1" x14ac:dyDescent="0.25">
      <c r="A21" s="29" t="s">
        <v>1443</v>
      </c>
      <c r="B21" s="25" t="s">
        <v>235</v>
      </c>
      <c r="C21" s="25" t="s">
        <v>1539</v>
      </c>
      <c r="D21" s="25" t="s">
        <v>13</v>
      </c>
      <c r="E21" s="25" t="s">
        <v>16</v>
      </c>
      <c r="F21" s="25">
        <v>-58.739899999999999</v>
      </c>
      <c r="G21" s="25">
        <v>280</v>
      </c>
      <c r="H21" s="38">
        <v>34.413950238189202</v>
      </c>
      <c r="I21" s="38">
        <v>30.729455444578502</v>
      </c>
      <c r="J21" s="25">
        <v>3</v>
      </c>
      <c r="K21" s="25">
        <v>69.897268159202596</v>
      </c>
      <c r="L21" s="25">
        <v>16.6656650004056</v>
      </c>
      <c r="M21" s="25">
        <v>16.678917554959401</v>
      </c>
    </row>
    <row r="22" spans="1:13" s="25" customFormat="1" x14ac:dyDescent="0.25">
      <c r="A22" s="29" t="s">
        <v>381</v>
      </c>
      <c r="B22" s="25" t="s">
        <v>383</v>
      </c>
      <c r="C22" s="25" t="s">
        <v>1538</v>
      </c>
      <c r="D22" s="25" t="s">
        <v>14</v>
      </c>
      <c r="E22" s="25" t="s">
        <v>17</v>
      </c>
      <c r="F22" s="25">
        <v>0.49387300000000001</v>
      </c>
      <c r="G22" s="25">
        <v>300</v>
      </c>
      <c r="H22" s="38">
        <v>486.26368314165597</v>
      </c>
      <c r="I22" s="40">
        <v>181.77738066896299</v>
      </c>
      <c r="J22" s="25">
        <v>2</v>
      </c>
      <c r="K22" s="25">
        <v>614.79970167900899</v>
      </c>
      <c r="L22" s="25">
        <v>357.72766460430398</v>
      </c>
      <c r="M22" s="25">
        <v>486.26368314165597</v>
      </c>
    </row>
    <row r="23" spans="1:13" s="25" customFormat="1" x14ac:dyDescent="0.25">
      <c r="A23" s="29" t="s">
        <v>381</v>
      </c>
      <c r="B23" s="25" t="s">
        <v>383</v>
      </c>
      <c r="C23" s="25" t="s">
        <v>1538</v>
      </c>
      <c r="D23" s="25" t="s">
        <v>15</v>
      </c>
      <c r="E23" s="25" t="s">
        <v>17</v>
      </c>
      <c r="F23" s="25">
        <v>0.96105399999999996</v>
      </c>
      <c r="G23" s="25">
        <v>300</v>
      </c>
      <c r="H23" s="38">
        <v>6.1663335078194104</v>
      </c>
      <c r="I23" s="38">
        <v>1.14055514796724</v>
      </c>
      <c r="J23" s="25">
        <v>4</v>
      </c>
      <c r="K23" s="25">
        <v>7.6025169011898104</v>
      </c>
      <c r="L23" s="25">
        <v>5.0744633939399302</v>
      </c>
      <c r="M23" s="25">
        <v>5.99417686807395</v>
      </c>
    </row>
    <row r="24" spans="1:13" s="25" customFormat="1" x14ac:dyDescent="0.25">
      <c r="A24" s="29" t="s">
        <v>79</v>
      </c>
      <c r="B24" s="25" t="s">
        <v>78</v>
      </c>
      <c r="C24" s="25" t="s">
        <v>1537</v>
      </c>
      <c r="D24" s="25" t="s">
        <v>13</v>
      </c>
      <c r="E24" s="25" t="s">
        <v>16</v>
      </c>
      <c r="F24" s="25">
        <v>-47.892800000000001</v>
      </c>
      <c r="G24" s="25">
        <v>300</v>
      </c>
      <c r="H24" s="38">
        <v>6.3400817886652296</v>
      </c>
      <c r="I24" s="38">
        <v>2.7964113228079999</v>
      </c>
      <c r="J24" s="25">
        <v>7</v>
      </c>
      <c r="K24" s="25">
        <v>11.5067619568113</v>
      </c>
      <c r="L24" s="25">
        <v>3.2880929059466002</v>
      </c>
      <c r="M24" s="25">
        <v>5.7590849218906701</v>
      </c>
    </row>
    <row r="25" spans="1:13" s="25" customFormat="1" x14ac:dyDescent="0.25">
      <c r="A25" s="29" t="s">
        <v>1235</v>
      </c>
      <c r="B25" s="25" t="s">
        <v>1435</v>
      </c>
      <c r="C25" s="25" t="s">
        <v>1538</v>
      </c>
      <c r="D25" s="25" t="s">
        <v>14</v>
      </c>
      <c r="E25" s="25" t="s">
        <v>17</v>
      </c>
      <c r="F25" s="25">
        <v>3.7212299999999998</v>
      </c>
      <c r="G25" s="25">
        <v>300</v>
      </c>
      <c r="H25" s="38">
        <v>25.8431075456595</v>
      </c>
      <c r="I25" s="38">
        <v>4.91989772727863</v>
      </c>
      <c r="J25" s="25">
        <v>2</v>
      </c>
      <c r="K25" s="25">
        <v>29.322000591362499</v>
      </c>
      <c r="L25" s="25">
        <v>22.3642144999565</v>
      </c>
      <c r="M25" s="25">
        <v>25.8431075456595</v>
      </c>
    </row>
    <row r="26" spans="1:13" s="25" customFormat="1" x14ac:dyDescent="0.25">
      <c r="A26" s="29" t="s">
        <v>53</v>
      </c>
      <c r="B26" s="25" t="s">
        <v>54</v>
      </c>
      <c r="C26" s="25" t="s">
        <v>1539</v>
      </c>
      <c r="D26" s="25" t="s">
        <v>13</v>
      </c>
      <c r="E26" s="25" t="s">
        <v>16</v>
      </c>
      <c r="F26" s="25">
        <v>-50.650599999999997</v>
      </c>
      <c r="G26" s="25">
        <v>320</v>
      </c>
      <c r="H26" s="38">
        <v>7.5557793217743301</v>
      </c>
      <c r="I26" s="38">
        <v>4.9871021342166699</v>
      </c>
      <c r="J26" s="25">
        <v>22</v>
      </c>
      <c r="K26" s="25">
        <v>27.392335202643</v>
      </c>
      <c r="L26" s="25">
        <v>1.28032679922759</v>
      </c>
      <c r="M26" s="25">
        <v>6.6584403098731499</v>
      </c>
    </row>
    <row r="27" spans="1:13" s="25" customFormat="1" x14ac:dyDescent="0.25">
      <c r="A27" s="29" t="s">
        <v>1076</v>
      </c>
      <c r="B27" s="25" t="s">
        <v>1438</v>
      </c>
      <c r="C27" s="25" t="s">
        <v>1538</v>
      </c>
      <c r="D27" s="25" t="s">
        <v>14</v>
      </c>
      <c r="E27" s="25" t="s">
        <v>18</v>
      </c>
      <c r="F27" s="25">
        <v>5.4967199999999998</v>
      </c>
      <c r="G27" s="25">
        <v>300</v>
      </c>
      <c r="H27" s="38">
        <v>287.82519757759798</v>
      </c>
      <c r="I27" s="38" t="s">
        <v>1763</v>
      </c>
      <c r="J27" s="25">
        <v>1</v>
      </c>
      <c r="K27" s="25">
        <v>287.82519757759798</v>
      </c>
      <c r="L27" s="25">
        <v>287.82519757759798</v>
      </c>
      <c r="M27" s="25">
        <v>287.82519757759798</v>
      </c>
    </row>
    <row r="28" spans="1:13" s="25" customFormat="1" x14ac:dyDescent="0.25">
      <c r="A28" s="29" t="s">
        <v>901</v>
      </c>
      <c r="B28" s="25" t="s">
        <v>903</v>
      </c>
      <c r="C28" s="25" t="s">
        <v>1539</v>
      </c>
      <c r="D28" s="25" t="s">
        <v>13</v>
      </c>
      <c r="E28" s="25" t="s">
        <v>16</v>
      </c>
      <c r="F28" s="25">
        <v>-50.481999999999999</v>
      </c>
      <c r="G28" s="25">
        <v>320</v>
      </c>
      <c r="H28" s="38">
        <v>16.480936974729101</v>
      </c>
      <c r="I28" s="38">
        <v>8.4210463950213406</v>
      </c>
      <c r="J28" s="25">
        <v>3</v>
      </c>
      <c r="K28" s="25">
        <v>26.1338170802745</v>
      </c>
      <c r="L28" s="25">
        <v>10.6393852837233</v>
      </c>
      <c r="M28" s="25">
        <v>12.6696085601895</v>
      </c>
    </row>
    <row r="29" spans="1:13" s="25" customFormat="1" x14ac:dyDescent="0.25">
      <c r="A29" s="29" t="s">
        <v>169</v>
      </c>
      <c r="B29" s="25" t="s">
        <v>170</v>
      </c>
      <c r="C29" s="25" t="s">
        <v>1539</v>
      </c>
      <c r="D29" s="25" t="s">
        <v>15</v>
      </c>
      <c r="E29" s="25" t="s">
        <v>16</v>
      </c>
      <c r="F29" s="25">
        <v>-47.158900000000003</v>
      </c>
      <c r="G29" s="25">
        <v>320</v>
      </c>
      <c r="H29" s="38">
        <v>5.4060844443218699</v>
      </c>
      <c r="I29" s="38">
        <v>1.9661311644162001</v>
      </c>
      <c r="J29" s="25">
        <v>4</v>
      </c>
      <c r="K29" s="25">
        <v>8.3281991407617806</v>
      </c>
      <c r="L29" s="25">
        <v>4.0581384208837701</v>
      </c>
      <c r="M29" s="25">
        <v>4.6190001078209599</v>
      </c>
    </row>
    <row r="30" spans="1:13" s="25" customFormat="1" x14ac:dyDescent="0.25">
      <c r="A30" s="29" t="s">
        <v>193</v>
      </c>
      <c r="B30" s="25" t="s">
        <v>194</v>
      </c>
      <c r="C30" s="25" t="s">
        <v>1537</v>
      </c>
      <c r="D30" s="25" t="s">
        <v>13</v>
      </c>
      <c r="E30" s="25" t="s">
        <v>16</v>
      </c>
      <c r="F30" s="25">
        <v>-9.1188900000000004</v>
      </c>
      <c r="G30" s="25">
        <v>320</v>
      </c>
      <c r="H30" s="38">
        <v>16.4898447986108</v>
      </c>
      <c r="I30" s="38">
        <v>6.6368862079100603</v>
      </c>
      <c r="J30" s="25">
        <v>3</v>
      </c>
      <c r="K30" s="25">
        <v>20.699263285743701</v>
      </c>
      <c r="L30" s="25">
        <v>8.8390688824479202</v>
      </c>
      <c r="M30" s="25">
        <v>19.9312022276407</v>
      </c>
    </row>
    <row r="31" spans="1:13" s="25" customFormat="1" x14ac:dyDescent="0.25">
      <c r="A31" s="29" t="s">
        <v>193</v>
      </c>
      <c r="B31" s="25" t="s">
        <v>194</v>
      </c>
      <c r="C31" s="25" t="s">
        <v>1537</v>
      </c>
      <c r="D31" s="25" t="s">
        <v>13</v>
      </c>
      <c r="E31" s="25" t="s">
        <v>17</v>
      </c>
      <c r="F31" s="25">
        <v>-9.1188900000000004</v>
      </c>
      <c r="G31" s="25">
        <v>320</v>
      </c>
      <c r="H31" s="38">
        <v>159.68415177278601</v>
      </c>
      <c r="I31" s="40">
        <v>83.186491050738496</v>
      </c>
      <c r="J31" s="25">
        <v>5</v>
      </c>
      <c r="K31" s="25">
        <v>230.08096706393201</v>
      </c>
      <c r="L31" s="25">
        <v>17.9913396960063</v>
      </c>
      <c r="M31" s="25">
        <v>190.31132503984401</v>
      </c>
    </row>
    <row r="32" spans="1:13" s="25" customFormat="1" x14ac:dyDescent="0.25">
      <c r="A32" s="29" t="s">
        <v>429</v>
      </c>
      <c r="B32" s="25" t="s">
        <v>431</v>
      </c>
      <c r="C32" s="25" t="s">
        <v>1538</v>
      </c>
      <c r="D32" s="25" t="s">
        <v>15</v>
      </c>
      <c r="E32" s="25" t="s">
        <v>17</v>
      </c>
      <c r="F32" s="25">
        <v>-2.1156700000000002</v>
      </c>
      <c r="G32" s="25">
        <v>320</v>
      </c>
      <c r="H32" s="38">
        <v>5.0880025770456303</v>
      </c>
      <c r="I32" s="38">
        <v>2.2230126469307101</v>
      </c>
      <c r="J32" s="25">
        <v>12</v>
      </c>
      <c r="K32" s="25">
        <v>9.1263243953443194</v>
      </c>
      <c r="L32" s="25">
        <v>2.35112010287579</v>
      </c>
      <c r="M32" s="25">
        <v>4.3295196983262603</v>
      </c>
    </row>
    <row r="33" spans="1:13" s="25" customFormat="1" x14ac:dyDescent="0.25">
      <c r="A33" s="29" t="s">
        <v>1446</v>
      </c>
      <c r="B33" s="25" t="s">
        <v>54</v>
      </c>
      <c r="C33" s="25" t="s">
        <v>1537</v>
      </c>
      <c r="D33" s="25" t="s">
        <v>14</v>
      </c>
      <c r="E33" s="25" t="s">
        <v>17</v>
      </c>
      <c r="F33" s="25">
        <v>-41.306399999999996</v>
      </c>
      <c r="G33" s="25">
        <v>280</v>
      </c>
      <c r="H33" s="38">
        <v>4.4242595712447299</v>
      </c>
      <c r="I33" s="38">
        <v>1.655918120435</v>
      </c>
      <c r="J33" s="25">
        <v>4</v>
      </c>
      <c r="K33" s="25">
        <v>6.5671027535362896</v>
      </c>
      <c r="L33" s="25">
        <v>3.0582388421256002</v>
      </c>
      <c r="M33" s="25">
        <v>4.03584834465852</v>
      </c>
    </row>
    <row r="34" spans="1:13" s="25" customFormat="1" x14ac:dyDescent="0.25">
      <c r="A34" s="29" t="s">
        <v>1214</v>
      </c>
      <c r="B34" s="25" t="s">
        <v>27</v>
      </c>
      <c r="C34" s="25" t="s">
        <v>1538</v>
      </c>
      <c r="D34" s="25" t="s">
        <v>14</v>
      </c>
      <c r="E34" s="25" t="s">
        <v>17</v>
      </c>
      <c r="F34" s="25">
        <v>1.1130800000000001</v>
      </c>
      <c r="G34" s="25">
        <v>320</v>
      </c>
      <c r="H34" s="38">
        <v>439.44583116116701</v>
      </c>
      <c r="I34" s="38" t="s">
        <v>1763</v>
      </c>
      <c r="J34" s="25">
        <v>1</v>
      </c>
      <c r="K34" s="25">
        <v>439.44583116116701</v>
      </c>
      <c r="L34" s="25">
        <v>439.44583116116701</v>
      </c>
      <c r="M34" s="25">
        <v>439.44583116116701</v>
      </c>
    </row>
    <row r="35" spans="1:13" s="25" customFormat="1" x14ac:dyDescent="0.25">
      <c r="A35" s="29" t="s">
        <v>1214</v>
      </c>
      <c r="B35" s="25" t="s">
        <v>27</v>
      </c>
      <c r="C35" s="25" t="s">
        <v>1538</v>
      </c>
      <c r="D35" s="25" t="s">
        <v>13</v>
      </c>
      <c r="E35" s="25" t="s">
        <v>17</v>
      </c>
      <c r="F35" s="25">
        <v>0.95996999999999999</v>
      </c>
      <c r="G35" s="25">
        <v>320</v>
      </c>
      <c r="H35" s="38">
        <v>367.25747257602097</v>
      </c>
      <c r="I35" s="38">
        <v>28.836070807489801</v>
      </c>
      <c r="J35" s="25">
        <v>2</v>
      </c>
      <c r="K35" s="25">
        <v>387.64765378677203</v>
      </c>
      <c r="L35" s="25">
        <v>346.86729136526901</v>
      </c>
      <c r="M35" s="25">
        <v>367.25747257602097</v>
      </c>
    </row>
    <row r="36" spans="1:13" s="25" customFormat="1" x14ac:dyDescent="0.25">
      <c r="A36" s="29" t="s">
        <v>1079</v>
      </c>
      <c r="B36" s="25" t="s">
        <v>194</v>
      </c>
      <c r="C36" s="25" t="s">
        <v>1537</v>
      </c>
      <c r="D36" s="25" t="s">
        <v>14</v>
      </c>
      <c r="E36" s="25" t="s">
        <v>18</v>
      </c>
      <c r="F36" s="25">
        <v>-9.0982099999999999</v>
      </c>
      <c r="G36" s="25">
        <v>320</v>
      </c>
      <c r="H36" s="38">
        <v>233.71854113729901</v>
      </c>
      <c r="I36" s="38" t="s">
        <v>1763</v>
      </c>
      <c r="J36" s="25">
        <v>1</v>
      </c>
      <c r="K36" s="25">
        <v>233.71854113729901</v>
      </c>
      <c r="L36" s="25">
        <v>233.71854113729901</v>
      </c>
      <c r="M36" s="25">
        <v>233.71854113729901</v>
      </c>
    </row>
    <row r="37" spans="1:13" s="25" customFormat="1" x14ac:dyDescent="0.25">
      <c r="A37" s="29" t="s">
        <v>790</v>
      </c>
      <c r="B37" s="25" t="s">
        <v>1529</v>
      </c>
      <c r="C37" s="25" t="s">
        <v>1536</v>
      </c>
      <c r="D37" s="25" t="s">
        <v>14</v>
      </c>
      <c r="E37" s="25" t="s">
        <v>18</v>
      </c>
      <c r="F37" s="25">
        <v>9.9005799999999997</v>
      </c>
      <c r="G37" s="25">
        <v>280</v>
      </c>
      <c r="H37" s="38">
        <v>24.190602803378798</v>
      </c>
      <c r="I37" s="38">
        <v>1.80441380856293</v>
      </c>
      <c r="J37" s="25">
        <v>4</v>
      </c>
      <c r="K37" s="25">
        <v>25.992101084428199</v>
      </c>
      <c r="L37" s="25">
        <v>22.310727132094101</v>
      </c>
      <c r="M37" s="25">
        <v>24.2297914984965</v>
      </c>
    </row>
    <row r="38" spans="1:13" s="25" customFormat="1" x14ac:dyDescent="0.25">
      <c r="A38" s="29" t="s">
        <v>809</v>
      </c>
      <c r="B38" s="25" t="s">
        <v>426</v>
      </c>
      <c r="C38" s="25" t="s">
        <v>1539</v>
      </c>
      <c r="D38" s="25" t="s">
        <v>15</v>
      </c>
      <c r="E38" s="25" t="s">
        <v>17</v>
      </c>
      <c r="F38" s="25">
        <v>-85.708600000000004</v>
      </c>
      <c r="G38" s="25">
        <v>280</v>
      </c>
      <c r="H38" s="38">
        <v>13.3296780945658</v>
      </c>
      <c r="I38" s="38">
        <v>7.0728542222032704</v>
      </c>
      <c r="J38" s="25">
        <v>4</v>
      </c>
      <c r="K38" s="25">
        <v>23.842751183814698</v>
      </c>
      <c r="L38" s="25">
        <v>8.5391853363924195</v>
      </c>
      <c r="M38" s="25">
        <v>10.468387929027999</v>
      </c>
    </row>
    <row r="39" spans="1:13" s="25" customFormat="1" x14ac:dyDescent="0.25">
      <c r="A39" s="29" t="s">
        <v>210</v>
      </c>
      <c r="B39" s="25" t="s">
        <v>187</v>
      </c>
      <c r="C39" s="25" t="s">
        <v>1538</v>
      </c>
      <c r="D39" s="25" t="s">
        <v>13</v>
      </c>
      <c r="E39" s="25" t="s">
        <v>17</v>
      </c>
      <c r="F39" s="25">
        <v>-10.434699999999999</v>
      </c>
      <c r="G39" s="25">
        <v>320</v>
      </c>
      <c r="H39" s="38">
        <v>10.2178899721868</v>
      </c>
      <c r="I39" s="38">
        <v>4.8392182511652102</v>
      </c>
      <c r="J39" s="25">
        <v>9</v>
      </c>
      <c r="K39" s="25">
        <v>18.185569061067799</v>
      </c>
      <c r="L39" s="25">
        <v>3.2690720810425198</v>
      </c>
      <c r="M39" s="25">
        <v>10.3831964431239</v>
      </c>
    </row>
    <row r="40" spans="1:13" s="25" customFormat="1" x14ac:dyDescent="0.25">
      <c r="A40" s="29" t="s">
        <v>1089</v>
      </c>
      <c r="B40" s="25" t="s">
        <v>1090</v>
      </c>
      <c r="C40" s="25" t="s">
        <v>1538</v>
      </c>
      <c r="D40" s="25" t="s">
        <v>15</v>
      </c>
      <c r="E40" s="25" t="s">
        <v>17</v>
      </c>
      <c r="F40" s="25">
        <v>11.433</v>
      </c>
      <c r="G40" s="25">
        <v>280</v>
      </c>
      <c r="H40" s="38">
        <v>8.5096363175515695</v>
      </c>
      <c r="I40" s="38">
        <v>5.3867493182198301</v>
      </c>
      <c r="J40" s="25">
        <v>14</v>
      </c>
      <c r="K40" s="25">
        <v>15.281881787795101</v>
      </c>
      <c r="L40" s="25">
        <v>0.879498129534795</v>
      </c>
      <c r="M40" s="25">
        <v>9.2947000567106706</v>
      </c>
    </row>
    <row r="41" spans="1:13" s="25" customFormat="1" x14ac:dyDescent="0.25">
      <c r="A41" s="29" t="s">
        <v>119</v>
      </c>
      <c r="B41" s="25" t="s">
        <v>97</v>
      </c>
      <c r="C41" s="25" t="s">
        <v>1538</v>
      </c>
      <c r="D41" s="25" t="s">
        <v>14</v>
      </c>
      <c r="E41" s="25" t="s">
        <v>17</v>
      </c>
      <c r="F41" s="25">
        <v>-11.742599999999999</v>
      </c>
      <c r="G41" s="25">
        <v>320</v>
      </c>
      <c r="H41" s="38">
        <v>13.785882774419999</v>
      </c>
      <c r="I41" s="38">
        <v>13.628683270785199</v>
      </c>
      <c r="J41" s="25">
        <v>17</v>
      </c>
      <c r="K41" s="25">
        <v>46.626056801100503</v>
      </c>
      <c r="L41" s="25">
        <v>1.7332436736769199</v>
      </c>
      <c r="M41" s="25">
        <v>7.62527143303077</v>
      </c>
    </row>
    <row r="42" spans="1:13" s="25" customFormat="1" x14ac:dyDescent="0.25">
      <c r="A42" s="29" t="s">
        <v>301</v>
      </c>
      <c r="B42" s="25" t="s">
        <v>302</v>
      </c>
      <c r="C42" s="25" t="s">
        <v>1538</v>
      </c>
      <c r="D42" s="25" t="s">
        <v>13</v>
      </c>
      <c r="E42" s="25" t="s">
        <v>17</v>
      </c>
      <c r="F42" s="25">
        <v>-9.74878</v>
      </c>
      <c r="G42" s="25">
        <v>320</v>
      </c>
      <c r="H42" s="38">
        <v>12.7708574489083</v>
      </c>
      <c r="I42" s="38">
        <v>7.6226456465242203</v>
      </c>
      <c r="J42" s="25">
        <v>5</v>
      </c>
      <c r="K42" s="25">
        <v>21.792874824059702</v>
      </c>
      <c r="L42" s="25">
        <v>2.9646016198212202</v>
      </c>
      <c r="M42" s="25">
        <v>12.0705452620534</v>
      </c>
    </row>
    <row r="43" spans="1:13" s="25" customFormat="1" x14ac:dyDescent="0.25">
      <c r="A43" s="29" t="s">
        <v>698</v>
      </c>
      <c r="B43" s="25" t="s">
        <v>701</v>
      </c>
      <c r="C43" s="25" t="s">
        <v>1538</v>
      </c>
      <c r="D43" s="25" t="s">
        <v>14</v>
      </c>
      <c r="E43" s="25" t="s">
        <v>17</v>
      </c>
      <c r="F43" s="25">
        <v>8.3113899999999994</v>
      </c>
      <c r="G43" s="25">
        <v>280</v>
      </c>
      <c r="H43" s="38">
        <v>35.834601918571899</v>
      </c>
      <c r="I43" s="38">
        <v>0.103443776537766</v>
      </c>
      <c r="J43" s="25">
        <v>2</v>
      </c>
      <c r="K43" s="25">
        <v>35.907747714433299</v>
      </c>
      <c r="L43" s="25">
        <v>35.761456122710499</v>
      </c>
      <c r="M43" s="25">
        <v>35.834601918571899</v>
      </c>
    </row>
    <row r="44" spans="1:13" s="25" customFormat="1" x14ac:dyDescent="0.25">
      <c r="A44" s="29" t="s">
        <v>1067</v>
      </c>
      <c r="B44" s="25" t="s">
        <v>1066</v>
      </c>
      <c r="C44" s="25" t="s">
        <v>1538</v>
      </c>
      <c r="D44" s="25" t="s">
        <v>15</v>
      </c>
      <c r="E44" s="25" t="s">
        <v>17</v>
      </c>
      <c r="F44" s="25">
        <v>-4.3508899999999997</v>
      </c>
      <c r="G44" s="25">
        <v>300</v>
      </c>
      <c r="H44" s="38">
        <v>273.75961836387899</v>
      </c>
      <c r="I44" s="38">
        <v>39.557756945761099</v>
      </c>
      <c r="J44" s="25">
        <v>6</v>
      </c>
      <c r="K44" s="25">
        <v>316.06442907077798</v>
      </c>
      <c r="L44" s="25">
        <v>203.22304052915399</v>
      </c>
      <c r="M44" s="25">
        <v>282.77625460394597</v>
      </c>
    </row>
    <row r="45" spans="1:13" s="25" customFormat="1" x14ac:dyDescent="0.25">
      <c r="A45" s="29" t="s">
        <v>590</v>
      </c>
      <c r="B45" s="25" t="s">
        <v>54</v>
      </c>
      <c r="C45" s="25" t="s">
        <v>1539</v>
      </c>
      <c r="D45" s="25" t="s">
        <v>14</v>
      </c>
      <c r="E45" s="25" t="s">
        <v>17</v>
      </c>
      <c r="F45" s="25">
        <v>-51.452100000000002</v>
      </c>
      <c r="G45" s="25">
        <v>320</v>
      </c>
      <c r="H45" s="38">
        <v>5.0509535311591298</v>
      </c>
      <c r="I45" s="38">
        <v>2.6504784699075401</v>
      </c>
      <c r="J45" s="25">
        <v>6</v>
      </c>
      <c r="K45" s="25">
        <v>9.5025378062216301</v>
      </c>
      <c r="L45" s="25">
        <v>1.4648829293064101</v>
      </c>
      <c r="M45" s="25">
        <v>4.9192146038485998</v>
      </c>
    </row>
    <row r="46" spans="1:13" s="25" customFormat="1" x14ac:dyDescent="0.25">
      <c r="A46" s="29" t="s">
        <v>590</v>
      </c>
      <c r="B46" s="25" t="s">
        <v>54</v>
      </c>
      <c r="C46" s="25" t="s">
        <v>1539</v>
      </c>
      <c r="D46" s="25" t="s">
        <v>15</v>
      </c>
      <c r="E46" s="25" t="s">
        <v>18</v>
      </c>
      <c r="F46" s="25">
        <v>-50.506100000000004</v>
      </c>
      <c r="G46" s="25">
        <v>320</v>
      </c>
      <c r="H46" s="38">
        <v>14.0317778200248</v>
      </c>
      <c r="I46" s="38">
        <v>3.1282069845577798</v>
      </c>
      <c r="J46" s="25">
        <v>7</v>
      </c>
      <c r="K46" s="25">
        <v>18.343283610379</v>
      </c>
      <c r="L46" s="25">
        <v>10.174343018022</v>
      </c>
      <c r="M46" s="25">
        <v>13.7211588838667</v>
      </c>
    </row>
    <row r="47" spans="1:13" s="25" customFormat="1" x14ac:dyDescent="0.25">
      <c r="A47" s="29" t="s">
        <v>283</v>
      </c>
      <c r="B47" s="25" t="s">
        <v>40</v>
      </c>
      <c r="C47" s="25" t="s">
        <v>1538</v>
      </c>
      <c r="D47" s="25" t="s">
        <v>14</v>
      </c>
      <c r="E47" s="25" t="s">
        <v>17</v>
      </c>
      <c r="F47" s="25">
        <v>-1.2862899999999999</v>
      </c>
      <c r="G47" s="25">
        <v>320</v>
      </c>
      <c r="H47" s="38">
        <v>96</v>
      </c>
      <c r="I47" s="38" t="s">
        <v>1763</v>
      </c>
      <c r="J47" s="25">
        <v>1</v>
      </c>
      <c r="K47" s="25">
        <v>96</v>
      </c>
      <c r="L47" s="25">
        <v>96</v>
      </c>
      <c r="M47" s="25">
        <v>96</v>
      </c>
    </row>
    <row r="48" spans="1:13" s="25" customFormat="1" x14ac:dyDescent="0.25">
      <c r="A48" s="29" t="s">
        <v>1212</v>
      </c>
      <c r="B48" s="25" t="s">
        <v>27</v>
      </c>
      <c r="C48" s="25" t="s">
        <v>1538</v>
      </c>
      <c r="D48" s="25" t="s">
        <v>14</v>
      </c>
      <c r="E48" s="25" t="s">
        <v>18</v>
      </c>
      <c r="F48" s="25">
        <v>-4.1383400000000004</v>
      </c>
      <c r="G48" s="25">
        <v>340</v>
      </c>
      <c r="H48" s="38">
        <v>427.175395123165</v>
      </c>
      <c r="I48" s="38" t="s">
        <v>1763</v>
      </c>
      <c r="J48" s="25">
        <v>1</v>
      </c>
      <c r="K48" s="25">
        <v>427.175395123165</v>
      </c>
      <c r="L48" s="25">
        <v>427.175395123165</v>
      </c>
      <c r="M48" s="25">
        <v>427.175395123165</v>
      </c>
    </row>
    <row r="49" spans="1:13" s="25" customFormat="1" x14ac:dyDescent="0.25">
      <c r="A49" s="29" t="s">
        <v>1190</v>
      </c>
      <c r="B49" s="25" t="s">
        <v>1173</v>
      </c>
      <c r="C49" s="25" t="s">
        <v>1538</v>
      </c>
      <c r="D49" s="25" t="s">
        <v>15</v>
      </c>
      <c r="E49" s="25" t="s">
        <v>18</v>
      </c>
      <c r="F49" s="25">
        <v>-1.5491200000000001</v>
      </c>
      <c r="G49" s="25">
        <v>280</v>
      </c>
      <c r="H49" s="38">
        <v>12.4742368205975</v>
      </c>
      <c r="I49" s="38">
        <v>3.6641164411538099</v>
      </c>
      <c r="J49" s="25">
        <v>4</v>
      </c>
      <c r="K49" s="25">
        <v>16.0996602595221</v>
      </c>
      <c r="L49" s="25">
        <v>7.8297318065227799</v>
      </c>
      <c r="M49" s="25">
        <v>12.9837776081726</v>
      </c>
    </row>
    <row r="50" spans="1:13" s="25" customFormat="1" x14ac:dyDescent="0.25">
      <c r="A50" s="29" t="s">
        <v>1190</v>
      </c>
      <c r="B50" s="25" t="s">
        <v>1173</v>
      </c>
      <c r="C50" s="25" t="s">
        <v>1538</v>
      </c>
      <c r="D50" s="25" t="s">
        <v>15</v>
      </c>
      <c r="E50" s="25" t="s">
        <v>17</v>
      </c>
      <c r="F50" s="25">
        <v>-1.5496799999999999</v>
      </c>
      <c r="G50" s="25">
        <v>280</v>
      </c>
      <c r="H50" s="38">
        <v>10.1602033181954</v>
      </c>
      <c r="I50" s="38">
        <v>2.4897948847766598</v>
      </c>
      <c r="J50" s="25">
        <v>4</v>
      </c>
      <c r="K50" s="25">
        <v>12.322478427336</v>
      </c>
      <c r="L50" s="25">
        <v>7.0161313874251201</v>
      </c>
      <c r="M50" s="25">
        <v>10.6511017290102</v>
      </c>
    </row>
    <row r="51" spans="1:13" s="25" customFormat="1" x14ac:dyDescent="0.25">
      <c r="A51" s="29" t="s">
        <v>150</v>
      </c>
      <c r="B51" s="25" t="s">
        <v>152</v>
      </c>
      <c r="C51" s="25" t="s">
        <v>1537</v>
      </c>
      <c r="D51" s="25" t="s">
        <v>14</v>
      </c>
      <c r="E51" s="25" t="s">
        <v>17</v>
      </c>
      <c r="F51" s="25">
        <v>-9.0821900000000007</v>
      </c>
      <c r="G51" s="25">
        <v>320</v>
      </c>
      <c r="H51" s="38">
        <v>10.341918545692399</v>
      </c>
      <c r="I51" s="38">
        <v>7.3171917695486304</v>
      </c>
      <c r="J51" s="25">
        <v>26</v>
      </c>
      <c r="K51" s="25">
        <v>34.913594700144003</v>
      </c>
      <c r="L51" s="25">
        <v>0.83382607961513799</v>
      </c>
      <c r="M51" s="25">
        <v>8.3723175922096402</v>
      </c>
    </row>
    <row r="52" spans="1:13" s="25" customFormat="1" x14ac:dyDescent="0.25">
      <c r="A52" s="29" t="s">
        <v>201</v>
      </c>
      <c r="B52" s="25" t="s">
        <v>97</v>
      </c>
      <c r="C52" s="25" t="s">
        <v>1538</v>
      </c>
      <c r="D52" s="25" t="s">
        <v>13</v>
      </c>
      <c r="E52" s="25" t="s">
        <v>16</v>
      </c>
      <c r="F52" s="25">
        <v>-14.348800000000001</v>
      </c>
      <c r="G52" s="25">
        <v>320</v>
      </c>
      <c r="H52" s="38">
        <v>28.623417432190099</v>
      </c>
      <c r="I52" s="38">
        <v>13.6691407414158</v>
      </c>
      <c r="J52" s="25">
        <v>4</v>
      </c>
      <c r="K52" s="25">
        <v>42.054822481054202</v>
      </c>
      <c r="L52" s="25">
        <v>11.046027780014199</v>
      </c>
      <c r="M52" s="25">
        <v>30.696409733846</v>
      </c>
    </row>
    <row r="53" spans="1:13" s="25" customFormat="1" x14ac:dyDescent="0.25">
      <c r="A53" s="29" t="s">
        <v>201</v>
      </c>
      <c r="B53" s="25" t="s">
        <v>97</v>
      </c>
      <c r="C53" s="25" t="s">
        <v>1538</v>
      </c>
      <c r="D53" s="25" t="s">
        <v>13</v>
      </c>
      <c r="E53" s="25" t="s">
        <v>17</v>
      </c>
      <c r="F53" s="25">
        <v>-14.348800000000001</v>
      </c>
      <c r="G53" s="25">
        <v>320</v>
      </c>
      <c r="H53" s="38">
        <v>35.2915581215535</v>
      </c>
      <c r="I53" s="38">
        <v>18.274270040195201</v>
      </c>
      <c r="J53" s="25">
        <v>114</v>
      </c>
      <c r="K53" s="25">
        <v>100.312876193408</v>
      </c>
      <c r="L53" s="25">
        <v>5.2235624467802504</v>
      </c>
      <c r="M53" s="25">
        <v>31.8465315788144</v>
      </c>
    </row>
    <row r="54" spans="1:13" s="25" customFormat="1" x14ac:dyDescent="0.25">
      <c r="A54" s="29" t="s">
        <v>1766</v>
      </c>
      <c r="B54" s="26" t="s">
        <v>814</v>
      </c>
      <c r="C54" s="25" t="s">
        <v>1538</v>
      </c>
      <c r="D54" s="25" t="s">
        <v>15</v>
      </c>
      <c r="E54" s="25" t="s">
        <v>17</v>
      </c>
      <c r="F54" s="25">
        <v>4.6561199999999996</v>
      </c>
      <c r="G54" s="25">
        <v>300</v>
      </c>
      <c r="H54" s="38">
        <v>15.3901095389385</v>
      </c>
      <c r="I54" s="38">
        <v>8.8712870820124508</v>
      </c>
      <c r="J54" s="25">
        <v>18</v>
      </c>
      <c r="K54" s="25">
        <v>34.818183611151802</v>
      </c>
      <c r="L54" s="25">
        <v>2.8101472857049101</v>
      </c>
      <c r="M54" s="25">
        <v>12.478410076315599</v>
      </c>
    </row>
    <row r="55" spans="1:13" s="25" customFormat="1" x14ac:dyDescent="0.25">
      <c r="A55" s="29" t="s">
        <v>855</v>
      </c>
      <c r="B55" s="25" t="s">
        <v>1764</v>
      </c>
      <c r="C55" s="25" t="s">
        <v>1538</v>
      </c>
      <c r="D55" s="25" t="s">
        <v>15</v>
      </c>
      <c r="E55" s="25" t="s">
        <v>18</v>
      </c>
      <c r="F55" s="25">
        <v>2.59259</v>
      </c>
      <c r="G55" s="25">
        <v>280</v>
      </c>
      <c r="H55" s="38">
        <v>2.31010700687668</v>
      </c>
      <c r="I55" s="38" t="s">
        <v>1763</v>
      </c>
      <c r="J55" s="25">
        <v>1</v>
      </c>
      <c r="K55" s="25">
        <v>2.31010700687668</v>
      </c>
      <c r="L55" s="25">
        <v>2.31010700687668</v>
      </c>
      <c r="M55" s="25">
        <v>2.31010700687668</v>
      </c>
    </row>
    <row r="56" spans="1:13" s="25" customFormat="1" x14ac:dyDescent="0.25">
      <c r="A56" s="29" t="s">
        <v>1267</v>
      </c>
      <c r="B56" s="25" t="s">
        <v>391</v>
      </c>
      <c r="C56" s="25" t="s">
        <v>1538</v>
      </c>
      <c r="D56" s="25" t="s">
        <v>15</v>
      </c>
      <c r="E56" s="25" t="s">
        <v>17</v>
      </c>
      <c r="F56" s="25">
        <v>-11.5838</v>
      </c>
      <c r="G56" s="25">
        <v>320</v>
      </c>
      <c r="H56" s="38">
        <v>10.447157880391099</v>
      </c>
      <c r="I56" s="38">
        <v>9.3402904275734997</v>
      </c>
      <c r="J56" s="25">
        <v>22</v>
      </c>
      <c r="K56" s="25">
        <v>39.535540385858098</v>
      </c>
      <c r="L56" s="25">
        <v>4.0917777867971301</v>
      </c>
      <c r="M56" s="25">
        <v>7.2216957203652496</v>
      </c>
    </row>
    <row r="57" spans="1:13" s="25" customFormat="1" x14ac:dyDescent="0.25">
      <c r="A57" s="29" t="s">
        <v>1184</v>
      </c>
      <c r="B57" s="25" t="s">
        <v>1183</v>
      </c>
      <c r="C57" s="25" t="s">
        <v>1538</v>
      </c>
      <c r="D57" s="25" t="s">
        <v>15</v>
      </c>
      <c r="E57" s="25" t="s">
        <v>17</v>
      </c>
      <c r="F57" s="25">
        <v>-10.5258</v>
      </c>
      <c r="G57" s="25">
        <v>320</v>
      </c>
      <c r="H57" s="38">
        <v>11.037198200170501</v>
      </c>
      <c r="I57" s="38" t="s">
        <v>1763</v>
      </c>
      <c r="J57" s="25">
        <v>1</v>
      </c>
      <c r="K57" s="25">
        <v>11.037198200170501</v>
      </c>
      <c r="L57" s="25">
        <v>11.037198200170501</v>
      </c>
      <c r="M57" s="25">
        <v>11.037198200170501</v>
      </c>
    </row>
    <row r="58" spans="1:13" s="25" customFormat="1" x14ac:dyDescent="0.25">
      <c r="A58" s="29" t="s">
        <v>528</v>
      </c>
      <c r="B58" s="25" t="s">
        <v>1530</v>
      </c>
      <c r="C58" s="25" t="s">
        <v>1538</v>
      </c>
      <c r="D58" s="25" t="s">
        <v>13</v>
      </c>
      <c r="E58" s="25" t="s">
        <v>17</v>
      </c>
      <c r="F58" s="25">
        <v>-1.7397400000000001</v>
      </c>
      <c r="G58" s="25">
        <v>300</v>
      </c>
      <c r="H58" s="38">
        <v>14.911500285975301</v>
      </c>
      <c r="I58" s="38">
        <v>7.9984269940489003</v>
      </c>
      <c r="J58" s="25">
        <v>140</v>
      </c>
      <c r="K58" s="25">
        <v>57.059066281086203</v>
      </c>
      <c r="L58" s="25">
        <v>1.3509266259822501</v>
      </c>
      <c r="M58" s="25">
        <v>12.994482534168601</v>
      </c>
    </row>
    <row r="59" spans="1:13" s="25" customFormat="1" x14ac:dyDescent="0.25">
      <c r="A59" s="29" t="s">
        <v>694</v>
      </c>
      <c r="B59" s="25" t="s">
        <v>633</v>
      </c>
      <c r="C59" s="25" t="s">
        <v>1538</v>
      </c>
      <c r="D59" s="25" t="s">
        <v>14</v>
      </c>
      <c r="E59" s="25" t="s">
        <v>17</v>
      </c>
      <c r="F59" s="25">
        <v>3.2624900000000001</v>
      </c>
      <c r="G59" s="25">
        <v>280</v>
      </c>
      <c r="H59" s="38">
        <v>1.38170105525891</v>
      </c>
      <c r="I59" s="38" t="s">
        <v>1763</v>
      </c>
      <c r="J59" s="25">
        <v>1</v>
      </c>
      <c r="K59" s="25">
        <v>1.38170105525891</v>
      </c>
      <c r="L59" s="25">
        <v>1.38170105525891</v>
      </c>
      <c r="M59" s="25">
        <v>1.38170105525891</v>
      </c>
    </row>
    <row r="60" spans="1:13" s="25" customFormat="1" x14ac:dyDescent="0.25">
      <c r="A60" s="29" t="s">
        <v>708</v>
      </c>
      <c r="B60" s="25" t="s">
        <v>1764</v>
      </c>
      <c r="C60" s="25" t="s">
        <v>1538</v>
      </c>
      <c r="D60" s="25" t="s">
        <v>14</v>
      </c>
      <c r="E60" s="25" t="s">
        <v>17</v>
      </c>
      <c r="F60" s="25">
        <v>3.1677300000000002</v>
      </c>
      <c r="G60" s="25">
        <v>280</v>
      </c>
      <c r="H60" s="38">
        <v>7.4813861050324899</v>
      </c>
      <c r="I60" s="38">
        <v>4.5028274820043999</v>
      </c>
      <c r="J60" s="25">
        <v>9</v>
      </c>
      <c r="K60" s="25">
        <v>13.6197230556936</v>
      </c>
      <c r="L60" s="25">
        <v>1.6327390855310799</v>
      </c>
      <c r="M60" s="25">
        <v>7.4274054191626604</v>
      </c>
    </row>
    <row r="61" spans="1:13" s="25" customFormat="1" x14ac:dyDescent="0.25">
      <c r="A61" s="29" t="s">
        <v>1132</v>
      </c>
      <c r="B61" s="25" t="s">
        <v>1764</v>
      </c>
      <c r="C61" s="25" t="s">
        <v>1538</v>
      </c>
      <c r="D61" s="25" t="s">
        <v>14</v>
      </c>
      <c r="E61" s="25" t="s">
        <v>17</v>
      </c>
      <c r="F61" s="25">
        <v>2.54488</v>
      </c>
      <c r="G61" s="25">
        <v>280</v>
      </c>
      <c r="H61" s="38">
        <v>5.6872289793327004</v>
      </c>
      <c r="I61" s="38">
        <v>5.26033773339491</v>
      </c>
      <c r="J61" s="25">
        <v>45</v>
      </c>
      <c r="K61" s="25">
        <v>17.7730993824153</v>
      </c>
      <c r="L61" s="25">
        <v>0.65913529157045003</v>
      </c>
      <c r="M61" s="25">
        <v>3.8902920677060702</v>
      </c>
    </row>
    <row r="62" spans="1:13" s="25" customFormat="1" x14ac:dyDescent="0.25">
      <c r="A62" s="29" t="s">
        <v>380</v>
      </c>
      <c r="B62" s="25" t="s">
        <v>40</v>
      </c>
      <c r="C62" s="25" t="s">
        <v>1538</v>
      </c>
      <c r="D62" s="25" t="s">
        <v>14</v>
      </c>
      <c r="E62" s="25" t="s">
        <v>17</v>
      </c>
      <c r="F62" s="25">
        <v>-2.0695299999999999</v>
      </c>
      <c r="G62" s="25">
        <v>320</v>
      </c>
      <c r="H62" s="38">
        <v>34.669296725157103</v>
      </c>
      <c r="I62" s="38">
        <v>29.990711563537001</v>
      </c>
      <c r="J62" s="25">
        <v>6</v>
      </c>
      <c r="K62" s="25">
        <v>77.228524415299901</v>
      </c>
      <c r="L62" s="25">
        <v>12.033146748976201</v>
      </c>
      <c r="M62" s="25">
        <v>18.902527221214701</v>
      </c>
    </row>
    <row r="63" spans="1:13" s="25" customFormat="1" x14ac:dyDescent="0.25">
      <c r="A63" s="29" t="s">
        <v>923</v>
      </c>
      <c r="B63" s="25" t="s">
        <v>927</v>
      </c>
      <c r="C63" s="25" t="s">
        <v>1539</v>
      </c>
      <c r="D63" s="25" t="s">
        <v>15</v>
      </c>
      <c r="E63" s="25" t="s">
        <v>17</v>
      </c>
      <c r="F63" s="25">
        <v>-54.136499999999998</v>
      </c>
      <c r="G63" s="25">
        <v>300</v>
      </c>
      <c r="H63" s="38">
        <v>16.441310507178301</v>
      </c>
      <c r="I63" s="38">
        <v>12.289214624944901</v>
      </c>
      <c r="J63" s="25">
        <v>10</v>
      </c>
      <c r="K63" s="25">
        <v>44.045174450247302</v>
      </c>
      <c r="L63" s="25">
        <v>4.3785874316285698</v>
      </c>
      <c r="M63" s="25">
        <v>14.548342203739001</v>
      </c>
    </row>
    <row r="64" spans="1:13" s="25" customFormat="1" x14ac:dyDescent="0.25">
      <c r="A64" s="29" t="s">
        <v>204</v>
      </c>
      <c r="B64" s="25" t="s">
        <v>205</v>
      </c>
      <c r="C64" s="25" t="s">
        <v>1538</v>
      </c>
      <c r="D64" s="25" t="s">
        <v>13</v>
      </c>
      <c r="E64" s="25" t="s">
        <v>16</v>
      </c>
      <c r="F64" s="25">
        <v>-9.7389899999999994</v>
      </c>
      <c r="G64" s="25">
        <v>320</v>
      </c>
      <c r="H64" s="38">
        <v>34.539457521443197</v>
      </c>
      <c r="I64" s="38">
        <v>42.079737169641596</v>
      </c>
      <c r="J64" s="25">
        <v>5</v>
      </c>
      <c r="K64" s="25">
        <v>108.387957365064</v>
      </c>
      <c r="L64" s="25">
        <v>3.98297980344296</v>
      </c>
      <c r="M64" s="25">
        <v>22.207326731943802</v>
      </c>
    </row>
    <row r="65" spans="1:13" s="25" customFormat="1" x14ac:dyDescent="0.25">
      <c r="A65" s="29" t="s">
        <v>651</v>
      </c>
      <c r="B65" s="25" t="s">
        <v>1439</v>
      </c>
      <c r="C65" s="25" t="s">
        <v>1538</v>
      </c>
      <c r="D65" s="25" t="s">
        <v>14</v>
      </c>
      <c r="E65" s="25" t="s">
        <v>17</v>
      </c>
      <c r="F65" s="25">
        <v>-2.0555699999999999</v>
      </c>
      <c r="G65" s="25">
        <v>300</v>
      </c>
      <c r="H65" s="38">
        <v>10.277564591139599</v>
      </c>
      <c r="I65" s="38">
        <v>4.0455997429995003</v>
      </c>
      <c r="J65" s="25">
        <v>7</v>
      </c>
      <c r="K65" s="25">
        <v>19.363202408729599</v>
      </c>
      <c r="L65" s="25">
        <v>8.0168944026851605</v>
      </c>
      <c r="M65" s="25">
        <v>8.8858601386714398</v>
      </c>
    </row>
    <row r="66" spans="1:13" s="25" customFormat="1" x14ac:dyDescent="0.25">
      <c r="A66" s="29" t="s">
        <v>175</v>
      </c>
      <c r="B66" s="25" t="s">
        <v>177</v>
      </c>
      <c r="C66" s="25" t="s">
        <v>1539</v>
      </c>
      <c r="D66" s="25" t="s">
        <v>15</v>
      </c>
      <c r="E66" s="25" t="s">
        <v>17</v>
      </c>
      <c r="F66" s="25">
        <v>-52.6342</v>
      </c>
      <c r="G66" s="25">
        <v>320</v>
      </c>
      <c r="H66" s="38">
        <v>5.8356429298040204</v>
      </c>
      <c r="I66" s="38">
        <v>0.65639799897684004</v>
      </c>
      <c r="J66" s="25">
        <v>7</v>
      </c>
      <c r="K66" s="25">
        <v>7.03358188266672</v>
      </c>
      <c r="L66" s="25">
        <v>5.0135030393441697</v>
      </c>
      <c r="M66" s="25">
        <v>5.6574341898659002</v>
      </c>
    </row>
    <row r="67" spans="1:13" s="25" customFormat="1" x14ac:dyDescent="0.25">
      <c r="A67" s="29" t="s">
        <v>93</v>
      </c>
      <c r="B67" s="25" t="s">
        <v>97</v>
      </c>
      <c r="C67" s="25" t="s">
        <v>1536</v>
      </c>
      <c r="D67" s="25" t="s">
        <v>13</v>
      </c>
      <c r="E67" s="25" t="s">
        <v>17</v>
      </c>
      <c r="F67" s="25">
        <v>-28.277999999999999</v>
      </c>
      <c r="G67" s="25">
        <v>360</v>
      </c>
      <c r="H67" s="38">
        <v>788.65791058478806</v>
      </c>
      <c r="I67" s="38" t="s">
        <v>1763</v>
      </c>
      <c r="J67" s="25">
        <v>1</v>
      </c>
      <c r="K67" s="25">
        <v>788.65791058478806</v>
      </c>
      <c r="L67" s="25">
        <v>788.65791058478806</v>
      </c>
      <c r="M67" s="25">
        <v>788.65791058478806</v>
      </c>
    </row>
    <row r="68" spans="1:13" s="25" customFormat="1" x14ac:dyDescent="0.25">
      <c r="A68" s="29" t="s">
        <v>111</v>
      </c>
      <c r="B68" s="25" t="s">
        <v>112</v>
      </c>
      <c r="C68" s="25" t="s">
        <v>1537</v>
      </c>
      <c r="D68" s="25" t="s">
        <v>14</v>
      </c>
      <c r="E68" s="25" t="s">
        <v>17</v>
      </c>
      <c r="F68" s="25">
        <v>-36.376399999999997</v>
      </c>
      <c r="G68" s="25">
        <v>360</v>
      </c>
      <c r="H68" s="38">
        <v>5.0240774258908196</v>
      </c>
      <c r="I68" s="38">
        <v>0.67574843958503295</v>
      </c>
      <c r="J68" s="25">
        <v>2</v>
      </c>
      <c r="K68" s="25">
        <v>5.5019037298976299</v>
      </c>
      <c r="L68" s="25">
        <v>4.54625112188402</v>
      </c>
      <c r="M68" s="25">
        <v>5.0240774258908196</v>
      </c>
    </row>
    <row r="69" spans="1:13" s="25" customFormat="1" x14ac:dyDescent="0.25">
      <c r="A69" s="29" t="s">
        <v>1085</v>
      </c>
      <c r="B69" s="25" t="s">
        <v>1084</v>
      </c>
      <c r="C69" s="25" t="s">
        <v>1538</v>
      </c>
      <c r="D69" s="25" t="s">
        <v>15</v>
      </c>
      <c r="E69" s="25" t="s">
        <v>17</v>
      </c>
      <c r="F69" s="25">
        <v>-4.1766899999999998</v>
      </c>
      <c r="G69" s="25">
        <v>300</v>
      </c>
      <c r="H69" s="38">
        <v>0.83793293580762795</v>
      </c>
      <c r="I69" s="38" t="s">
        <v>1763</v>
      </c>
      <c r="J69" s="25">
        <v>1</v>
      </c>
      <c r="K69" s="25">
        <v>0.83793293580762795</v>
      </c>
      <c r="L69" s="25">
        <v>0.83793293580762795</v>
      </c>
      <c r="M69" s="25">
        <v>0.83793293580762795</v>
      </c>
    </row>
    <row r="70" spans="1:13" s="25" customFormat="1" x14ac:dyDescent="0.25">
      <c r="A70" s="29" t="s">
        <v>1060</v>
      </c>
      <c r="B70" s="25" t="s">
        <v>194</v>
      </c>
      <c r="C70" s="25" t="s">
        <v>1537</v>
      </c>
      <c r="D70" s="25" t="s">
        <v>14</v>
      </c>
      <c r="E70" s="25" t="s">
        <v>17</v>
      </c>
      <c r="F70" s="25">
        <v>-9.1274800000000003</v>
      </c>
      <c r="G70" s="25">
        <v>320</v>
      </c>
      <c r="H70" s="38">
        <v>106.369056625985</v>
      </c>
      <c r="I70" s="38">
        <v>156.249265461189</v>
      </c>
      <c r="J70" s="25">
        <v>3</v>
      </c>
      <c r="K70" s="25">
        <v>286.71568355083298</v>
      </c>
      <c r="L70" s="25">
        <v>11.706469861181301</v>
      </c>
      <c r="M70" s="25">
        <v>20.685016465941199</v>
      </c>
    </row>
    <row r="71" spans="1:13" s="25" customFormat="1" x14ac:dyDescent="0.25">
      <c r="A71" s="29" t="s">
        <v>663</v>
      </c>
      <c r="B71" s="25" t="s">
        <v>664</v>
      </c>
      <c r="C71" s="25" t="s">
        <v>1538</v>
      </c>
      <c r="D71" s="25" t="s">
        <v>14</v>
      </c>
      <c r="E71" s="25" t="s">
        <v>17</v>
      </c>
      <c r="F71" s="25">
        <v>9.5769800000000007</v>
      </c>
      <c r="G71" s="25">
        <v>280</v>
      </c>
      <c r="H71" s="38">
        <v>19.3648329426718</v>
      </c>
      <c r="I71" s="38">
        <v>8.2957673497991191</v>
      </c>
      <c r="J71" s="25">
        <v>20</v>
      </c>
      <c r="K71" s="25">
        <v>29.824616173266701</v>
      </c>
      <c r="L71" s="25">
        <v>1.79342322352587</v>
      </c>
      <c r="M71" s="25">
        <v>22.7541562341491</v>
      </c>
    </row>
    <row r="72" spans="1:13" s="25" customFormat="1" x14ac:dyDescent="0.25">
      <c r="A72" s="29" t="s">
        <v>312</v>
      </c>
      <c r="B72" s="25" t="s">
        <v>314</v>
      </c>
      <c r="C72" s="25" t="s">
        <v>1538</v>
      </c>
      <c r="D72" s="25" t="s">
        <v>13</v>
      </c>
      <c r="E72" s="25" t="s">
        <v>17</v>
      </c>
      <c r="F72" s="25">
        <v>-2.1387299999999998</v>
      </c>
      <c r="G72" s="25">
        <v>300</v>
      </c>
      <c r="H72" s="38">
        <v>9.2797040542775093</v>
      </c>
      <c r="I72" s="38">
        <v>7.5069726911701604</v>
      </c>
      <c r="J72" s="25">
        <v>31</v>
      </c>
      <c r="K72" s="25">
        <v>41.435845561264401</v>
      </c>
      <c r="L72" s="25">
        <v>1.3159692235242</v>
      </c>
      <c r="M72" s="25">
        <v>7.5004411221435099</v>
      </c>
    </row>
    <row r="73" spans="1:13" s="25" customFormat="1" x14ac:dyDescent="0.25">
      <c r="A73" s="29" t="s">
        <v>25</v>
      </c>
      <c r="B73" s="25" t="s">
        <v>27</v>
      </c>
      <c r="C73" s="25" t="s">
        <v>1538</v>
      </c>
      <c r="D73" s="25" t="s">
        <v>13</v>
      </c>
      <c r="E73" s="25" t="s">
        <v>17</v>
      </c>
      <c r="F73" s="25">
        <v>-2.7957000000000001</v>
      </c>
      <c r="G73" s="25">
        <v>340</v>
      </c>
      <c r="H73" s="38">
        <v>235</v>
      </c>
      <c r="I73" s="38">
        <v>37.749172176353703</v>
      </c>
      <c r="J73" s="25">
        <v>5</v>
      </c>
      <c r="K73" s="25">
        <v>300</v>
      </c>
      <c r="L73" s="25">
        <v>210</v>
      </c>
      <c r="M73" s="25">
        <v>220</v>
      </c>
    </row>
    <row r="74" spans="1:13" s="25" customFormat="1" x14ac:dyDescent="0.25">
      <c r="A74" s="29" t="s">
        <v>1052</v>
      </c>
      <c r="B74" s="25" t="s">
        <v>223</v>
      </c>
      <c r="C74" s="25" t="s">
        <v>1539</v>
      </c>
      <c r="D74" s="25" t="s">
        <v>13</v>
      </c>
      <c r="E74" s="25" t="s">
        <v>16</v>
      </c>
      <c r="F74" s="25">
        <v>-51.956000000000003</v>
      </c>
      <c r="G74" s="25">
        <v>300</v>
      </c>
      <c r="H74" s="38">
        <v>11.757191871397</v>
      </c>
      <c r="I74" s="38">
        <v>8.2168020793800007</v>
      </c>
      <c r="J74" s="25">
        <v>22</v>
      </c>
      <c r="K74" s="25">
        <v>25.929918717983501</v>
      </c>
      <c r="L74" s="25">
        <v>1.30642739340745</v>
      </c>
      <c r="M74" s="25">
        <v>12.635979861403801</v>
      </c>
    </row>
    <row r="75" spans="1:13" s="25" customFormat="1" x14ac:dyDescent="0.25">
      <c r="A75" s="29" t="s">
        <v>1052</v>
      </c>
      <c r="B75" s="25" t="s">
        <v>223</v>
      </c>
      <c r="C75" s="25" t="s">
        <v>1539</v>
      </c>
      <c r="D75" s="25" t="s">
        <v>15</v>
      </c>
      <c r="E75" s="25" t="s">
        <v>16</v>
      </c>
      <c r="F75" s="25">
        <v>-52.483899999999998</v>
      </c>
      <c r="G75" s="25">
        <v>300</v>
      </c>
      <c r="H75" s="38">
        <v>8.3697896967010106</v>
      </c>
      <c r="I75" s="38">
        <v>2.6768699938264602</v>
      </c>
      <c r="J75" s="25">
        <v>27</v>
      </c>
      <c r="K75" s="25">
        <v>14.5314743460605</v>
      </c>
      <c r="L75" s="25">
        <v>3.4058406018828</v>
      </c>
      <c r="M75" s="25">
        <v>7.9290247838714398</v>
      </c>
    </row>
    <row r="76" spans="1:13" s="25" customFormat="1" x14ac:dyDescent="0.25">
      <c r="A76" s="29" t="s">
        <v>1052</v>
      </c>
      <c r="B76" s="25" t="s">
        <v>223</v>
      </c>
      <c r="C76" s="25" t="s">
        <v>1539</v>
      </c>
      <c r="D76" s="25" t="s">
        <v>15</v>
      </c>
      <c r="E76" s="25" t="s">
        <v>17</v>
      </c>
      <c r="F76" s="25">
        <v>-51.956099999999999</v>
      </c>
      <c r="G76" s="25">
        <v>300</v>
      </c>
      <c r="H76" s="38">
        <v>9.3351030260891701</v>
      </c>
      <c r="I76" s="38">
        <v>6.2466483657924803</v>
      </c>
      <c r="J76" s="25">
        <v>68</v>
      </c>
      <c r="K76" s="25">
        <v>27.38762596203</v>
      </c>
      <c r="L76" s="25">
        <v>0.95919659325775597</v>
      </c>
      <c r="M76" s="25">
        <v>8.15</v>
      </c>
    </row>
    <row r="77" spans="1:13" s="25" customFormat="1" x14ac:dyDescent="0.25">
      <c r="A77" s="29" t="s">
        <v>885</v>
      </c>
      <c r="B77" s="25" t="s">
        <v>886</v>
      </c>
      <c r="C77" s="25" t="s">
        <v>1538</v>
      </c>
      <c r="D77" s="25" t="s">
        <v>15</v>
      </c>
      <c r="E77" s="25" t="s">
        <v>18</v>
      </c>
      <c r="F77" s="25">
        <v>-1.90404</v>
      </c>
      <c r="G77" s="25">
        <v>280</v>
      </c>
      <c r="H77" s="38">
        <v>14.7742327683944</v>
      </c>
      <c r="I77" s="38" t="s">
        <v>1763</v>
      </c>
      <c r="J77" s="25">
        <v>1</v>
      </c>
      <c r="K77" s="25">
        <v>14.7742327683944</v>
      </c>
      <c r="L77" s="25">
        <v>14.7742327683944</v>
      </c>
      <c r="M77" s="25">
        <v>14.7742327683944</v>
      </c>
    </row>
    <row r="78" spans="1:13" s="25" customFormat="1" x14ac:dyDescent="0.25">
      <c r="A78" s="29" t="s">
        <v>284</v>
      </c>
      <c r="B78" s="25" t="s">
        <v>54</v>
      </c>
      <c r="C78" s="25" t="s">
        <v>1537</v>
      </c>
      <c r="D78" s="25" t="s">
        <v>14</v>
      </c>
      <c r="E78" s="25" t="s">
        <v>17</v>
      </c>
      <c r="F78" s="25">
        <v>-43.872300000000003</v>
      </c>
      <c r="G78" s="25">
        <v>300</v>
      </c>
      <c r="H78" s="38">
        <v>4.91922057854151</v>
      </c>
      <c r="I78" s="38" t="s">
        <v>1763</v>
      </c>
      <c r="J78" s="25">
        <v>1</v>
      </c>
      <c r="K78" s="25">
        <v>4.91922057854151</v>
      </c>
      <c r="L78" s="25">
        <v>4.91922057854151</v>
      </c>
      <c r="M78" s="25">
        <v>4.91922057854151</v>
      </c>
    </row>
    <row r="79" spans="1:13" s="25" customFormat="1" x14ac:dyDescent="0.25">
      <c r="A79" s="29" t="s">
        <v>277</v>
      </c>
      <c r="B79" s="25" t="s">
        <v>194</v>
      </c>
      <c r="C79" s="25" t="s">
        <v>1537</v>
      </c>
      <c r="D79" s="25" t="s">
        <v>14</v>
      </c>
      <c r="E79" s="25" t="s">
        <v>17</v>
      </c>
      <c r="F79" s="25">
        <v>-9.3554200000000005</v>
      </c>
      <c r="G79" s="25">
        <v>320</v>
      </c>
      <c r="H79" s="38">
        <v>110.347383998108</v>
      </c>
      <c r="I79" s="38">
        <v>143.86762792696601</v>
      </c>
      <c r="J79" s="25">
        <v>6</v>
      </c>
      <c r="K79" s="25">
        <v>315.91175535663803</v>
      </c>
      <c r="L79" s="25">
        <v>3.10562130969807</v>
      </c>
      <c r="M79" s="25">
        <v>29.998901520592501</v>
      </c>
    </row>
    <row r="80" spans="1:13" s="25" customFormat="1" x14ac:dyDescent="0.25">
      <c r="A80" s="29" t="s">
        <v>277</v>
      </c>
      <c r="B80" s="25" t="s">
        <v>194</v>
      </c>
      <c r="C80" s="25" t="s">
        <v>1537</v>
      </c>
      <c r="D80" s="25" t="s">
        <v>13</v>
      </c>
      <c r="E80" s="25" t="s">
        <v>17</v>
      </c>
      <c r="F80" s="25">
        <v>-9.3554200000000005</v>
      </c>
      <c r="G80" s="25">
        <v>320</v>
      </c>
      <c r="H80" s="38">
        <v>3.8598856651575399</v>
      </c>
      <c r="I80" s="38" t="s">
        <v>1763</v>
      </c>
      <c r="J80" s="25">
        <v>1</v>
      </c>
      <c r="K80" s="25">
        <v>3.8598856651575399</v>
      </c>
      <c r="L80" s="25">
        <v>3.8598856651575399</v>
      </c>
      <c r="M80" s="25">
        <v>3.8598856651575399</v>
      </c>
    </row>
    <row r="81" spans="1:13" s="25" customFormat="1" x14ac:dyDescent="0.25">
      <c r="A81" s="29" t="s">
        <v>1455</v>
      </c>
      <c r="B81" s="25" t="s">
        <v>40</v>
      </c>
      <c r="C81" s="25" t="s">
        <v>1538</v>
      </c>
      <c r="D81" s="25" t="s">
        <v>14</v>
      </c>
      <c r="E81" s="25" t="s">
        <v>17</v>
      </c>
      <c r="F81" s="25">
        <v>-3.2048199999999998</v>
      </c>
      <c r="G81" s="25">
        <v>320</v>
      </c>
      <c r="H81" s="38">
        <v>38.791752420942899</v>
      </c>
      <c r="I81" s="38">
        <v>8.6096510068629506</v>
      </c>
      <c r="J81" s="25">
        <v>3</v>
      </c>
      <c r="K81" s="25">
        <v>43.971028607056297</v>
      </c>
      <c r="L81" s="25">
        <v>28.8531406511783</v>
      </c>
      <c r="M81" s="25">
        <v>43.551088004594</v>
      </c>
    </row>
    <row r="82" spans="1:13" s="25" customFormat="1" x14ac:dyDescent="0.25">
      <c r="A82" s="29" t="s">
        <v>1456</v>
      </c>
      <c r="B82" s="25" t="s">
        <v>40</v>
      </c>
      <c r="C82" s="25" t="s">
        <v>1538</v>
      </c>
      <c r="D82" s="25" t="s">
        <v>14</v>
      </c>
      <c r="E82" s="25" t="s">
        <v>17</v>
      </c>
      <c r="F82" s="25">
        <v>-0.809751</v>
      </c>
      <c r="G82" s="25">
        <v>320</v>
      </c>
      <c r="H82" s="38">
        <v>20.937539779542099</v>
      </c>
      <c r="I82" s="38">
        <v>7.6042154978214596</v>
      </c>
      <c r="J82" s="25">
        <v>6</v>
      </c>
      <c r="K82" s="25">
        <v>31.551315579149701</v>
      </c>
      <c r="L82" s="25">
        <v>8.0519666156123506</v>
      </c>
      <c r="M82" s="25">
        <v>21.5633154864354</v>
      </c>
    </row>
    <row r="83" spans="1:13" s="25" customFormat="1" x14ac:dyDescent="0.25">
      <c r="A83" s="29" t="s">
        <v>390</v>
      </c>
      <c r="B83" s="25" t="s">
        <v>391</v>
      </c>
      <c r="C83" s="25" t="s">
        <v>1537</v>
      </c>
      <c r="D83" s="25" t="s">
        <v>14</v>
      </c>
      <c r="E83" s="25" t="s">
        <v>17</v>
      </c>
      <c r="F83" s="25">
        <v>-11.6044</v>
      </c>
      <c r="G83" s="25">
        <v>320</v>
      </c>
      <c r="H83" s="38">
        <v>20.167289910136901</v>
      </c>
      <c r="I83" s="38">
        <v>23.085774709069199</v>
      </c>
      <c r="J83" s="25">
        <v>3</v>
      </c>
      <c r="K83" s="25">
        <v>45.707431468054203</v>
      </c>
      <c r="L83" s="25">
        <v>0.784438262356421</v>
      </c>
      <c r="M83" s="25">
        <v>14.01</v>
      </c>
    </row>
    <row r="84" spans="1:13" s="25" customFormat="1" x14ac:dyDescent="0.25">
      <c r="A84" s="29"/>
    </row>
  </sheetData>
  <autoFilter ref="A1:M83" xr:uid="{00000000-0009-0000-0000-000005000000}">
    <sortState xmlns:xlrd2="http://schemas.microsoft.com/office/spreadsheetml/2017/richdata2" ref="A2:M83">
      <sortCondition ref="A1:A83"/>
    </sortState>
  </autoFilter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"/>
    </sheetView>
  </sheetViews>
  <sheetFormatPr defaultRowHeight="15" x14ac:dyDescent="0.25"/>
  <cols>
    <col min="1" max="1" width="22" style="19" bestFit="1" customWidth="1"/>
    <col min="2" max="2" width="8.42578125" style="19" bestFit="1" customWidth="1"/>
    <col min="3" max="3" width="6.5703125" style="19" bestFit="1" customWidth="1"/>
    <col min="4" max="4" width="4.7109375" style="19" bestFit="1" customWidth="1"/>
    <col min="5" max="5" width="12.28515625" style="19" bestFit="1" customWidth="1"/>
    <col min="6" max="6" width="12" style="19" bestFit="1" customWidth="1"/>
    <col min="7" max="7" width="10.140625" style="19" bestFit="1" customWidth="1"/>
    <col min="8" max="16384" width="9.140625" style="19"/>
  </cols>
  <sheetData>
    <row r="1" spans="1:7" x14ac:dyDescent="0.25">
      <c r="A1" s="33" t="s">
        <v>1767</v>
      </c>
      <c r="B1" s="33" t="s">
        <v>1758</v>
      </c>
      <c r="C1" s="33" t="s">
        <v>1759</v>
      </c>
      <c r="D1" s="33" t="s">
        <v>237</v>
      </c>
      <c r="E1" s="33" t="s">
        <v>1787</v>
      </c>
      <c r="F1" s="33" t="s">
        <v>1788</v>
      </c>
      <c r="G1" s="33" t="s">
        <v>1762</v>
      </c>
    </row>
    <row r="2" spans="1:7" x14ac:dyDescent="0.25">
      <c r="A2" s="34" t="s">
        <v>1796</v>
      </c>
      <c r="B2" s="36">
        <v>70.505499999999998</v>
      </c>
      <c r="C2" s="36">
        <v>226.17239000000001</v>
      </c>
      <c r="D2" s="35">
        <v>12</v>
      </c>
      <c r="E2" s="36">
        <v>788.65790000000004</v>
      </c>
      <c r="F2" s="36">
        <v>2.2150875999999999</v>
      </c>
      <c r="G2" s="36">
        <v>4.8869309999999997</v>
      </c>
    </row>
    <row r="3" spans="1:7" x14ac:dyDescent="0.25">
      <c r="A3" s="34" t="s">
        <v>1801</v>
      </c>
      <c r="B3" s="39">
        <v>267.02922999999998</v>
      </c>
      <c r="C3" s="36">
        <v>85.412120000000002</v>
      </c>
      <c r="D3" s="35">
        <v>6</v>
      </c>
      <c r="E3" s="36">
        <v>427.17540000000002</v>
      </c>
      <c r="F3" s="36">
        <v>210</v>
      </c>
      <c r="G3" s="36">
        <v>227.5</v>
      </c>
    </row>
    <row r="4" spans="1:7" x14ac:dyDescent="0.25">
      <c r="A4" s="34" t="s">
        <v>1799</v>
      </c>
      <c r="B4" s="36">
        <v>44.05312</v>
      </c>
      <c r="C4" s="36">
        <v>77.279300000000006</v>
      </c>
      <c r="D4" s="35">
        <v>334</v>
      </c>
      <c r="E4" s="36">
        <v>439.44580000000002</v>
      </c>
      <c r="F4" s="36">
        <v>0.78443830000000003</v>
      </c>
      <c r="G4" s="36">
        <v>18.721430999999999</v>
      </c>
    </row>
    <row r="5" spans="1:7" x14ac:dyDescent="0.25">
      <c r="A5" s="34" t="s">
        <v>1803</v>
      </c>
      <c r="B5" s="36">
        <v>17.0642</v>
      </c>
      <c r="C5" s="36">
        <v>47.721299999999999</v>
      </c>
      <c r="D5" s="35">
        <v>575</v>
      </c>
      <c r="E5" s="36">
        <v>614.79970000000003</v>
      </c>
      <c r="F5" s="36">
        <v>0.627</v>
      </c>
      <c r="G5" s="36">
        <v>8.5992259999999998</v>
      </c>
    </row>
    <row r="6" spans="1:7" x14ac:dyDescent="0.25">
      <c r="A6" s="34" t="s">
        <v>1768</v>
      </c>
      <c r="B6" s="36">
        <v>15.23762</v>
      </c>
      <c r="C6" s="36">
        <v>16.402339999999999</v>
      </c>
      <c r="D6" s="35">
        <v>247</v>
      </c>
      <c r="E6" s="36">
        <v>96.627700000000004</v>
      </c>
      <c r="F6" s="36">
        <v>0.65913529999999998</v>
      </c>
      <c r="G6" s="36">
        <v>9.3392060000000008</v>
      </c>
    </row>
    <row r="7" spans="1:7" x14ac:dyDescent="0.25">
      <c r="A7" s="34" t="s">
        <v>18</v>
      </c>
      <c r="B7" s="36">
        <v>40.405450000000002</v>
      </c>
      <c r="C7" s="36">
        <v>74.678169999999994</v>
      </c>
      <c r="D7" s="35">
        <v>105</v>
      </c>
      <c r="E7" s="36">
        <v>427.17540000000002</v>
      </c>
      <c r="F7" s="36">
        <v>0.84153169999999999</v>
      </c>
      <c r="G7" s="36">
        <v>15.965545000000001</v>
      </c>
    </row>
    <row r="8" spans="1:7" x14ac:dyDescent="0.25">
      <c r="A8" s="34" t="s">
        <v>16</v>
      </c>
      <c r="B8" s="36">
        <v>10.607010000000001</v>
      </c>
      <c r="C8" s="36">
        <v>10.11824</v>
      </c>
      <c r="D8" s="35">
        <v>219</v>
      </c>
      <c r="E8" s="36">
        <v>108.38800000000001</v>
      </c>
      <c r="F8" s="36">
        <v>1.2477655999999999</v>
      </c>
      <c r="G8" s="36">
        <v>8.210229</v>
      </c>
    </row>
    <row r="9" spans="1:7" x14ac:dyDescent="0.25">
      <c r="A9" s="34" t="s">
        <v>17</v>
      </c>
      <c r="B9" s="36">
        <v>28.437740000000002</v>
      </c>
      <c r="C9" s="36">
        <v>67.217269999999999</v>
      </c>
      <c r="D9" s="35">
        <v>850</v>
      </c>
      <c r="E9" s="36">
        <v>788.65790000000004</v>
      </c>
      <c r="F9" s="36">
        <v>0.627</v>
      </c>
      <c r="G9" s="36">
        <v>10.399794999999999</v>
      </c>
    </row>
    <row r="10" spans="1:7" x14ac:dyDescent="0.25">
      <c r="A10" s="34" t="s">
        <v>14</v>
      </c>
      <c r="B10" s="36">
        <v>43.071570000000001</v>
      </c>
      <c r="C10" s="36">
        <v>88.630219999999994</v>
      </c>
      <c r="D10" s="35">
        <v>298</v>
      </c>
      <c r="E10" s="36">
        <v>614.79970000000003</v>
      </c>
      <c r="F10" s="36">
        <v>0.65913529999999998</v>
      </c>
      <c r="G10" s="36">
        <v>12.132227</v>
      </c>
    </row>
    <row r="11" spans="1:7" x14ac:dyDescent="0.25">
      <c r="A11" s="34" t="s">
        <v>1769</v>
      </c>
      <c r="B11" s="36">
        <v>54.648235999999997</v>
      </c>
      <c r="C11" s="36">
        <v>73.548737000000003</v>
      </c>
      <c r="D11" s="35">
        <v>49</v>
      </c>
      <c r="E11" s="36">
        <v>427.17540000000002</v>
      </c>
      <c r="F11" s="36">
        <v>5.2019951000000004</v>
      </c>
      <c r="G11" s="36">
        <v>29.927371000000001</v>
      </c>
    </row>
    <row r="12" spans="1:7" x14ac:dyDescent="0.25">
      <c r="A12" s="34" t="s">
        <v>1770</v>
      </c>
      <c r="B12" s="36">
        <v>40.793430000000001</v>
      </c>
      <c r="C12" s="36">
        <v>91.261716000000007</v>
      </c>
      <c r="D12" s="35">
        <v>249</v>
      </c>
      <c r="E12" s="36">
        <v>614.79970000000003</v>
      </c>
      <c r="F12" s="36">
        <v>0.65913529999999998</v>
      </c>
      <c r="G12" s="36">
        <v>9.3599800000000002</v>
      </c>
    </row>
    <row r="13" spans="1:7" x14ac:dyDescent="0.25">
      <c r="A13" s="34" t="s">
        <v>13</v>
      </c>
      <c r="B13" s="36">
        <v>20.753720000000001</v>
      </c>
      <c r="C13" s="36">
        <v>46.85528</v>
      </c>
      <c r="D13" s="35">
        <v>611</v>
      </c>
      <c r="E13" s="36">
        <v>788.65790000000004</v>
      </c>
      <c r="F13" s="36">
        <v>0.627</v>
      </c>
      <c r="G13" s="36">
        <v>10.545766</v>
      </c>
    </row>
    <row r="14" spans="1:7" x14ac:dyDescent="0.25">
      <c r="A14" s="34" t="s">
        <v>1772</v>
      </c>
      <c r="B14" s="36">
        <v>24.972569</v>
      </c>
      <c r="C14" s="36">
        <v>54.951250999999999</v>
      </c>
      <c r="D14" s="35">
        <v>429</v>
      </c>
      <c r="E14" s="36">
        <v>788.65791000000002</v>
      </c>
      <c r="F14" s="36">
        <v>0.627</v>
      </c>
      <c r="G14" s="36">
        <v>12.070544999999999</v>
      </c>
    </row>
    <row r="15" spans="1:7" x14ac:dyDescent="0.25">
      <c r="A15" s="34" t="s">
        <v>1771</v>
      </c>
      <c r="B15" s="36">
        <v>10.809293</v>
      </c>
      <c r="C15" s="36">
        <v>10.813583</v>
      </c>
      <c r="D15" s="35">
        <v>182</v>
      </c>
      <c r="E15" s="36">
        <v>108.38796000000001</v>
      </c>
      <c r="F15" s="36">
        <v>1.2477655999999999</v>
      </c>
      <c r="G15" s="36">
        <v>8.2985900000000008</v>
      </c>
    </row>
    <row r="16" spans="1:7" x14ac:dyDescent="0.25">
      <c r="A16" s="34" t="s">
        <v>15</v>
      </c>
      <c r="B16" s="36">
        <v>19.70468</v>
      </c>
      <c r="C16" s="36">
        <v>52.604790000000001</v>
      </c>
      <c r="D16" s="35">
        <v>265</v>
      </c>
      <c r="E16" s="36">
        <v>358.79539999999997</v>
      </c>
      <c r="F16" s="36">
        <v>0.83793289999999998</v>
      </c>
      <c r="G16" s="36">
        <v>8.2195920000000005</v>
      </c>
    </row>
    <row r="17" spans="1:7" x14ac:dyDescent="0.25">
      <c r="A17" s="34" t="s">
        <v>1773</v>
      </c>
      <c r="B17" s="36">
        <v>27.943017999999999</v>
      </c>
      <c r="C17" s="36">
        <v>74.063946999999999</v>
      </c>
      <c r="D17" s="35">
        <v>56</v>
      </c>
      <c r="E17" s="36">
        <v>358.79543999999999</v>
      </c>
      <c r="F17" s="36">
        <v>0.84153169999999999</v>
      </c>
      <c r="G17" s="36">
        <v>7.2653720000000002</v>
      </c>
    </row>
    <row r="18" spans="1:7" x14ac:dyDescent="0.25">
      <c r="A18" s="34" t="s">
        <v>1774</v>
      </c>
      <c r="B18" s="36">
        <v>19.193522000000002</v>
      </c>
      <c r="C18" s="36">
        <v>49.567304999999998</v>
      </c>
      <c r="D18" s="35">
        <v>172</v>
      </c>
      <c r="E18" s="36">
        <v>316.06443000000002</v>
      </c>
      <c r="F18" s="36">
        <v>0.83793289999999998</v>
      </c>
      <c r="G18" s="36">
        <v>8.5107879999999998</v>
      </c>
    </row>
    <row r="19" spans="1:7" x14ac:dyDescent="0.25">
      <c r="A19" s="34" t="s">
        <v>1775</v>
      </c>
      <c r="B19" s="36">
        <v>9.612012</v>
      </c>
      <c r="C19" s="36">
        <v>5.5515330000000001</v>
      </c>
      <c r="D19" s="35">
        <v>37</v>
      </c>
      <c r="E19" s="36">
        <v>28.651859999999999</v>
      </c>
      <c r="F19" s="36">
        <v>3.4058405999999999</v>
      </c>
      <c r="G19" s="36">
        <v>8.1634580000000003</v>
      </c>
    </row>
    <row r="20" spans="1:7" x14ac:dyDescent="0.25">
      <c r="A20" s="34" t="s">
        <v>1536</v>
      </c>
      <c r="B20" s="36">
        <v>32.516770000000001</v>
      </c>
      <c r="C20" s="36">
        <v>81.135030999999998</v>
      </c>
      <c r="D20" s="35">
        <v>95</v>
      </c>
      <c r="E20" s="36">
        <v>788.65791000000002</v>
      </c>
      <c r="F20" s="36">
        <v>2.7587218</v>
      </c>
      <c r="G20" s="36">
        <v>18.572693999999998</v>
      </c>
    </row>
    <row r="21" spans="1:7" x14ac:dyDescent="0.25">
      <c r="A21" s="34" t="s">
        <v>1776</v>
      </c>
      <c r="B21" s="36">
        <v>24.472716999999999</v>
      </c>
      <c r="C21" s="36">
        <v>20.986452</v>
      </c>
      <c r="D21" s="35">
        <v>94</v>
      </c>
      <c r="E21" s="36">
        <v>96.627696</v>
      </c>
      <c r="F21" s="36">
        <v>2.7587218</v>
      </c>
      <c r="G21" s="36">
        <v>17.93882</v>
      </c>
    </row>
    <row r="22" spans="1:7" x14ac:dyDescent="0.25">
      <c r="A22" s="34" t="s">
        <v>1777</v>
      </c>
      <c r="B22" s="39">
        <v>788.65791100000001</v>
      </c>
      <c r="C22" s="37" t="s">
        <v>1763</v>
      </c>
      <c r="D22" s="35">
        <v>1</v>
      </c>
      <c r="E22" s="36">
        <v>788.65791100000001</v>
      </c>
      <c r="F22" s="36">
        <v>788.65791060000004</v>
      </c>
      <c r="G22" s="36">
        <v>788.65791100000001</v>
      </c>
    </row>
    <row r="23" spans="1:7" x14ac:dyDescent="0.25">
      <c r="A23" s="34" t="s">
        <v>1539</v>
      </c>
      <c r="B23" s="36">
        <v>10.065149999999999</v>
      </c>
      <c r="C23" s="36">
        <v>7.3222930000000002</v>
      </c>
      <c r="D23" s="35">
        <v>254</v>
      </c>
      <c r="E23" s="36">
        <v>69.897270000000006</v>
      </c>
      <c r="F23" s="36">
        <v>0.95919659999999995</v>
      </c>
      <c r="G23" s="36">
        <v>8.4143129999999999</v>
      </c>
    </row>
    <row r="24" spans="1:7" x14ac:dyDescent="0.25">
      <c r="A24" s="34" t="s">
        <v>1778</v>
      </c>
      <c r="B24" s="36">
        <v>5.0509539999999999</v>
      </c>
      <c r="C24" s="36">
        <v>2.6504780000000001</v>
      </c>
      <c r="D24" s="35">
        <v>6</v>
      </c>
      <c r="E24" s="36">
        <v>9.5025379999999995</v>
      </c>
      <c r="F24" s="36">
        <v>1.4648829000000001</v>
      </c>
      <c r="G24" s="36">
        <v>4.9192150000000003</v>
      </c>
    </row>
    <row r="25" spans="1:7" x14ac:dyDescent="0.25">
      <c r="A25" s="34" t="s">
        <v>1779</v>
      </c>
      <c r="B25" s="36">
        <v>10.636711</v>
      </c>
      <c r="C25" s="36">
        <v>8.2012370000000008</v>
      </c>
      <c r="D25" s="35">
        <v>121</v>
      </c>
      <c r="E25" s="36">
        <v>69.897267999999997</v>
      </c>
      <c r="F25" s="36">
        <v>1.2477655999999999</v>
      </c>
      <c r="G25" s="36">
        <v>8.8045469999999995</v>
      </c>
    </row>
    <row r="26" spans="1:7" x14ac:dyDescent="0.25">
      <c r="A26" s="34" t="s">
        <v>1780</v>
      </c>
      <c r="B26" s="36">
        <v>9.7574760000000005</v>
      </c>
      <c r="C26" s="36">
        <v>6.4587070000000004</v>
      </c>
      <c r="D26" s="35">
        <v>127</v>
      </c>
      <c r="E26" s="36">
        <v>44.045174000000003</v>
      </c>
      <c r="F26" s="36">
        <v>0.95919659999999995</v>
      </c>
      <c r="G26" s="36">
        <v>8.3000000000000007</v>
      </c>
    </row>
    <row r="27" spans="1:7" x14ac:dyDescent="0.25">
      <c r="A27" s="34" t="s">
        <v>1537</v>
      </c>
      <c r="B27" s="36">
        <v>34.39808</v>
      </c>
      <c r="C27" s="36">
        <v>81.350689000000003</v>
      </c>
      <c r="D27" s="35">
        <v>249</v>
      </c>
      <c r="E27" s="36">
        <v>406.22985999999997</v>
      </c>
      <c r="F27" s="36">
        <v>0.627</v>
      </c>
      <c r="G27" s="36">
        <v>6.3960710000000001</v>
      </c>
    </row>
    <row r="28" spans="1:7" x14ac:dyDescent="0.25">
      <c r="A28" s="34" t="s">
        <v>1781</v>
      </c>
      <c r="B28" s="36">
        <v>90.405432000000005</v>
      </c>
      <c r="C28" s="36">
        <v>126.469527</v>
      </c>
      <c r="D28" s="35">
        <v>74</v>
      </c>
      <c r="E28" s="36">
        <v>406.22986400000002</v>
      </c>
      <c r="F28" s="36">
        <v>0.78443830000000003</v>
      </c>
      <c r="G28" s="36">
        <v>12.396872</v>
      </c>
    </row>
    <row r="29" spans="1:7" x14ac:dyDescent="0.25">
      <c r="A29" s="34" t="s">
        <v>1782</v>
      </c>
      <c r="B29" s="36">
        <v>10.693756</v>
      </c>
      <c r="C29" s="36">
        <v>28.945035000000001</v>
      </c>
      <c r="D29" s="35">
        <v>172</v>
      </c>
      <c r="E29" s="36">
        <v>230.08096699999999</v>
      </c>
      <c r="F29" s="36">
        <v>0.627</v>
      </c>
      <c r="G29" s="36">
        <v>6.16784</v>
      </c>
    </row>
    <row r="30" spans="1:7" x14ac:dyDescent="0.25">
      <c r="A30" s="34" t="s">
        <v>1783</v>
      </c>
      <c r="B30" s="36">
        <v>11.931457</v>
      </c>
      <c r="C30" s="36">
        <v>6.88354</v>
      </c>
      <c r="D30" s="35">
        <v>3</v>
      </c>
      <c r="E30" s="36">
        <v>16.610291</v>
      </c>
      <c r="F30" s="36">
        <v>4.0274633</v>
      </c>
      <c r="G30" s="36">
        <v>15.156616</v>
      </c>
    </row>
    <row r="31" spans="1:7" x14ac:dyDescent="0.25">
      <c r="A31" s="34" t="s">
        <v>1538</v>
      </c>
      <c r="B31" s="36">
        <v>28.692409999999999</v>
      </c>
      <c r="C31" s="36">
        <v>61.192323999999999</v>
      </c>
      <c r="D31" s="35">
        <v>576</v>
      </c>
      <c r="E31" s="36">
        <v>614.79970000000003</v>
      </c>
      <c r="F31" s="36">
        <v>0.65913529999999998</v>
      </c>
      <c r="G31" s="36">
        <v>13.125448</v>
      </c>
    </row>
    <row r="32" spans="1:7" x14ac:dyDescent="0.25">
      <c r="A32" s="34" t="s">
        <v>1784</v>
      </c>
      <c r="B32" s="36">
        <v>30.762778999999998</v>
      </c>
      <c r="C32" s="36">
        <v>85.476153999999994</v>
      </c>
      <c r="D32" s="35">
        <v>124</v>
      </c>
      <c r="E32" s="36">
        <v>614.79970200000002</v>
      </c>
      <c r="F32" s="36">
        <v>0.65913529999999998</v>
      </c>
      <c r="G32" s="36">
        <v>10.456445</v>
      </c>
    </row>
    <row r="33" spans="1:7" x14ac:dyDescent="0.25">
      <c r="A33" s="34" t="s">
        <v>1785</v>
      </c>
      <c r="B33" s="36">
        <v>27.651412000000001</v>
      </c>
      <c r="C33" s="36">
        <v>41.844965000000002</v>
      </c>
      <c r="D33" s="35">
        <v>317</v>
      </c>
      <c r="E33" s="36">
        <v>387.64765399999999</v>
      </c>
      <c r="F33" s="36">
        <v>1.3159692000000001</v>
      </c>
      <c r="G33" s="36">
        <v>15.808272000000001</v>
      </c>
    </row>
    <row r="34" spans="1:7" x14ac:dyDescent="0.25">
      <c r="A34" s="34" t="s">
        <v>1786</v>
      </c>
      <c r="B34" s="36">
        <v>29.235150999999998</v>
      </c>
      <c r="C34" s="36">
        <v>72.286606000000006</v>
      </c>
      <c r="D34" s="35">
        <v>135</v>
      </c>
      <c r="E34" s="36">
        <v>358.79544299999998</v>
      </c>
      <c r="F34" s="36">
        <v>0.83793289999999998</v>
      </c>
      <c r="G34" s="36">
        <v>7.8885110000000003</v>
      </c>
    </row>
    <row r="35" spans="1:7" x14ac:dyDescent="0.25">
      <c r="A35" s="34"/>
      <c r="B35" s="35"/>
      <c r="C35" s="35"/>
      <c r="D35" s="35"/>
      <c r="E35" s="35"/>
      <c r="F35" s="35"/>
      <c r="G35" s="35"/>
    </row>
  </sheetData>
  <autoFilter ref="A1:G1" xr:uid="{00000000-0009-0000-0000-000006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8"/>
  <sheetViews>
    <sheetView zoomScale="85" zoomScaleNormal="85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1" max="1" width="5.7109375" bestFit="1" customWidth="1"/>
    <col min="2" max="2" width="93.28515625" style="7" customWidth="1"/>
    <col min="3" max="3" width="14.42578125" bestFit="1" customWidth="1"/>
    <col min="4" max="4" width="11" bestFit="1" customWidth="1"/>
    <col min="5" max="5" width="39.5703125" style="1" customWidth="1"/>
    <col min="6" max="6" width="11.5703125" bestFit="1" customWidth="1"/>
    <col min="7" max="7" width="33.28515625" style="1" customWidth="1"/>
  </cols>
  <sheetData>
    <row r="1" spans="1:7" x14ac:dyDescent="0.25">
      <c r="A1" s="2" t="s">
        <v>237</v>
      </c>
      <c r="B1" s="5" t="s">
        <v>8</v>
      </c>
      <c r="C1" s="2" t="s">
        <v>1332</v>
      </c>
      <c r="D1" s="2" t="s">
        <v>74</v>
      </c>
      <c r="E1" s="5" t="s">
        <v>2</v>
      </c>
      <c r="F1" s="2" t="s">
        <v>1533</v>
      </c>
      <c r="G1" s="5" t="s">
        <v>0</v>
      </c>
    </row>
    <row r="2" spans="1:7" ht="90" x14ac:dyDescent="0.25">
      <c r="A2">
        <v>1</v>
      </c>
      <c r="B2" s="7" t="s">
        <v>1568</v>
      </c>
      <c r="C2">
        <v>45</v>
      </c>
      <c r="D2" s="25">
        <v>19</v>
      </c>
      <c r="E2" s="1" t="s">
        <v>1567</v>
      </c>
      <c r="F2">
        <v>0</v>
      </c>
      <c r="G2" s="1" t="s">
        <v>1566</v>
      </c>
    </row>
    <row r="3" spans="1:7" ht="90" x14ac:dyDescent="0.25">
      <c r="A3">
        <v>2</v>
      </c>
      <c r="B3" s="7" t="s">
        <v>1792</v>
      </c>
      <c r="C3">
        <v>37</v>
      </c>
      <c r="D3" s="25">
        <v>15</v>
      </c>
      <c r="E3" s="1" t="s">
        <v>1793</v>
      </c>
      <c r="F3">
        <v>5</v>
      </c>
      <c r="G3" s="1" t="s">
        <v>1794</v>
      </c>
    </row>
    <row r="4" spans="1:7" ht="135" x14ac:dyDescent="0.25">
      <c r="A4">
        <v>3</v>
      </c>
      <c r="B4" s="7" t="s">
        <v>1795</v>
      </c>
      <c r="C4">
        <v>58</v>
      </c>
      <c r="D4" s="25">
        <v>19</v>
      </c>
      <c r="E4" s="1" t="s">
        <v>1790</v>
      </c>
      <c r="F4">
        <v>10</v>
      </c>
      <c r="G4" s="1" t="s">
        <v>1791</v>
      </c>
    </row>
    <row r="5" spans="1:7" ht="45" x14ac:dyDescent="0.25">
      <c r="A5">
        <v>4</v>
      </c>
      <c r="B5" s="7" t="s">
        <v>1565</v>
      </c>
      <c r="C5">
        <v>22</v>
      </c>
      <c r="D5" s="25">
        <v>18</v>
      </c>
      <c r="E5" s="1" t="s">
        <v>1563</v>
      </c>
      <c r="F5">
        <v>15</v>
      </c>
      <c r="G5" s="1" t="s">
        <v>1564</v>
      </c>
    </row>
    <row r="6" spans="1:7" ht="30" x14ac:dyDescent="0.25">
      <c r="A6">
        <v>5</v>
      </c>
      <c r="B6" s="7" t="s">
        <v>1562</v>
      </c>
      <c r="C6">
        <v>11</v>
      </c>
      <c r="D6" s="25">
        <v>8</v>
      </c>
      <c r="E6" s="1" t="s">
        <v>142</v>
      </c>
      <c r="F6">
        <v>25</v>
      </c>
      <c r="G6" s="1" t="s">
        <v>143</v>
      </c>
    </row>
    <row r="7" spans="1:7" x14ac:dyDescent="0.25">
      <c r="A7">
        <v>6</v>
      </c>
      <c r="B7" s="7" t="s">
        <v>96</v>
      </c>
      <c r="C7">
        <v>1</v>
      </c>
      <c r="D7">
        <v>1</v>
      </c>
      <c r="E7" s="1" t="s">
        <v>97</v>
      </c>
      <c r="F7">
        <v>30</v>
      </c>
      <c r="G7" s="1" t="s">
        <v>91</v>
      </c>
    </row>
    <row r="8" spans="1:7" x14ac:dyDescent="0.25">
      <c r="A8">
        <v>7</v>
      </c>
      <c r="B8" s="7" t="s">
        <v>115</v>
      </c>
      <c r="C8">
        <v>6</v>
      </c>
      <c r="D8">
        <v>6</v>
      </c>
      <c r="E8" s="1" t="s">
        <v>112</v>
      </c>
      <c r="F8">
        <v>35</v>
      </c>
      <c r="G8" s="1" t="s">
        <v>114</v>
      </c>
    </row>
    <row r="9" spans="1:7" x14ac:dyDescent="0.25">
      <c r="A9">
        <v>8</v>
      </c>
      <c r="B9" s="7" t="s">
        <v>1492</v>
      </c>
      <c r="C9">
        <v>4</v>
      </c>
      <c r="D9">
        <v>3</v>
      </c>
      <c r="E9" s="1" t="s">
        <v>54</v>
      </c>
      <c r="F9">
        <v>40</v>
      </c>
      <c r="G9" s="1" t="s">
        <v>599</v>
      </c>
    </row>
    <row r="10" spans="1:7" ht="60" x14ac:dyDescent="0.25">
      <c r="A10">
        <v>9</v>
      </c>
      <c r="B10" s="7" t="s">
        <v>1559</v>
      </c>
      <c r="C10">
        <v>22</v>
      </c>
      <c r="D10" s="25">
        <v>8</v>
      </c>
      <c r="E10" s="1" t="s">
        <v>1560</v>
      </c>
      <c r="F10">
        <v>45</v>
      </c>
      <c r="G10" s="1" t="s">
        <v>1561</v>
      </c>
    </row>
    <row r="11" spans="1:7" ht="90" x14ac:dyDescent="0.25">
      <c r="A11">
        <v>10</v>
      </c>
      <c r="B11" s="7" t="s">
        <v>1558</v>
      </c>
      <c r="C11">
        <v>42</v>
      </c>
      <c r="D11" s="25">
        <v>15</v>
      </c>
      <c r="E11" s="1" t="s">
        <v>1556</v>
      </c>
      <c r="F11" s="1">
        <v>50</v>
      </c>
      <c r="G11" s="1" t="s">
        <v>1557</v>
      </c>
    </row>
    <row r="12" spans="1:7" ht="45" x14ac:dyDescent="0.25">
      <c r="A12">
        <v>11</v>
      </c>
      <c r="B12" s="7" t="s">
        <v>1553</v>
      </c>
      <c r="C12">
        <v>19</v>
      </c>
      <c r="D12" s="25">
        <v>7</v>
      </c>
      <c r="E12" s="1" t="s">
        <v>1554</v>
      </c>
      <c r="F12">
        <v>55</v>
      </c>
      <c r="G12" s="1" t="s">
        <v>1555</v>
      </c>
    </row>
    <row r="13" spans="1:7" ht="45" x14ac:dyDescent="0.25">
      <c r="A13">
        <v>12</v>
      </c>
      <c r="B13" s="7" t="s">
        <v>1547</v>
      </c>
      <c r="C13">
        <v>13</v>
      </c>
      <c r="D13" s="25">
        <v>5</v>
      </c>
      <c r="E13" s="1" t="s">
        <v>1546</v>
      </c>
      <c r="F13">
        <v>60</v>
      </c>
      <c r="G13" s="1" t="s">
        <v>1545</v>
      </c>
    </row>
    <row r="14" spans="1:7" ht="30" x14ac:dyDescent="0.25">
      <c r="A14">
        <v>13</v>
      </c>
      <c r="B14" s="7" t="s">
        <v>1550</v>
      </c>
      <c r="C14">
        <v>10</v>
      </c>
      <c r="D14" s="25">
        <v>7</v>
      </c>
      <c r="E14" s="1" t="s">
        <v>1552</v>
      </c>
      <c r="F14">
        <v>65</v>
      </c>
      <c r="G14" s="1" t="s">
        <v>1551</v>
      </c>
    </row>
    <row r="15" spans="1:7" ht="30" x14ac:dyDescent="0.25">
      <c r="A15">
        <v>14</v>
      </c>
      <c r="B15" s="7" t="s">
        <v>1481</v>
      </c>
      <c r="C15">
        <v>8</v>
      </c>
      <c r="D15">
        <v>5</v>
      </c>
      <c r="E15" s="1" t="s">
        <v>235</v>
      </c>
      <c r="F15">
        <v>70</v>
      </c>
      <c r="G15" s="1" t="s">
        <v>756</v>
      </c>
    </row>
    <row r="16" spans="1:7" x14ac:dyDescent="0.25">
      <c r="A16">
        <v>15</v>
      </c>
      <c r="B16" s="7" t="s">
        <v>639</v>
      </c>
      <c r="C16">
        <v>1</v>
      </c>
      <c r="D16">
        <v>1</v>
      </c>
      <c r="E16" s="1" t="s">
        <v>426</v>
      </c>
      <c r="F16">
        <v>75</v>
      </c>
      <c r="G16" s="1" t="s">
        <v>637</v>
      </c>
    </row>
    <row r="17" spans="1:7" x14ac:dyDescent="0.25">
      <c r="A17">
        <v>16</v>
      </c>
      <c r="B17" s="7" t="s">
        <v>428</v>
      </c>
      <c r="C17">
        <v>2</v>
      </c>
      <c r="D17">
        <v>2</v>
      </c>
      <c r="E17" s="1" t="s">
        <v>426</v>
      </c>
      <c r="F17">
        <v>80</v>
      </c>
      <c r="G17" s="1" t="s">
        <v>427</v>
      </c>
    </row>
    <row r="18" spans="1:7" ht="45" x14ac:dyDescent="0.25">
      <c r="A18">
        <v>17</v>
      </c>
      <c r="B18" s="7" t="s">
        <v>1549</v>
      </c>
      <c r="C18">
        <v>20</v>
      </c>
      <c r="D18" s="25">
        <v>13</v>
      </c>
      <c r="E18" s="1" t="s">
        <v>426</v>
      </c>
      <c r="F18" s="1">
        <v>85</v>
      </c>
      <c r="G18" s="1" t="s">
        <v>1548</v>
      </c>
    </row>
  </sheetData>
  <autoFilter ref="A1:G18" xr:uid="{00000000-0009-0000-0000-000012000000}">
    <sortState xmlns:xlrd2="http://schemas.microsoft.com/office/spreadsheetml/2017/richdata2" ref="A2:G18">
      <sortCondition ref="F1:F18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202"/>
  <sheetViews>
    <sheetView zoomScale="85" zoomScaleNormal="85" workbookViewId="0">
      <pane ySplit="1" topLeftCell="A9" activePane="bottomLeft" state="frozen"/>
      <selection pane="bottomLeft" activeCell="B17" sqref="B17"/>
    </sheetView>
  </sheetViews>
  <sheetFormatPr defaultRowHeight="15" x14ac:dyDescent="0.25"/>
  <cols>
    <col min="1" max="1" width="8.28515625" bestFit="1" customWidth="1"/>
    <col min="2" max="2" width="162.42578125" style="1" customWidth="1"/>
  </cols>
  <sheetData>
    <row r="1" spans="1:2" x14ac:dyDescent="0.25">
      <c r="A1" s="2" t="s">
        <v>1</v>
      </c>
      <c r="B1" s="5" t="s">
        <v>567</v>
      </c>
    </row>
    <row r="2" spans="1:2" x14ac:dyDescent="0.25">
      <c r="A2">
        <v>1</v>
      </c>
      <c r="B2" s="13" t="s">
        <v>444</v>
      </c>
    </row>
    <row r="3" spans="1:2" ht="30" x14ac:dyDescent="0.25">
      <c r="A3">
        <v>2</v>
      </c>
      <c r="B3" s="13" t="s">
        <v>445</v>
      </c>
    </row>
    <row r="4" spans="1:2" ht="45" x14ac:dyDescent="0.25">
      <c r="A4">
        <v>3</v>
      </c>
      <c r="B4" s="13" t="s">
        <v>446</v>
      </c>
    </row>
    <row r="5" spans="1:2" ht="30" x14ac:dyDescent="0.25">
      <c r="A5">
        <v>4</v>
      </c>
      <c r="B5" s="13" t="s">
        <v>447</v>
      </c>
    </row>
    <row r="6" spans="1:2" ht="30" x14ac:dyDescent="0.25">
      <c r="A6">
        <v>5</v>
      </c>
      <c r="B6" s="13" t="s">
        <v>448</v>
      </c>
    </row>
    <row r="7" spans="1:2" ht="30" x14ac:dyDescent="0.25">
      <c r="A7">
        <v>6</v>
      </c>
      <c r="B7" s="13" t="s">
        <v>449</v>
      </c>
    </row>
    <row r="8" spans="1:2" ht="30" x14ac:dyDescent="0.25">
      <c r="A8">
        <v>7</v>
      </c>
      <c r="B8" s="13" t="s">
        <v>450</v>
      </c>
    </row>
    <row r="9" spans="1:2" ht="30" x14ac:dyDescent="0.25">
      <c r="A9">
        <v>8</v>
      </c>
      <c r="B9" s="13" t="s">
        <v>451</v>
      </c>
    </row>
    <row r="10" spans="1:2" ht="30" x14ac:dyDescent="0.25">
      <c r="A10">
        <v>9</v>
      </c>
      <c r="B10" s="13" t="s">
        <v>452</v>
      </c>
    </row>
    <row r="11" spans="1:2" ht="30" x14ac:dyDescent="0.25">
      <c r="A11">
        <v>10</v>
      </c>
      <c r="B11" s="13" t="s">
        <v>453</v>
      </c>
    </row>
    <row r="12" spans="1:2" x14ac:dyDescent="0.25">
      <c r="A12">
        <v>11</v>
      </c>
      <c r="B12" s="13" t="s">
        <v>454</v>
      </c>
    </row>
    <row r="13" spans="1:2" x14ac:dyDescent="0.25">
      <c r="A13">
        <v>12</v>
      </c>
      <c r="B13" s="13" t="s">
        <v>455</v>
      </c>
    </row>
    <row r="14" spans="1:2" ht="30" x14ac:dyDescent="0.25">
      <c r="A14">
        <v>13</v>
      </c>
      <c r="B14" s="13" t="s">
        <v>456</v>
      </c>
    </row>
    <row r="15" spans="1:2" ht="30" x14ac:dyDescent="0.25">
      <c r="A15">
        <v>14</v>
      </c>
      <c r="B15" s="13" t="s">
        <v>457</v>
      </c>
    </row>
    <row r="16" spans="1:2" ht="30" x14ac:dyDescent="0.25">
      <c r="A16">
        <v>15</v>
      </c>
      <c r="B16" s="13" t="s">
        <v>458</v>
      </c>
    </row>
    <row r="17" spans="1:2" ht="30" x14ac:dyDescent="0.25">
      <c r="A17">
        <v>16</v>
      </c>
      <c r="B17" s="13" t="s">
        <v>459</v>
      </c>
    </row>
    <row r="18" spans="1:2" ht="30" x14ac:dyDescent="0.25">
      <c r="A18">
        <v>17</v>
      </c>
      <c r="B18" s="13" t="s">
        <v>460</v>
      </c>
    </row>
    <row r="19" spans="1:2" ht="30" x14ac:dyDescent="0.25">
      <c r="A19">
        <v>18</v>
      </c>
      <c r="B19" s="13" t="s">
        <v>461</v>
      </c>
    </row>
    <row r="20" spans="1:2" ht="30" x14ac:dyDescent="0.25">
      <c r="A20">
        <v>19</v>
      </c>
      <c r="B20" s="13" t="s">
        <v>462</v>
      </c>
    </row>
    <row r="21" spans="1:2" ht="30" x14ac:dyDescent="0.25">
      <c r="A21">
        <v>20</v>
      </c>
      <c r="B21" s="13" t="s">
        <v>463</v>
      </c>
    </row>
    <row r="22" spans="1:2" ht="30" x14ac:dyDescent="0.25">
      <c r="A22">
        <v>21</v>
      </c>
      <c r="B22" s="13" t="s">
        <v>464</v>
      </c>
    </row>
    <row r="23" spans="1:2" ht="30" x14ac:dyDescent="0.25">
      <c r="A23">
        <v>22</v>
      </c>
      <c r="B23" s="13" t="s">
        <v>465</v>
      </c>
    </row>
    <row r="24" spans="1:2" ht="45" x14ac:dyDescent="0.25">
      <c r="A24">
        <v>23</v>
      </c>
      <c r="B24" s="13" t="s">
        <v>466</v>
      </c>
    </row>
    <row r="25" spans="1:2" ht="30" x14ac:dyDescent="0.25">
      <c r="A25">
        <v>24</v>
      </c>
      <c r="B25" s="13" t="s">
        <v>467</v>
      </c>
    </row>
    <row r="26" spans="1:2" ht="30" x14ac:dyDescent="0.25">
      <c r="A26">
        <v>25</v>
      </c>
      <c r="B26" s="13" t="s">
        <v>468</v>
      </c>
    </row>
    <row r="27" spans="1:2" x14ac:dyDescent="0.25">
      <c r="A27">
        <v>26</v>
      </c>
      <c r="B27" s="13" t="s">
        <v>469</v>
      </c>
    </row>
    <row r="28" spans="1:2" ht="30" x14ac:dyDescent="0.25">
      <c r="A28">
        <v>27</v>
      </c>
      <c r="B28" s="13" t="s">
        <v>470</v>
      </c>
    </row>
    <row r="29" spans="1:2" ht="30" x14ac:dyDescent="0.25">
      <c r="A29">
        <v>28</v>
      </c>
      <c r="B29" s="13" t="s">
        <v>471</v>
      </c>
    </row>
    <row r="30" spans="1:2" ht="30" x14ac:dyDescent="0.25">
      <c r="A30">
        <v>29</v>
      </c>
      <c r="B30" s="13" t="s">
        <v>472</v>
      </c>
    </row>
    <row r="31" spans="1:2" ht="30" x14ac:dyDescent="0.25">
      <c r="A31">
        <v>30</v>
      </c>
      <c r="B31" s="13" t="s">
        <v>473</v>
      </c>
    </row>
    <row r="32" spans="1:2" ht="30" x14ac:dyDescent="0.25">
      <c r="A32">
        <v>31</v>
      </c>
      <c r="B32" s="13" t="s">
        <v>474</v>
      </c>
    </row>
    <row r="33" spans="1:2" ht="30" x14ac:dyDescent="0.25">
      <c r="A33">
        <v>32</v>
      </c>
      <c r="B33" s="13" t="s">
        <v>475</v>
      </c>
    </row>
    <row r="34" spans="1:2" ht="30" x14ac:dyDescent="0.25">
      <c r="A34">
        <v>33</v>
      </c>
      <c r="B34" s="13" t="s">
        <v>476</v>
      </c>
    </row>
    <row r="35" spans="1:2" ht="30" x14ac:dyDescent="0.25">
      <c r="A35">
        <v>34</v>
      </c>
      <c r="B35" s="13" t="s">
        <v>477</v>
      </c>
    </row>
    <row r="36" spans="1:2" ht="30" x14ac:dyDescent="0.25">
      <c r="A36">
        <v>35</v>
      </c>
      <c r="B36" s="13" t="s">
        <v>478</v>
      </c>
    </row>
    <row r="37" spans="1:2" x14ac:dyDescent="0.25">
      <c r="A37">
        <v>36</v>
      </c>
      <c r="B37" s="13" t="s">
        <v>479</v>
      </c>
    </row>
    <row r="38" spans="1:2" x14ac:dyDescent="0.25">
      <c r="A38">
        <v>37</v>
      </c>
      <c r="B38" s="13" t="s">
        <v>480</v>
      </c>
    </row>
    <row r="39" spans="1:2" ht="30" x14ac:dyDescent="0.25">
      <c r="A39">
        <v>38</v>
      </c>
      <c r="B39" s="13" t="s">
        <v>481</v>
      </c>
    </row>
    <row r="40" spans="1:2" ht="30" x14ac:dyDescent="0.25">
      <c r="A40">
        <v>39</v>
      </c>
      <c r="B40" s="13" t="s">
        <v>482</v>
      </c>
    </row>
    <row r="41" spans="1:2" x14ac:dyDescent="0.25">
      <c r="A41">
        <v>40</v>
      </c>
      <c r="B41" s="13" t="s">
        <v>483</v>
      </c>
    </row>
    <row r="42" spans="1:2" ht="30" x14ac:dyDescent="0.25">
      <c r="A42">
        <v>41</v>
      </c>
      <c r="B42" s="13" t="s">
        <v>484</v>
      </c>
    </row>
    <row r="43" spans="1:2" ht="30" x14ac:dyDescent="0.25">
      <c r="A43">
        <v>42</v>
      </c>
      <c r="B43" s="13" t="s">
        <v>485</v>
      </c>
    </row>
    <row r="44" spans="1:2" x14ac:dyDescent="0.25">
      <c r="A44">
        <v>43</v>
      </c>
      <c r="B44" s="13" t="s">
        <v>486</v>
      </c>
    </row>
    <row r="45" spans="1:2" ht="45" x14ac:dyDescent="0.25">
      <c r="A45">
        <v>44</v>
      </c>
      <c r="B45" s="13" t="s">
        <v>487</v>
      </c>
    </row>
    <row r="46" spans="1:2" ht="30" x14ac:dyDescent="0.25">
      <c r="A46">
        <v>45</v>
      </c>
      <c r="B46" s="13" t="s">
        <v>488</v>
      </c>
    </row>
    <row r="47" spans="1:2" ht="30" x14ac:dyDescent="0.25">
      <c r="A47">
        <v>46</v>
      </c>
      <c r="B47" s="13" t="s">
        <v>489</v>
      </c>
    </row>
    <row r="48" spans="1:2" ht="30" x14ac:dyDescent="0.25">
      <c r="A48">
        <v>47</v>
      </c>
      <c r="B48" s="13" t="s">
        <v>490</v>
      </c>
    </row>
    <row r="49" spans="1:2" ht="33" customHeight="1" x14ac:dyDescent="0.25">
      <c r="A49">
        <v>48</v>
      </c>
      <c r="B49" s="13" t="s">
        <v>491</v>
      </c>
    </row>
    <row r="50" spans="1:2" ht="30" x14ac:dyDescent="0.25">
      <c r="A50">
        <v>49</v>
      </c>
      <c r="B50" s="13" t="s">
        <v>492</v>
      </c>
    </row>
    <row r="51" spans="1:2" ht="30" x14ac:dyDescent="0.25">
      <c r="A51">
        <v>50</v>
      </c>
      <c r="B51" s="13" t="s">
        <v>493</v>
      </c>
    </row>
    <row r="52" spans="1:2" ht="30" x14ac:dyDescent="0.25">
      <c r="A52">
        <v>51</v>
      </c>
      <c r="B52" s="13" t="s">
        <v>494</v>
      </c>
    </row>
    <row r="53" spans="1:2" ht="30" x14ac:dyDescent="0.25">
      <c r="A53">
        <v>52</v>
      </c>
      <c r="B53" s="13" t="s">
        <v>495</v>
      </c>
    </row>
    <row r="54" spans="1:2" ht="30" x14ac:dyDescent="0.25">
      <c r="A54">
        <v>53</v>
      </c>
      <c r="B54" s="13" t="s">
        <v>496</v>
      </c>
    </row>
    <row r="55" spans="1:2" ht="30" x14ac:dyDescent="0.25">
      <c r="A55">
        <v>54</v>
      </c>
      <c r="B55" s="13" t="s">
        <v>497</v>
      </c>
    </row>
    <row r="56" spans="1:2" ht="30" x14ac:dyDescent="0.25">
      <c r="A56">
        <v>55</v>
      </c>
      <c r="B56" s="13" t="s">
        <v>498</v>
      </c>
    </row>
    <row r="57" spans="1:2" ht="30" x14ac:dyDescent="0.25">
      <c r="A57">
        <v>56</v>
      </c>
      <c r="B57" s="13" t="s">
        <v>499</v>
      </c>
    </row>
    <row r="58" spans="1:2" x14ac:dyDescent="0.25">
      <c r="A58">
        <v>57</v>
      </c>
      <c r="B58" s="13" t="s">
        <v>500</v>
      </c>
    </row>
    <row r="59" spans="1:2" ht="45" x14ac:dyDescent="0.25">
      <c r="A59">
        <v>58</v>
      </c>
      <c r="B59" s="13" t="s">
        <v>446</v>
      </c>
    </row>
    <row r="60" spans="1:2" x14ac:dyDescent="0.25">
      <c r="A60">
        <v>59</v>
      </c>
      <c r="B60" s="13" t="s">
        <v>501</v>
      </c>
    </row>
    <row r="61" spans="1:2" ht="30" x14ac:dyDescent="0.25">
      <c r="A61">
        <v>60</v>
      </c>
      <c r="B61" s="13" t="s">
        <v>502</v>
      </c>
    </row>
    <row r="62" spans="1:2" x14ac:dyDescent="0.25">
      <c r="A62">
        <v>61</v>
      </c>
      <c r="B62" s="13" t="s">
        <v>503</v>
      </c>
    </row>
    <row r="63" spans="1:2" x14ac:dyDescent="0.25">
      <c r="A63">
        <v>62</v>
      </c>
      <c r="B63" s="13" t="s">
        <v>504</v>
      </c>
    </row>
    <row r="64" spans="1:2" x14ac:dyDescent="0.25">
      <c r="A64">
        <v>63</v>
      </c>
      <c r="B64" s="13" t="s">
        <v>505</v>
      </c>
    </row>
    <row r="65" spans="1:2" ht="30" x14ac:dyDescent="0.25">
      <c r="A65">
        <v>64</v>
      </c>
      <c r="B65" s="13" t="s">
        <v>506</v>
      </c>
    </row>
    <row r="66" spans="1:2" ht="30" x14ac:dyDescent="0.25">
      <c r="A66">
        <v>65</v>
      </c>
      <c r="B66" s="13" t="s">
        <v>507</v>
      </c>
    </row>
    <row r="67" spans="1:2" ht="30" x14ac:dyDescent="0.25">
      <c r="A67">
        <v>66</v>
      </c>
      <c r="B67" s="13" t="s">
        <v>508</v>
      </c>
    </row>
    <row r="68" spans="1:2" ht="30" x14ac:dyDescent="0.25">
      <c r="A68">
        <v>67</v>
      </c>
      <c r="B68" s="13" t="s">
        <v>509</v>
      </c>
    </row>
    <row r="69" spans="1:2" ht="45" x14ac:dyDescent="0.25">
      <c r="A69">
        <v>68</v>
      </c>
      <c r="B69" s="13" t="s">
        <v>510</v>
      </c>
    </row>
    <row r="70" spans="1:2" ht="30" x14ac:dyDescent="0.25">
      <c r="A70">
        <v>69</v>
      </c>
      <c r="B70" s="13" t="s">
        <v>511</v>
      </c>
    </row>
    <row r="71" spans="1:2" ht="30" x14ac:dyDescent="0.25">
      <c r="A71">
        <v>70</v>
      </c>
      <c r="B71" s="13" t="s">
        <v>512</v>
      </c>
    </row>
    <row r="72" spans="1:2" ht="30" x14ac:dyDescent="0.25">
      <c r="A72">
        <v>71</v>
      </c>
      <c r="B72" s="13" t="s">
        <v>513</v>
      </c>
    </row>
    <row r="73" spans="1:2" ht="30" x14ac:dyDescent="0.25">
      <c r="A73">
        <v>72</v>
      </c>
      <c r="B73" s="13" t="s">
        <v>514</v>
      </c>
    </row>
    <row r="74" spans="1:2" ht="30" x14ac:dyDescent="0.25">
      <c r="A74">
        <v>73</v>
      </c>
      <c r="B74" s="13" t="s">
        <v>515</v>
      </c>
    </row>
    <row r="75" spans="1:2" ht="30" x14ac:dyDescent="0.25">
      <c r="A75">
        <v>74</v>
      </c>
      <c r="B75" s="13" t="s">
        <v>516</v>
      </c>
    </row>
    <row r="76" spans="1:2" x14ac:dyDescent="0.25">
      <c r="A76">
        <v>75</v>
      </c>
      <c r="B76" s="13" t="s">
        <v>517</v>
      </c>
    </row>
    <row r="77" spans="1:2" x14ac:dyDescent="0.25">
      <c r="A77">
        <v>76</v>
      </c>
      <c r="B77" s="13" t="s">
        <v>518</v>
      </c>
    </row>
    <row r="78" spans="1:2" ht="30" x14ac:dyDescent="0.25">
      <c r="A78">
        <v>77</v>
      </c>
      <c r="B78" s="13" t="s">
        <v>519</v>
      </c>
    </row>
    <row r="79" spans="1:2" ht="30" x14ac:dyDescent="0.25">
      <c r="A79">
        <v>78</v>
      </c>
      <c r="B79" s="13" t="s">
        <v>520</v>
      </c>
    </row>
    <row r="80" spans="1:2" ht="30" x14ac:dyDescent="0.25">
      <c r="A80">
        <v>79</v>
      </c>
      <c r="B80" s="13" t="s">
        <v>521</v>
      </c>
    </row>
    <row r="81" spans="1:2" x14ac:dyDescent="0.25">
      <c r="A81">
        <v>80</v>
      </c>
      <c r="B81" s="13" t="s">
        <v>522</v>
      </c>
    </row>
    <row r="82" spans="1:2" ht="30" x14ac:dyDescent="0.25">
      <c r="A82">
        <v>81</v>
      </c>
      <c r="B82" s="13" t="s">
        <v>523</v>
      </c>
    </row>
    <row r="83" spans="1:2" x14ac:dyDescent="0.25">
      <c r="A83">
        <v>82</v>
      </c>
      <c r="B83" s="13" t="s">
        <v>436</v>
      </c>
    </row>
    <row r="84" spans="1:2" ht="30" x14ac:dyDescent="0.25">
      <c r="A84">
        <v>83</v>
      </c>
      <c r="B84" s="13" t="s">
        <v>442</v>
      </c>
    </row>
    <row r="85" spans="1:2" ht="30" x14ac:dyDescent="0.25">
      <c r="A85">
        <v>84</v>
      </c>
      <c r="B85" s="13" t="s">
        <v>443</v>
      </c>
    </row>
    <row r="86" spans="1:2" ht="30" x14ac:dyDescent="0.25">
      <c r="A86">
        <v>85</v>
      </c>
      <c r="B86" s="1" t="s">
        <v>527</v>
      </c>
    </row>
    <row r="87" spans="1:2" ht="30" x14ac:dyDescent="0.25">
      <c r="A87">
        <v>86</v>
      </c>
      <c r="B87" s="1" t="s">
        <v>529</v>
      </c>
    </row>
    <row r="88" spans="1:2" ht="30" x14ac:dyDescent="0.25">
      <c r="A88">
        <v>87</v>
      </c>
      <c r="B88" s="1" t="s">
        <v>533</v>
      </c>
    </row>
    <row r="89" spans="1:2" ht="30" x14ac:dyDescent="0.25">
      <c r="A89">
        <v>88</v>
      </c>
      <c r="B89" s="1" t="s">
        <v>543</v>
      </c>
    </row>
    <row r="90" spans="1:2" ht="30" x14ac:dyDescent="0.25">
      <c r="A90">
        <v>89</v>
      </c>
      <c r="B90" s="1" t="s">
        <v>546</v>
      </c>
    </row>
    <row r="91" spans="1:2" x14ac:dyDescent="0.25">
      <c r="A91">
        <v>90</v>
      </c>
      <c r="B91" s="1" t="s">
        <v>549</v>
      </c>
    </row>
    <row r="92" spans="1:2" ht="30" x14ac:dyDescent="0.25">
      <c r="A92">
        <v>91</v>
      </c>
      <c r="B92" s="1" t="s">
        <v>553</v>
      </c>
    </row>
    <row r="93" spans="1:2" ht="45" x14ac:dyDescent="0.25">
      <c r="A93">
        <v>92</v>
      </c>
      <c r="B93" s="1" t="s">
        <v>554</v>
      </c>
    </row>
    <row r="94" spans="1:2" ht="30" x14ac:dyDescent="0.25">
      <c r="A94">
        <v>93</v>
      </c>
      <c r="B94" s="1" t="s">
        <v>530</v>
      </c>
    </row>
    <row r="95" spans="1:2" ht="30" x14ac:dyDescent="0.25">
      <c r="A95">
        <v>94</v>
      </c>
      <c r="B95" s="1" t="s">
        <v>570</v>
      </c>
    </row>
    <row r="96" spans="1:2" ht="30" x14ac:dyDescent="0.25">
      <c r="A96">
        <v>95</v>
      </c>
      <c r="B96" s="1" t="s">
        <v>574</v>
      </c>
    </row>
    <row r="97" spans="1:2" ht="30" x14ac:dyDescent="0.25">
      <c r="A97">
        <v>96</v>
      </c>
      <c r="B97" s="1" t="s">
        <v>577</v>
      </c>
    </row>
    <row r="98" spans="1:2" ht="30" x14ac:dyDescent="0.25">
      <c r="A98">
        <v>97</v>
      </c>
      <c r="B98" s="1" t="s">
        <v>578</v>
      </c>
    </row>
    <row r="99" spans="1:2" ht="30" x14ac:dyDescent="0.25">
      <c r="A99">
        <v>98</v>
      </c>
      <c r="B99" s="1" t="s">
        <v>579</v>
      </c>
    </row>
    <row r="100" spans="1:2" ht="30" x14ac:dyDescent="0.25">
      <c r="A100">
        <v>99</v>
      </c>
      <c r="B100" s="1" t="s">
        <v>582</v>
      </c>
    </row>
    <row r="101" spans="1:2" ht="30" x14ac:dyDescent="0.25">
      <c r="A101">
        <v>100</v>
      </c>
      <c r="B101" s="1" t="s">
        <v>586</v>
      </c>
    </row>
    <row r="102" spans="1:2" ht="30" x14ac:dyDescent="0.25">
      <c r="A102">
        <v>101</v>
      </c>
      <c r="B102" s="1" t="s">
        <v>591</v>
      </c>
    </row>
    <row r="103" spans="1:2" ht="30" x14ac:dyDescent="0.25">
      <c r="A103">
        <v>102</v>
      </c>
      <c r="B103" s="1" t="s">
        <v>592</v>
      </c>
    </row>
    <row r="104" spans="1:2" ht="45" x14ac:dyDescent="0.25">
      <c r="A104">
        <v>103</v>
      </c>
      <c r="B104" s="1" t="s">
        <v>600</v>
      </c>
    </row>
    <row r="105" spans="1:2" ht="45" x14ac:dyDescent="0.25">
      <c r="A105">
        <v>104</v>
      </c>
      <c r="B105" s="1" t="s">
        <v>612</v>
      </c>
    </row>
    <row r="106" spans="1:2" ht="30" x14ac:dyDescent="0.25">
      <c r="A106">
        <v>105</v>
      </c>
      <c r="B106" s="1" t="s">
        <v>629</v>
      </c>
    </row>
    <row r="107" spans="1:2" x14ac:dyDescent="0.25">
      <c r="A107">
        <v>106</v>
      </c>
      <c r="B107" s="1" t="s">
        <v>634</v>
      </c>
    </row>
    <row r="108" spans="1:2" x14ac:dyDescent="0.25">
      <c r="A108">
        <v>107</v>
      </c>
      <c r="B108" s="1" t="s">
        <v>638</v>
      </c>
    </row>
    <row r="109" spans="1:2" x14ac:dyDescent="0.25">
      <c r="A109">
        <v>108</v>
      </c>
      <c r="B109" s="1" t="s">
        <v>1629</v>
      </c>
    </row>
    <row r="110" spans="1:2" ht="30" x14ac:dyDescent="0.25">
      <c r="A110">
        <v>109</v>
      </c>
      <c r="B110" s="1" t="s">
        <v>649</v>
      </c>
    </row>
    <row r="111" spans="1:2" ht="30" x14ac:dyDescent="0.25">
      <c r="A111">
        <v>110</v>
      </c>
      <c r="B111" s="1" t="s">
        <v>650</v>
      </c>
    </row>
    <row r="112" spans="1:2" ht="30" x14ac:dyDescent="0.25">
      <c r="A112">
        <v>111</v>
      </c>
      <c r="B112" s="1" t="s">
        <v>653</v>
      </c>
    </row>
    <row r="113" spans="1:2" x14ac:dyDescent="0.25">
      <c r="A113">
        <v>112</v>
      </c>
      <c r="B113" s="1" t="s">
        <v>666</v>
      </c>
    </row>
    <row r="114" spans="1:2" x14ac:dyDescent="0.25">
      <c r="A114">
        <v>113</v>
      </c>
      <c r="B114" s="1" t="s">
        <v>667</v>
      </c>
    </row>
    <row r="115" spans="1:2" x14ac:dyDescent="0.25">
      <c r="A115">
        <v>114</v>
      </c>
      <c r="B115" s="1" t="s">
        <v>668</v>
      </c>
    </row>
    <row r="116" spans="1:2" x14ac:dyDescent="0.25">
      <c r="A116">
        <v>115</v>
      </c>
      <c r="B116" s="1" t="s">
        <v>700</v>
      </c>
    </row>
    <row r="117" spans="1:2" ht="30" x14ac:dyDescent="0.25">
      <c r="A117">
        <v>116</v>
      </c>
      <c r="B117" s="1" t="s">
        <v>706</v>
      </c>
    </row>
    <row r="118" spans="1:2" x14ac:dyDescent="0.25">
      <c r="A118">
        <v>117</v>
      </c>
      <c r="B118" s="1" t="s">
        <v>719</v>
      </c>
    </row>
    <row r="119" spans="1:2" x14ac:dyDescent="0.25">
      <c r="A119">
        <v>118</v>
      </c>
      <c r="B119" s="1" t="s">
        <v>723</v>
      </c>
    </row>
    <row r="120" spans="1:2" x14ac:dyDescent="0.25">
      <c r="A120">
        <v>119</v>
      </c>
      <c r="B120" s="1" t="s">
        <v>726</v>
      </c>
    </row>
    <row r="121" spans="1:2" x14ac:dyDescent="0.25">
      <c r="A121">
        <v>120</v>
      </c>
      <c r="B121" s="1" t="s">
        <v>737</v>
      </c>
    </row>
    <row r="122" spans="1:2" x14ac:dyDescent="0.25">
      <c r="A122">
        <v>121</v>
      </c>
      <c r="B122" s="1" t="s">
        <v>740</v>
      </c>
    </row>
    <row r="123" spans="1:2" x14ac:dyDescent="0.25">
      <c r="A123">
        <v>122</v>
      </c>
      <c r="B123" s="1" t="s">
        <v>744</v>
      </c>
    </row>
    <row r="124" spans="1:2" ht="30" x14ac:dyDescent="0.25">
      <c r="A124">
        <v>123</v>
      </c>
      <c r="B124" s="1" t="s">
        <v>745</v>
      </c>
    </row>
    <row r="125" spans="1:2" ht="30" x14ac:dyDescent="0.25">
      <c r="A125">
        <v>124</v>
      </c>
      <c r="B125" s="1" t="s">
        <v>747</v>
      </c>
    </row>
    <row r="126" spans="1:2" ht="30" x14ac:dyDescent="0.25">
      <c r="A126">
        <v>125</v>
      </c>
      <c r="B126" s="1" t="s">
        <v>775</v>
      </c>
    </row>
    <row r="127" spans="1:2" ht="30" x14ac:dyDescent="0.25">
      <c r="A127">
        <v>126</v>
      </c>
      <c r="B127" s="1" t="s">
        <v>785</v>
      </c>
    </row>
    <row r="128" spans="1:2" x14ac:dyDescent="0.25">
      <c r="A128">
        <v>127</v>
      </c>
      <c r="B128" s="1" t="s">
        <v>793</v>
      </c>
    </row>
    <row r="129" spans="1:2" x14ac:dyDescent="0.25">
      <c r="A129">
        <v>128</v>
      </c>
      <c r="B129" s="1" t="s">
        <v>792</v>
      </c>
    </row>
    <row r="130" spans="1:2" x14ac:dyDescent="0.25">
      <c r="A130">
        <v>129</v>
      </c>
      <c r="B130" s="1" t="s">
        <v>797</v>
      </c>
    </row>
    <row r="131" spans="1:2" ht="30" x14ac:dyDescent="0.25">
      <c r="A131">
        <v>130</v>
      </c>
      <c r="B131" s="1" t="s">
        <v>801</v>
      </c>
    </row>
    <row r="132" spans="1:2" ht="30" x14ac:dyDescent="0.25">
      <c r="A132">
        <v>131</v>
      </c>
      <c r="B132" s="1" t="s">
        <v>802</v>
      </c>
    </row>
    <row r="133" spans="1:2" ht="30" x14ac:dyDescent="0.25">
      <c r="A133">
        <v>132</v>
      </c>
      <c r="B133" s="1" t="s">
        <v>806</v>
      </c>
    </row>
    <row r="134" spans="1:2" ht="45" x14ac:dyDescent="0.25">
      <c r="A134">
        <v>133</v>
      </c>
      <c r="B134" s="1" t="s">
        <v>810</v>
      </c>
    </row>
    <row r="135" spans="1:2" ht="30" x14ac:dyDescent="0.25">
      <c r="A135">
        <v>134</v>
      </c>
      <c r="B135" s="1" t="s">
        <v>815</v>
      </c>
    </row>
    <row r="136" spans="1:2" ht="30" x14ac:dyDescent="0.25">
      <c r="A136">
        <v>135</v>
      </c>
      <c r="B136" s="1" t="s">
        <v>820</v>
      </c>
    </row>
    <row r="137" spans="1:2" x14ac:dyDescent="0.25">
      <c r="A137">
        <v>136</v>
      </c>
      <c r="B137" s="1" t="s">
        <v>848</v>
      </c>
    </row>
    <row r="138" spans="1:2" ht="30" x14ac:dyDescent="0.25">
      <c r="A138">
        <v>137</v>
      </c>
      <c r="B138" s="1" t="s">
        <v>591</v>
      </c>
    </row>
    <row r="139" spans="1:2" ht="30" x14ac:dyDescent="0.25">
      <c r="A139">
        <v>138</v>
      </c>
      <c r="B139" s="1" t="s">
        <v>851</v>
      </c>
    </row>
    <row r="140" spans="1:2" x14ac:dyDescent="0.25">
      <c r="A140">
        <v>139</v>
      </c>
      <c r="B140" s="1" t="s">
        <v>854</v>
      </c>
    </row>
    <row r="141" spans="1:2" ht="30" x14ac:dyDescent="0.25">
      <c r="A141">
        <v>140</v>
      </c>
      <c r="B141" s="1" t="s">
        <v>863</v>
      </c>
    </row>
    <row r="142" spans="1:2" x14ac:dyDescent="0.25">
      <c r="A142">
        <v>141</v>
      </c>
      <c r="B142" s="1" t="s">
        <v>864</v>
      </c>
    </row>
    <row r="143" spans="1:2" ht="30" x14ac:dyDescent="0.25">
      <c r="A143">
        <v>142</v>
      </c>
      <c r="B143" s="1" t="s">
        <v>865</v>
      </c>
    </row>
    <row r="144" spans="1:2" ht="45" x14ac:dyDescent="0.25">
      <c r="A144">
        <v>143</v>
      </c>
      <c r="B144" s="1" t="s">
        <v>884</v>
      </c>
    </row>
    <row r="145" spans="1:2" ht="30" x14ac:dyDescent="0.25">
      <c r="A145">
        <v>144</v>
      </c>
      <c r="B145" s="1" t="s">
        <v>892</v>
      </c>
    </row>
    <row r="146" spans="1:2" x14ac:dyDescent="0.25">
      <c r="A146">
        <v>145</v>
      </c>
      <c r="B146" s="1" t="s">
        <v>894</v>
      </c>
    </row>
    <row r="147" spans="1:2" ht="30" x14ac:dyDescent="0.25">
      <c r="A147">
        <v>146</v>
      </c>
      <c r="B147" s="1" t="s">
        <v>464</v>
      </c>
    </row>
    <row r="148" spans="1:2" ht="30" x14ac:dyDescent="0.25">
      <c r="A148">
        <v>147</v>
      </c>
      <c r="B148" s="1" t="s">
        <v>896</v>
      </c>
    </row>
    <row r="149" spans="1:2" ht="30" x14ac:dyDescent="0.25">
      <c r="A149">
        <v>148</v>
      </c>
      <c r="B149" s="1" t="s">
        <v>900</v>
      </c>
    </row>
    <row r="150" spans="1:2" ht="30" x14ac:dyDescent="0.25">
      <c r="A150">
        <v>149</v>
      </c>
      <c r="B150" s="1" t="s">
        <v>904</v>
      </c>
    </row>
    <row r="151" spans="1:2" ht="30" x14ac:dyDescent="0.25">
      <c r="A151">
        <v>150</v>
      </c>
      <c r="B151" s="1" t="s">
        <v>905</v>
      </c>
    </row>
    <row r="152" spans="1:2" ht="30" x14ac:dyDescent="0.25">
      <c r="A152">
        <v>151</v>
      </c>
      <c r="B152" s="1" t="s">
        <v>906</v>
      </c>
    </row>
    <row r="153" spans="1:2" ht="30" x14ac:dyDescent="0.25">
      <c r="A153">
        <v>152</v>
      </c>
      <c r="B153" s="1" t="s">
        <v>476</v>
      </c>
    </row>
    <row r="154" spans="1:2" x14ac:dyDescent="0.25">
      <c r="A154">
        <v>153</v>
      </c>
      <c r="B154" s="1" t="s">
        <v>916</v>
      </c>
    </row>
    <row r="155" spans="1:2" ht="30" x14ac:dyDescent="0.25">
      <c r="A155">
        <v>154</v>
      </c>
      <c r="B155" s="1" t="s">
        <v>920</v>
      </c>
    </row>
    <row r="156" spans="1:2" ht="30" x14ac:dyDescent="0.25">
      <c r="A156">
        <v>155</v>
      </c>
      <c r="B156" s="1" t="s">
        <v>925</v>
      </c>
    </row>
    <row r="157" spans="1:2" x14ac:dyDescent="0.25">
      <c r="A157">
        <v>156</v>
      </c>
      <c r="B157" s="1" t="s">
        <v>932</v>
      </c>
    </row>
    <row r="158" spans="1:2" x14ac:dyDescent="0.25">
      <c r="A158">
        <v>157</v>
      </c>
      <c r="B158" s="1" t="s">
        <v>934</v>
      </c>
    </row>
    <row r="159" spans="1:2" ht="30" x14ac:dyDescent="0.25">
      <c r="A159">
        <v>158</v>
      </c>
      <c r="B159" s="1" t="s">
        <v>948</v>
      </c>
    </row>
    <row r="160" spans="1:2" ht="30" x14ac:dyDescent="0.25">
      <c r="A160">
        <v>159</v>
      </c>
      <c r="B160" s="1" t="s">
        <v>949</v>
      </c>
    </row>
    <row r="161" spans="1:2" ht="30" x14ac:dyDescent="0.25">
      <c r="A161">
        <v>160</v>
      </c>
      <c r="B161" s="1" t="s">
        <v>951</v>
      </c>
    </row>
    <row r="162" spans="1:2" ht="30" x14ac:dyDescent="0.25">
      <c r="A162">
        <v>161</v>
      </c>
      <c r="B162" s="1" t="s">
        <v>954</v>
      </c>
    </row>
    <row r="163" spans="1:2" ht="30" x14ac:dyDescent="0.25">
      <c r="A163">
        <v>162</v>
      </c>
      <c r="B163" s="1" t="s">
        <v>958</v>
      </c>
    </row>
    <row r="164" spans="1:2" ht="30" x14ac:dyDescent="0.25">
      <c r="A164">
        <v>163</v>
      </c>
      <c r="B164" s="1" t="s">
        <v>967</v>
      </c>
    </row>
    <row r="165" spans="1:2" ht="30" x14ac:dyDescent="0.25">
      <c r="A165">
        <v>164</v>
      </c>
      <c r="B165" s="1" t="s">
        <v>969</v>
      </c>
    </row>
    <row r="166" spans="1:2" ht="30" x14ac:dyDescent="0.25">
      <c r="A166">
        <v>165</v>
      </c>
      <c r="B166" s="1" t="s">
        <v>1048</v>
      </c>
    </row>
    <row r="167" spans="1:2" ht="30" x14ac:dyDescent="0.25">
      <c r="A167">
        <v>166</v>
      </c>
      <c r="B167" s="1" t="s">
        <v>1054</v>
      </c>
    </row>
    <row r="168" spans="1:2" ht="30" x14ac:dyDescent="0.25">
      <c r="A168">
        <v>167</v>
      </c>
      <c r="B168" s="1" t="s">
        <v>1057</v>
      </c>
    </row>
    <row r="169" spans="1:2" ht="30" x14ac:dyDescent="0.25">
      <c r="A169">
        <v>168</v>
      </c>
      <c r="B169" s="1" t="s">
        <v>1062</v>
      </c>
    </row>
    <row r="170" spans="1:2" ht="30" x14ac:dyDescent="0.25">
      <c r="A170">
        <v>169</v>
      </c>
      <c r="B170" s="1" t="s">
        <v>1075</v>
      </c>
    </row>
    <row r="171" spans="1:2" ht="30" x14ac:dyDescent="0.25">
      <c r="A171">
        <v>170</v>
      </c>
      <c r="B171" s="1" t="s">
        <v>1078</v>
      </c>
    </row>
    <row r="172" spans="1:2" ht="30" x14ac:dyDescent="0.25">
      <c r="A172">
        <v>171</v>
      </c>
      <c r="B172" s="1" t="s">
        <v>1081</v>
      </c>
    </row>
    <row r="173" spans="1:2" ht="30" x14ac:dyDescent="0.25">
      <c r="A173">
        <v>172</v>
      </c>
      <c r="B173" s="1" t="s">
        <v>1082</v>
      </c>
    </row>
    <row r="174" spans="1:2" x14ac:dyDescent="0.25">
      <c r="A174">
        <v>173</v>
      </c>
      <c r="B174" s="1" t="s">
        <v>1092</v>
      </c>
    </row>
    <row r="175" spans="1:2" ht="30" x14ac:dyDescent="0.25">
      <c r="A175">
        <v>174</v>
      </c>
      <c r="B175" s="1" t="s">
        <v>1134</v>
      </c>
    </row>
    <row r="176" spans="1:2" ht="30" x14ac:dyDescent="0.25">
      <c r="A176">
        <v>175</v>
      </c>
      <c r="B176" s="1" t="s">
        <v>1177</v>
      </c>
    </row>
    <row r="177" spans="1:2" ht="30" x14ac:dyDescent="0.25">
      <c r="A177">
        <v>176</v>
      </c>
      <c r="B177" s="1" t="s">
        <v>1180</v>
      </c>
    </row>
    <row r="178" spans="1:2" ht="30" x14ac:dyDescent="0.25">
      <c r="A178">
        <v>177</v>
      </c>
      <c r="B178" s="1" t="s">
        <v>1188</v>
      </c>
    </row>
    <row r="179" spans="1:2" ht="30" x14ac:dyDescent="0.25">
      <c r="A179">
        <v>178</v>
      </c>
      <c r="B179" s="1" t="s">
        <v>1194</v>
      </c>
    </row>
    <row r="180" spans="1:2" ht="30" x14ac:dyDescent="0.25">
      <c r="A180">
        <v>179</v>
      </c>
      <c r="B180" s="1" t="s">
        <v>1201</v>
      </c>
    </row>
    <row r="181" spans="1:2" ht="30" x14ac:dyDescent="0.25">
      <c r="A181">
        <v>180</v>
      </c>
      <c r="B181" s="1" t="s">
        <v>1205</v>
      </c>
    </row>
    <row r="182" spans="1:2" ht="30" x14ac:dyDescent="0.25">
      <c r="A182">
        <v>181</v>
      </c>
      <c r="B182" s="1" t="s">
        <v>474</v>
      </c>
    </row>
    <row r="183" spans="1:2" x14ac:dyDescent="0.25">
      <c r="A183">
        <v>182</v>
      </c>
      <c r="B183" s="1" t="s">
        <v>1211</v>
      </c>
    </row>
    <row r="184" spans="1:2" ht="30" x14ac:dyDescent="0.25">
      <c r="A184">
        <v>183</v>
      </c>
      <c r="B184" s="1" t="s">
        <v>1215</v>
      </c>
    </row>
    <row r="185" spans="1:2" ht="30" x14ac:dyDescent="0.25">
      <c r="A185">
        <v>184</v>
      </c>
      <c r="B185" s="1" t="s">
        <v>1217</v>
      </c>
    </row>
    <row r="186" spans="1:2" ht="45" x14ac:dyDescent="0.25">
      <c r="A186">
        <v>185</v>
      </c>
      <c r="B186" s="1" t="s">
        <v>1226</v>
      </c>
    </row>
    <row r="187" spans="1:2" ht="30" x14ac:dyDescent="0.25">
      <c r="A187">
        <v>186</v>
      </c>
      <c r="B187" s="1" t="s">
        <v>1231</v>
      </c>
    </row>
    <row r="188" spans="1:2" x14ac:dyDescent="0.25">
      <c r="A188">
        <v>187</v>
      </c>
      <c r="B188" s="1" t="s">
        <v>1237</v>
      </c>
    </row>
    <row r="189" spans="1:2" ht="30" x14ac:dyDescent="0.25">
      <c r="A189">
        <v>188</v>
      </c>
      <c r="B189" s="1" t="s">
        <v>1247</v>
      </c>
    </row>
    <row r="190" spans="1:2" ht="30" x14ac:dyDescent="0.25">
      <c r="A190">
        <v>189</v>
      </c>
      <c r="B190" s="1" t="s">
        <v>1248</v>
      </c>
    </row>
    <row r="191" spans="1:2" ht="30" x14ac:dyDescent="0.25">
      <c r="A191">
        <v>190</v>
      </c>
      <c r="B191" s="1" t="s">
        <v>1256</v>
      </c>
    </row>
    <row r="192" spans="1:2" ht="45" x14ac:dyDescent="0.25">
      <c r="A192">
        <v>191</v>
      </c>
      <c r="B192" s="1" t="s">
        <v>1261</v>
      </c>
    </row>
    <row r="193" spans="1:2" ht="45" x14ac:dyDescent="0.25">
      <c r="A193">
        <v>192</v>
      </c>
      <c r="B193" s="1" t="s">
        <v>1265</v>
      </c>
    </row>
    <row r="194" spans="1:2" ht="30" x14ac:dyDescent="0.25">
      <c r="A194">
        <v>193</v>
      </c>
      <c r="B194" s="1" t="s">
        <v>1266</v>
      </c>
    </row>
    <row r="195" spans="1:2" ht="30" x14ac:dyDescent="0.25">
      <c r="A195">
        <v>194</v>
      </c>
      <c r="B195" s="1" t="s">
        <v>1273</v>
      </c>
    </row>
    <row r="196" spans="1:2" ht="30" x14ac:dyDescent="0.25">
      <c r="A196">
        <v>195</v>
      </c>
      <c r="B196" s="1" t="s">
        <v>1279</v>
      </c>
    </row>
    <row r="197" spans="1:2" ht="30" x14ac:dyDescent="0.25">
      <c r="A197">
        <v>196</v>
      </c>
      <c r="B197" s="1" t="s">
        <v>1292</v>
      </c>
    </row>
    <row r="198" spans="1:2" ht="30" x14ac:dyDescent="0.25">
      <c r="A198">
        <v>197</v>
      </c>
      <c r="B198" s="1" t="s">
        <v>1322</v>
      </c>
    </row>
    <row r="199" spans="1:2" ht="30" x14ac:dyDescent="0.25">
      <c r="A199">
        <v>198</v>
      </c>
      <c r="B199" s="1" t="s">
        <v>1328</v>
      </c>
    </row>
    <row r="200" spans="1:2" ht="45" x14ac:dyDescent="0.25">
      <c r="A200">
        <v>199</v>
      </c>
      <c r="B200" s="1" t="s">
        <v>1348</v>
      </c>
    </row>
    <row r="201" spans="1:2" x14ac:dyDescent="0.25">
      <c r="A201">
        <v>200</v>
      </c>
      <c r="B201" s="1" t="s">
        <v>1356</v>
      </c>
    </row>
    <row r="202" spans="1:2" ht="30" x14ac:dyDescent="0.25">
      <c r="A202">
        <v>201</v>
      </c>
      <c r="B202" s="1" t="s">
        <v>1368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68"/>
  <sheetViews>
    <sheetView zoomScale="85" zoomScaleNormal="85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9.42578125" bestFit="1" customWidth="1"/>
    <col min="2" max="2" width="41.140625" bestFit="1" customWidth="1"/>
    <col min="3" max="3" width="20.7109375" style="15" bestFit="1" customWidth="1"/>
    <col min="4" max="4" width="126" style="1" bestFit="1" customWidth="1"/>
    <col min="8" max="8" width="9.85546875" bestFit="1" customWidth="1"/>
    <col min="10" max="10" width="10.85546875" bestFit="1" customWidth="1"/>
    <col min="14" max="14" width="9.85546875" bestFit="1" customWidth="1"/>
    <col min="15" max="15" width="11.7109375" bestFit="1" customWidth="1"/>
    <col min="17" max="17" width="12.42578125" bestFit="1" customWidth="1"/>
    <col min="19" max="19" width="9.5703125" bestFit="1" customWidth="1"/>
    <col min="20" max="21" width="13.7109375" bestFit="1" customWidth="1"/>
  </cols>
  <sheetData>
    <row r="1" spans="1:4" x14ac:dyDescent="0.25">
      <c r="A1" s="12" t="s">
        <v>1179</v>
      </c>
      <c r="B1" s="12" t="s">
        <v>1571</v>
      </c>
      <c r="C1" s="14" t="s">
        <v>576</v>
      </c>
      <c r="D1" s="5" t="s">
        <v>57</v>
      </c>
    </row>
    <row r="2" spans="1:4" x14ac:dyDescent="0.25">
      <c r="A2" t="s">
        <v>1572</v>
      </c>
      <c r="B2" s="1" t="s">
        <v>1574</v>
      </c>
      <c r="C2" s="16" t="s">
        <v>1298</v>
      </c>
      <c r="D2" s="13" t="s">
        <v>1299</v>
      </c>
    </row>
    <row r="3" spans="1:4" x14ac:dyDescent="0.25">
      <c r="A3" t="s">
        <v>1573</v>
      </c>
      <c r="B3" s="1" t="s">
        <v>1575</v>
      </c>
      <c r="C3" s="16" t="s">
        <v>1296</v>
      </c>
      <c r="D3" s="13" t="s">
        <v>1297</v>
      </c>
    </row>
    <row r="4" spans="1:4" ht="30" x14ac:dyDescent="0.25">
      <c r="B4" s="1" t="s">
        <v>1576</v>
      </c>
      <c r="C4" s="15" t="s">
        <v>341</v>
      </c>
      <c r="D4" s="1" t="s">
        <v>1334</v>
      </c>
    </row>
    <row r="5" spans="1:4" ht="30" x14ac:dyDescent="0.25">
      <c r="B5" s="1" t="s">
        <v>1577</v>
      </c>
      <c r="C5" s="15" t="s">
        <v>1218</v>
      </c>
      <c r="D5" s="1" t="s">
        <v>1219</v>
      </c>
    </row>
    <row r="6" spans="1:4" x14ac:dyDescent="0.25">
      <c r="C6" s="15" t="s">
        <v>387</v>
      </c>
      <c r="D6" s="1" t="s">
        <v>1335</v>
      </c>
    </row>
    <row r="7" spans="1:4" x14ac:dyDescent="0.25">
      <c r="C7" s="15" t="s">
        <v>242</v>
      </c>
      <c r="D7" s="1" t="s">
        <v>243</v>
      </c>
    </row>
    <row r="8" spans="1:4" x14ac:dyDescent="0.25">
      <c r="C8" s="15" t="s">
        <v>386</v>
      </c>
      <c r="D8" s="1" t="s">
        <v>1336</v>
      </c>
    </row>
    <row r="9" spans="1:4" ht="30" x14ac:dyDescent="0.25">
      <c r="C9" s="15" t="s">
        <v>970</v>
      </c>
      <c r="D9" s="1" t="s">
        <v>1333</v>
      </c>
    </row>
    <row r="10" spans="1:4" x14ac:dyDescent="0.25">
      <c r="C10" s="15" t="s">
        <v>94</v>
      </c>
      <c r="D10" s="1" t="s">
        <v>95</v>
      </c>
    </row>
    <row r="11" spans="1:4" x14ac:dyDescent="0.25">
      <c r="C11" s="15" t="s">
        <v>594</v>
      </c>
      <c r="D11" s="1" t="s">
        <v>595</v>
      </c>
    </row>
    <row r="12" spans="1:4" x14ac:dyDescent="0.25">
      <c r="C12" s="15" t="s">
        <v>788</v>
      </c>
      <c r="D12" s="1" t="s">
        <v>789</v>
      </c>
    </row>
    <row r="13" spans="1:4" x14ac:dyDescent="0.25">
      <c r="A13" s="2"/>
      <c r="B13" s="2"/>
      <c r="C13" s="15" t="s">
        <v>388</v>
      </c>
      <c r="D13" s="1" t="s">
        <v>1337</v>
      </c>
    </row>
    <row r="14" spans="1:4" x14ac:dyDescent="0.25">
      <c r="C14" s="15" t="s">
        <v>338</v>
      </c>
      <c r="D14" s="1" t="s">
        <v>1338</v>
      </c>
    </row>
    <row r="15" spans="1:4" x14ac:dyDescent="0.25">
      <c r="C15" s="15" t="s">
        <v>696</v>
      </c>
      <c r="D15" s="1" t="s">
        <v>1339</v>
      </c>
    </row>
    <row r="16" spans="1:4" x14ac:dyDescent="0.25">
      <c r="C16" s="15" t="s">
        <v>642</v>
      </c>
      <c r="D16" s="1" t="s">
        <v>672</v>
      </c>
    </row>
    <row r="17" spans="1:4" x14ac:dyDescent="0.25">
      <c r="C17" s="15" t="s">
        <v>874</v>
      </c>
      <c r="D17" s="1" t="s">
        <v>877</v>
      </c>
    </row>
    <row r="18" spans="1:4" x14ac:dyDescent="0.25">
      <c r="C18" s="15" t="s">
        <v>1238</v>
      </c>
      <c r="D18" s="1" t="s">
        <v>1239</v>
      </c>
    </row>
    <row r="19" spans="1:4" x14ac:dyDescent="0.25">
      <c r="C19" s="15" t="s">
        <v>265</v>
      </c>
      <c r="D19" s="1" t="s">
        <v>244</v>
      </c>
    </row>
    <row r="20" spans="1:4" x14ac:dyDescent="0.25">
      <c r="C20" s="15" t="s">
        <v>216</v>
      </c>
      <c r="D20" s="1" t="s">
        <v>217</v>
      </c>
    </row>
    <row r="21" spans="1:4" x14ac:dyDescent="0.25">
      <c r="C21" s="15" t="s">
        <v>1349</v>
      </c>
      <c r="D21" s="1" t="s">
        <v>1350</v>
      </c>
    </row>
    <row r="22" spans="1:4" x14ac:dyDescent="0.25">
      <c r="A22" s="1"/>
      <c r="B22" s="1"/>
      <c r="C22" s="15" t="s">
        <v>100</v>
      </c>
      <c r="D22" s="1" t="s">
        <v>101</v>
      </c>
    </row>
    <row r="23" spans="1:4" x14ac:dyDescent="0.25">
      <c r="C23" s="15" t="s">
        <v>931</v>
      </c>
      <c r="D23" s="1" t="s">
        <v>1340</v>
      </c>
    </row>
    <row r="24" spans="1:4" x14ac:dyDescent="0.25">
      <c r="A24" s="1"/>
      <c r="B24" s="1"/>
      <c r="C24" s="15" t="s">
        <v>56</v>
      </c>
      <c r="D24" s="1" t="s">
        <v>58</v>
      </c>
    </row>
    <row r="25" spans="1:4" x14ac:dyDescent="0.25">
      <c r="C25" s="15" t="s">
        <v>292</v>
      </c>
      <c r="D25" s="1" t="s">
        <v>293</v>
      </c>
    </row>
    <row r="26" spans="1:4" x14ac:dyDescent="0.25">
      <c r="C26" s="15" t="s">
        <v>29</v>
      </c>
      <c r="D26" s="1" t="s">
        <v>30</v>
      </c>
    </row>
    <row r="27" spans="1:4" x14ac:dyDescent="0.25">
      <c r="C27" s="15" t="s">
        <v>287</v>
      </c>
      <c r="D27" s="1" t="s">
        <v>291</v>
      </c>
    </row>
    <row r="28" spans="1:4" x14ac:dyDescent="0.25">
      <c r="C28" s="15" t="s">
        <v>121</v>
      </c>
      <c r="D28" s="1" t="s">
        <v>122</v>
      </c>
    </row>
    <row r="29" spans="1:4" x14ac:dyDescent="0.25">
      <c r="C29" s="15" t="s">
        <v>325</v>
      </c>
      <c r="D29" s="1" t="s">
        <v>326</v>
      </c>
    </row>
    <row r="30" spans="1:4" x14ac:dyDescent="0.25">
      <c r="C30" s="15" t="s">
        <v>1352</v>
      </c>
      <c r="D30" s="1" t="s">
        <v>1351</v>
      </c>
    </row>
    <row r="31" spans="1:4" x14ac:dyDescent="0.25">
      <c r="C31" s="15" t="s">
        <v>109</v>
      </c>
      <c r="D31" s="1" t="s">
        <v>110</v>
      </c>
    </row>
    <row r="32" spans="1:4" x14ac:dyDescent="0.25">
      <c r="C32" s="15" t="s">
        <v>898</v>
      </c>
      <c r="D32" s="1" t="s">
        <v>218</v>
      </c>
    </row>
    <row r="33" spans="3:4" x14ac:dyDescent="0.25">
      <c r="C33" s="15" t="s">
        <v>1369</v>
      </c>
      <c r="D33" s="1" t="s">
        <v>867</v>
      </c>
    </row>
    <row r="34" spans="3:4" x14ac:dyDescent="0.25">
      <c r="C34" s="15" t="s">
        <v>1329</v>
      </c>
      <c r="D34" s="1" t="s">
        <v>1331</v>
      </c>
    </row>
    <row r="35" spans="3:4" ht="30" x14ac:dyDescent="0.25">
      <c r="C35" s="15" t="s">
        <v>1186</v>
      </c>
      <c r="D35" s="1" t="s">
        <v>1187</v>
      </c>
    </row>
    <row r="36" spans="3:4" x14ac:dyDescent="0.25">
      <c r="C36" s="15" t="s">
        <v>869</v>
      </c>
      <c r="D36" s="1" t="s">
        <v>868</v>
      </c>
    </row>
    <row r="37" spans="3:4" x14ac:dyDescent="0.25">
      <c r="C37" s="15" t="s">
        <v>345</v>
      </c>
      <c r="D37" s="1" t="s">
        <v>1341</v>
      </c>
    </row>
    <row r="38" spans="3:4" x14ac:dyDescent="0.25">
      <c r="C38" s="15" t="s">
        <v>1370</v>
      </c>
      <c r="D38" s="1" t="s">
        <v>1068</v>
      </c>
    </row>
    <row r="39" spans="3:4" x14ac:dyDescent="0.25">
      <c r="C39" s="15" t="s">
        <v>702</v>
      </c>
      <c r="D39" s="1" t="s">
        <v>703</v>
      </c>
    </row>
    <row r="40" spans="3:4" x14ac:dyDescent="0.25">
      <c r="C40" s="15" t="s">
        <v>1294</v>
      </c>
      <c r="D40" s="1" t="s">
        <v>1295</v>
      </c>
    </row>
    <row r="41" spans="3:4" x14ac:dyDescent="0.25">
      <c r="C41" s="15" t="s">
        <v>880</v>
      </c>
      <c r="D41" s="1" t="s">
        <v>882</v>
      </c>
    </row>
    <row r="42" spans="3:4" x14ac:dyDescent="0.25">
      <c r="C42" s="15" t="s">
        <v>1252</v>
      </c>
      <c r="D42" s="1" t="s">
        <v>1342</v>
      </c>
    </row>
    <row r="43" spans="3:4" x14ac:dyDescent="0.25">
      <c r="C43" s="15" t="s">
        <v>888</v>
      </c>
      <c r="D43" s="1" t="s">
        <v>890</v>
      </c>
    </row>
    <row r="44" spans="3:4" x14ac:dyDescent="0.25">
      <c r="C44" s="15" t="s">
        <v>280</v>
      </c>
      <c r="D44" s="1" t="s">
        <v>281</v>
      </c>
    </row>
    <row r="45" spans="3:4" x14ac:dyDescent="0.25">
      <c r="C45" s="15" t="s">
        <v>207</v>
      </c>
      <c r="D45" s="1" t="s">
        <v>1343</v>
      </c>
    </row>
    <row r="46" spans="3:4" x14ac:dyDescent="0.25">
      <c r="C46" s="15" t="s">
        <v>1324</v>
      </c>
      <c r="D46" s="1" t="s">
        <v>674</v>
      </c>
    </row>
    <row r="47" spans="3:4" x14ac:dyDescent="0.25">
      <c r="C47" s="15" t="s">
        <v>304</v>
      </c>
      <c r="D47" s="1" t="s">
        <v>1344</v>
      </c>
    </row>
    <row r="48" spans="3:4" x14ac:dyDescent="0.25">
      <c r="C48" s="15" t="s">
        <v>1371</v>
      </c>
      <c r="D48" s="1" t="s">
        <v>718</v>
      </c>
    </row>
    <row r="49" spans="3:4" x14ac:dyDescent="0.25">
      <c r="C49" s="15" t="s">
        <v>1096</v>
      </c>
      <c r="D49" s="1" t="s">
        <v>432</v>
      </c>
    </row>
    <row r="50" spans="3:4" x14ac:dyDescent="0.25">
      <c r="C50" s="15" t="s">
        <v>116</v>
      </c>
      <c r="D50" s="1" t="s">
        <v>118</v>
      </c>
    </row>
    <row r="51" spans="3:4" x14ac:dyDescent="0.25">
      <c r="C51" s="16" t="s">
        <v>199</v>
      </c>
      <c r="D51" s="1" t="s">
        <v>200</v>
      </c>
    </row>
    <row r="52" spans="3:4" x14ac:dyDescent="0.25">
      <c r="C52" s="15" t="s">
        <v>238</v>
      </c>
      <c r="D52" s="1" t="s">
        <v>239</v>
      </c>
    </row>
    <row r="53" spans="3:4" x14ac:dyDescent="0.25">
      <c r="C53" s="15" t="s">
        <v>417</v>
      </c>
      <c r="D53" s="1" t="s">
        <v>1345</v>
      </c>
    </row>
    <row r="54" spans="3:4" x14ac:dyDescent="0.25">
      <c r="C54" s="15" t="s">
        <v>70</v>
      </c>
      <c r="D54" s="1" t="s">
        <v>71</v>
      </c>
    </row>
    <row r="55" spans="3:4" x14ac:dyDescent="0.25">
      <c r="C55" s="15" t="s">
        <v>1137</v>
      </c>
      <c r="D55" s="1" t="s">
        <v>1136</v>
      </c>
    </row>
    <row r="56" spans="3:4" x14ac:dyDescent="0.25">
      <c r="C56" s="15" t="s">
        <v>781</v>
      </c>
      <c r="D56" s="1" t="s">
        <v>784</v>
      </c>
    </row>
    <row r="57" spans="3:4" x14ac:dyDescent="0.25">
      <c r="C57" s="15" t="s">
        <v>440</v>
      </c>
      <c r="D57" s="1" t="s">
        <v>439</v>
      </c>
    </row>
    <row r="58" spans="3:4" x14ac:dyDescent="0.25">
      <c r="C58" s="15" t="s">
        <v>394</v>
      </c>
      <c r="D58" s="1" t="s">
        <v>396</v>
      </c>
    </row>
    <row r="59" spans="3:4" x14ac:dyDescent="0.25">
      <c r="C59" s="15" t="s">
        <v>749</v>
      </c>
      <c r="D59" s="1" t="s">
        <v>783</v>
      </c>
    </row>
    <row r="60" spans="3:4" x14ac:dyDescent="0.25">
      <c r="C60" s="15" t="s">
        <v>1270</v>
      </c>
      <c r="D60" s="1" t="s">
        <v>1271</v>
      </c>
    </row>
    <row r="61" spans="3:4" x14ac:dyDescent="0.25">
      <c r="C61" s="15" t="s">
        <v>670</v>
      </c>
      <c r="D61" s="1" t="s">
        <v>671</v>
      </c>
    </row>
    <row r="62" spans="3:4" x14ac:dyDescent="0.25">
      <c r="C62" s="15" t="s">
        <v>1135</v>
      </c>
      <c r="D62" s="1" t="s">
        <v>856</v>
      </c>
    </row>
    <row r="63" spans="3:4" x14ac:dyDescent="0.25">
      <c r="C63" s="15" t="s">
        <v>298</v>
      </c>
      <c r="D63" s="1" t="s">
        <v>299</v>
      </c>
    </row>
    <row r="64" spans="3:4" x14ac:dyDescent="0.25">
      <c r="C64" s="15" t="s">
        <v>955</v>
      </c>
      <c r="D64" s="1" t="s">
        <v>956</v>
      </c>
    </row>
    <row r="65" spans="3:4" x14ac:dyDescent="0.25">
      <c r="C65" s="15" t="s">
        <v>795</v>
      </c>
      <c r="D65" s="1" t="s">
        <v>796</v>
      </c>
    </row>
    <row r="66" spans="3:4" x14ac:dyDescent="0.25">
      <c r="C66" s="15" t="s">
        <v>1372</v>
      </c>
      <c r="D66" s="1" t="s">
        <v>1346</v>
      </c>
    </row>
    <row r="67" spans="3:4" x14ac:dyDescent="0.25">
      <c r="C67" s="15" t="s">
        <v>818</v>
      </c>
      <c r="D67" s="1" t="s">
        <v>819</v>
      </c>
    </row>
    <row r="68" spans="3:4" x14ac:dyDescent="0.25">
      <c r="C68" s="15" t="s">
        <v>1269</v>
      </c>
      <c r="D68" s="1" t="s">
        <v>1347</v>
      </c>
    </row>
  </sheetData>
  <sortState xmlns:xlrd2="http://schemas.microsoft.com/office/spreadsheetml/2017/richdata2" ref="C2:D68">
    <sortCondition ref="C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Diversity</vt:lpstr>
      <vt:lpstr>Measurements</vt:lpstr>
      <vt:lpstr>Ichnotaxa</vt:lpstr>
      <vt:lpstr>Deposits</vt:lpstr>
      <vt:lpstr>Summary 1</vt:lpstr>
      <vt:lpstr>Summary 2</vt:lpstr>
      <vt:lpstr>Lat</vt:lpstr>
      <vt:lpstr>References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Barros</dc:creator>
  <cp:lastModifiedBy>Gabriel de Barros</cp:lastModifiedBy>
  <dcterms:created xsi:type="dcterms:W3CDTF">2024-11-12T13:18:49Z</dcterms:created>
  <dcterms:modified xsi:type="dcterms:W3CDTF">2026-08-18T13:05:48Z</dcterms:modified>
</cp:coreProperties>
</file>